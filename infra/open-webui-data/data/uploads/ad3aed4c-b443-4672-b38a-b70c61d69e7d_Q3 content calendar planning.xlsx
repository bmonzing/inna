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ustglobal.sharepoint.com/teams/Paven-all/Shared Documents/Paven-all/Planning &amp; Strategy/Quarterly Plan/"/>
    </mc:Choice>
  </mc:AlternateContent>
  <xr:revisionPtr revIDLastSave="56" documentId="8_{939D9342-4322-0242-8A66-064951762A9A}" xr6:coauthVersionLast="47" xr6:coauthVersionMax="47" xr10:uidLastSave="{890B4812-D2B1-D642-BF2F-C70EF9B10B29}"/>
  <bookViews>
    <workbookView xWindow="15180" yWindow="920" windowWidth="14900" windowHeight="16880" xr2:uid="{B8789E16-E2DA-B149-8F6E-E1FE20995B16}"/>
  </bookViews>
  <sheets>
    <sheet name="Sheet3" sheetId="3" r:id="rId1"/>
  </sheets>
  <definedNames>
    <definedName name="_xlnm._FilterDatabase" localSheetId="0" hidden="1">Sheet3!$A$2:$V$2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3" l="1"/>
  <c r="M3" i="3"/>
  <c r="M10" i="3"/>
  <c r="M14" i="3"/>
  <c r="M20" i="3"/>
  <c r="M15" i="3"/>
  <c r="M17" i="3"/>
  <c r="M21" i="3"/>
  <c r="M18" i="3"/>
  <c r="M5" i="3"/>
  <c r="M11" i="3"/>
  <c r="M6" i="3"/>
  <c r="M22" i="3"/>
  <c r="M28" i="3"/>
  <c r="M25" i="3"/>
  <c r="M29" i="3"/>
  <c r="M30" i="3"/>
  <c r="M34" i="3"/>
  <c r="M23" i="3"/>
  <c r="M31" i="3"/>
  <c r="M32" i="3"/>
  <c r="M42" i="3"/>
  <c r="M24" i="3"/>
  <c r="M26" i="3"/>
  <c r="M27" i="3"/>
  <c r="M36" i="3"/>
  <c r="M33" i="3"/>
  <c r="M35" i="3"/>
  <c r="M37" i="3"/>
  <c r="M41" i="3"/>
  <c r="M39" i="3"/>
  <c r="M43" i="3"/>
  <c r="M49" i="3"/>
  <c r="M40" i="3"/>
  <c r="M47" i="3"/>
  <c r="M44" i="3"/>
  <c r="M45" i="3"/>
  <c r="M48" i="3"/>
  <c r="M38" i="3"/>
  <c r="M46" i="3"/>
  <c r="M4" i="3"/>
  <c r="M9" i="3"/>
  <c r="M8" i="3"/>
  <c r="M16" i="3"/>
  <c r="M12" i="3"/>
  <c r="M13" i="3"/>
  <c r="M7" i="3"/>
</calcChain>
</file>

<file path=xl/sharedStrings.xml><?xml version="1.0" encoding="utf-8"?>
<sst xmlns="http://schemas.openxmlformats.org/spreadsheetml/2006/main" count="143" uniqueCount="76">
  <si>
    <t>Q3 content calendar</t>
  </si>
  <si>
    <t>VOTES</t>
  </si>
  <si>
    <t>Ties into</t>
  </si>
  <si>
    <t>Month</t>
  </si>
  <si>
    <t>Topic idea</t>
  </si>
  <si>
    <t>Article</t>
  </si>
  <si>
    <t>Poll</t>
  </si>
  <si>
    <t>Video</t>
  </si>
  <si>
    <t>Meta request</t>
  </si>
  <si>
    <t>Research/Poll</t>
  </si>
  <si>
    <t>Fits theme</t>
  </si>
  <si>
    <t>Evergreen</t>
  </si>
  <si>
    <t>Benefit Redirect</t>
  </si>
  <si>
    <t>Goal redirect</t>
  </si>
  <si>
    <t>Article redirect</t>
  </si>
  <si>
    <t>Total</t>
  </si>
  <si>
    <t>Decision</t>
  </si>
  <si>
    <t>July</t>
  </si>
  <si>
    <t>Build Your Version of Freedom: Explore what financial independence means to you at this life stage </t>
  </si>
  <si>
    <t>Unexpected summer expenses—and how to prep for them (e.g., AC repairs, pet emergencies, travel surprises) - Courtney @ Meta idea</t>
  </si>
  <si>
    <t>Reviewing the cost of your car ownership
multiple cars
hidden costs
insurance</t>
  </si>
  <si>
    <t>‘Financial Sunscreen’: protecting yourself from overspending and burnout - could also be about other safety/security things like estate planning &amp; insurance</t>
  </si>
  <si>
    <t>Different life preservers for you. Plan an emergency fund for your summer needs</t>
  </si>
  <si>
    <t>n/a</t>
  </si>
  <si>
    <t>too similar to the financail sunscreen idea</t>
  </si>
  <si>
    <t>Eating out - how should people think about it? how often? is it an investment ‘relationships’? special occasion or regular?</t>
  </si>
  <si>
    <t>We have room for 1 more article but I'm torn between this one and vacation FOMO</t>
  </si>
  <si>
    <t>Vacation FOMO (Gloria) how to battle it, tie into lifestyle creep, staycation ideas, other ideas for budget-friendly summer fun</t>
  </si>
  <si>
    <t>Different types of wealth - financial, time, health, relationships. Suhail Bloom</t>
  </si>
  <si>
    <t>article backlog</t>
  </si>
  <si>
    <t>DINKs with pets: Budgeting for fur babies like family</t>
  </si>
  <si>
    <t>Maybe this could be our childfree article for July?</t>
  </si>
  <si>
    <t>Small summer splurges: encourage mindful, low-cost investments that spark joy</t>
  </si>
  <si>
    <t>Invest in yourself - HOBBIES</t>
  </si>
  <si>
    <t>How to use AI to optimize your finances - Also a Courtney @ Meta idea</t>
  </si>
  <si>
    <t>Deep dive on “freedom” money dials</t>
  </si>
  <si>
    <t>Tune into what you really need this summer: (rest? connection? inspiration?) take time to notice how you want to spend your energy rather than defaulting to common, unfriendly choices</t>
  </si>
  <si>
    <t>Continuing values-based series or money dials</t>
  </si>
  <si>
    <t>Parent-focused - how to view the expense of kids extracurriculars</t>
  </si>
  <si>
    <t>Wedding season (Gloria)
planning for them
attending as a guest
destination weddings
wedding gift giving</t>
  </si>
  <si>
    <t>Top financial influencers to follow</t>
  </si>
  <si>
    <t>Levels of financial wealth - there are some recently popular frameworks on this</t>
  </si>
  <si>
    <t>How to balance the rising costs of products due to tariffs ...</t>
  </si>
  <si>
    <t>August</t>
  </si>
  <si>
    <t>Investing in your own growth &amp; development - Back to school theme around how it’s important to budget for courses or conferences to help you brush up on career skills
Back to school for YOU: what will you invest in to feel like a kid again? (nostalgia + a way to include childfree in a ‘back to school’ theme)</t>
  </si>
  <si>
    <t>Decluttering your finances: resetting/organizing/streamlining as we head into the productive season</t>
  </si>
  <si>
    <t>This one and the seasonal scaries had similar themes - but since seasonal scaries got more article votes, I thik we should go with that.</t>
  </si>
  <si>
    <t>Dealing with the ‘seasonal scaries’: how to calm your end-of-summer financial anxiety</t>
  </si>
  <si>
    <t>https://www.google.com/search?q=do+people+have+seasonal+scaries+around+finances+in+the+fall%3F&amp;sca_esv=74094a796f7da13a&amp;sxsrf=AE3TifOfROvdKfwIx_4vFFmd65AnGIOlIw%3A1750102800388&amp;ei=EHNQaLGnF9Kh5NoPj66ImAc&amp;ved=2ahUKEwj60qW37faNAxWeNlkFHdV2K2MQ0NsOegQIAxAA&amp;uact=5&amp;sclient=gws-wiz-serp&amp;udm=50&amp;fbs=AIIjpHxU7SXXniUZfeShr2fp4giZ1Y6MJ25_tmWITc7uy4KIemkjk18Cn72Gp24fGkjjh6xLbYFZ8GT1BuPL80sm6IbhS1CzFvUqy6ohjmrT54klkR5SLs4SOHbJCIHP8bf6AS3ZDl0wowhsHbbPrZxqMj8BFkT8i2DI88BwDvvVa_yC9bdwLJlwNyVfkfQ_htbC_q19X125gDx2xYxoiJms1eo4O9XWRg&amp;aep=10&amp;ntc=1&amp;mstk=AUtExfCrJKKUaRdiJwRh4dZvjiuiH26kglbqzvUFsNXHGwJb55yKWJwFMmYubuARVrHH5BEpzYD_3F75MC0TZ-QlzoSlsQlZtZ6Ytvx5lIv-uDhkfCP7YgWZVwfrvYm-VMSZj47BEznZP4FPBkCim9Ew25gdVqw0yqM7WYaaV4k5VlccSCB9nZexclIPlycIQ0msAJejfWqK2jiHI1IkFY5d2vlf87gV1qvWJsw_V-lNHmO1deTu2UoT1_Fbd9PyS8eMLFWc3A-FOrelIXNG5mY6C5Rho0lD2eK1cYC1G1Hv83TxDoQiXE6inTVbHgI470PMF5F7mGOlHIzOyg&amp;csuir=1</t>
  </si>
  <si>
    <t>Investing quiz - what type of investor are you?</t>
  </si>
  <si>
    <t>Investing in community: values-based look at investing in your local educational community for back to school season</t>
  </si>
  <si>
    <t>Performance reviews and pay: How to prep now for your year-end. (easy tie-in to back to school/work theme re: “making the grade”) conversation</t>
  </si>
  <si>
    <t>Video article about 5 tips to prepare to the Back to school season (?)</t>
  </si>
  <si>
    <t>Back to school, Adulting 101. There’s no class rubric, you’re just expected to figure things out. Here’s a cheat sheet to catch you up on things you may have missed.</t>
  </si>
  <si>
    <t>From overwhelmed to organized: a guide to financial clarity</t>
  </si>
  <si>
    <t>For Gen Z workforce: How to be the grown-up (Financially) without burning out  (I just had this conversation with my nephews.)</t>
  </si>
  <si>
    <t>Benefit spotlight: Collegewise (b/c it can be for anyone not just your kids - you can use it yourself)</t>
  </si>
  <si>
    <t>Back-to-school for parents AND non-parents: Financial planning in changing seasons</t>
  </si>
  <si>
    <t>Budgeting is self-care.</t>
  </si>
  <si>
    <t>Video article: how to use Paven (Paven benefit spotlight follow-up?)</t>
  </si>
  <si>
    <t>Your Dog’s Budget &gt; Your Budget? Let’s Balance That Out. :P</t>
  </si>
  <si>
    <t>September</t>
  </si>
  <si>
    <t>Home insurance - myths, tips, and trends.
surprisingly you don’t need to shop around as much, very regulated. Hurricane and Fire season</t>
  </si>
  <si>
    <t>5 Life Changes That Mean You Should Revisit Your Benefits (new baby, new job role, caregiving duties, moving, etc.)</t>
  </si>
  <si>
    <t>Career goal planning and coaching (Lyra)</t>
  </si>
  <si>
    <t>Let's save this one for near the end of the year, when performance review cycles start</t>
  </si>
  <si>
    <t>Benefit spotlight on MetLife, especially estate planning</t>
  </si>
  <si>
    <t>Estate Planning Isn’t Just for Parents: A modern guide for adults 30+</t>
  </si>
  <si>
    <t>Moved this from August ideas b/c it fit better with september theme.</t>
  </si>
  <si>
    <t>Poll re: benefit providers?</t>
  </si>
  <si>
    <t>OE readiness checklist </t>
  </si>
  <si>
    <t>Budgeting for the holidays and ways to save</t>
  </si>
  <si>
    <t>Open enrollment season is coming - tips to get ready</t>
  </si>
  <si>
    <t>Open Enrollment: Your benefits, your blueprint. Make sure your benefits still fit your life - what to consider based on what’s next.</t>
  </si>
  <si>
    <t>Keep going with your goals, preparing for the last quarter of the year.</t>
  </si>
  <si>
    <t>Financial and mental wellness sync-up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</si>
</sst>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EC69-9C4D-D540-847F-5244C5756BBB}">
  <dimension ref="A1:O49"/>
  <sheetViews>
    <sheetView tabSelected="1" zoomScale="150" zoomScaleNormal="150" workbookViewId="0">
      <pane xSplit="2" ySplit="2" topLeftCell="N4" activePane="bottomRight" state="frozen"/>
      <selection pane="bottomRight" activeCell="B8" sqref="B8"/>
      <selection pane="bottomLeft" activeCell="A3" sqref="A3"/>
      <selection pane="topRight" activeCell="C1" sqref="C1"/>
    </sheetView>
  </sheetViews>
  <sheetFormatPr defaultColWidth="11" defaultRowHeight="15.95"/>
  <cols>
    <col min="2" max="2" width="44.375" style="1" customWidth="1"/>
    <col min="3" max="3" width="6.625" bestFit="1" customWidth="1"/>
    <col min="4" max="4" width="6.5" bestFit="1" customWidth="1"/>
    <col min="5" max="5" width="5.875" bestFit="1" customWidth="1"/>
    <col min="6" max="6" width="7.5" style="1" bestFit="1" customWidth="1"/>
    <col min="7" max="7" width="9.375" style="1" customWidth="1"/>
    <col min="8" max="8" width="9.375" customWidth="1"/>
    <col min="9" max="9" width="9.375" bestFit="1" customWidth="1"/>
    <col min="10" max="10" width="8.125" bestFit="1" customWidth="1"/>
    <col min="11" max="12" width="7.625" bestFit="1" customWidth="1"/>
  </cols>
  <sheetData>
    <row r="1" spans="1:15" s="2" customFormat="1" ht="17.100000000000001">
      <c r="A1" s="2" t="s">
        <v>0</v>
      </c>
      <c r="B1" s="3"/>
      <c r="D1" s="2" t="s">
        <v>1</v>
      </c>
      <c r="F1" s="3"/>
      <c r="G1" s="3" t="s">
        <v>2</v>
      </c>
    </row>
    <row r="2" spans="1:15" s="2" customFormat="1" ht="33.950000000000003">
      <c r="A2" s="2" t="s">
        <v>3</v>
      </c>
      <c r="B2" s="3" t="s">
        <v>4</v>
      </c>
      <c r="C2" s="2" t="s">
        <v>5</v>
      </c>
      <c r="D2" s="2" t="s">
        <v>6</v>
      </c>
      <c r="E2" s="2" t="s">
        <v>7</v>
      </c>
      <c r="F2" s="3" t="s">
        <v>8</v>
      </c>
      <c r="G2" s="3" t="s">
        <v>9</v>
      </c>
      <c r="H2" s="3" t="s">
        <v>10</v>
      </c>
      <c r="I2" s="2" t="s">
        <v>11</v>
      </c>
      <c r="J2" s="3" t="s">
        <v>12</v>
      </c>
      <c r="K2" s="3" t="s">
        <v>13</v>
      </c>
      <c r="L2" s="3" t="s">
        <v>14</v>
      </c>
      <c r="M2" s="2" t="s">
        <v>15</v>
      </c>
      <c r="N2" s="2" t="s">
        <v>16</v>
      </c>
    </row>
    <row r="3" spans="1:15" ht="51">
      <c r="A3" t="s">
        <v>17</v>
      </c>
      <c r="B3" s="1" t="s">
        <v>18</v>
      </c>
      <c r="C3">
        <v>1</v>
      </c>
      <c r="D3">
        <v>3</v>
      </c>
      <c r="E3">
        <v>1</v>
      </c>
      <c r="G3" s="1">
        <v>1</v>
      </c>
      <c r="H3">
        <v>1</v>
      </c>
      <c r="J3">
        <v>1</v>
      </c>
      <c r="K3">
        <v>1</v>
      </c>
      <c r="L3">
        <v>1</v>
      </c>
      <c r="M3">
        <f>SUM(C3:L3)</f>
        <v>10</v>
      </c>
      <c r="N3" t="s">
        <v>6</v>
      </c>
    </row>
    <row r="4" spans="1:15" ht="51">
      <c r="A4" t="s">
        <v>17</v>
      </c>
      <c r="B4" s="1" t="s">
        <v>19</v>
      </c>
      <c r="C4">
        <v>3</v>
      </c>
      <c r="E4">
        <v>1</v>
      </c>
      <c r="F4" s="1">
        <v>1</v>
      </c>
      <c r="H4">
        <v>1</v>
      </c>
      <c r="K4">
        <v>1</v>
      </c>
      <c r="L4">
        <v>1</v>
      </c>
      <c r="M4">
        <f>SUM(C4:L4)</f>
        <v>8</v>
      </c>
      <c r="N4" t="s">
        <v>5</v>
      </c>
    </row>
    <row r="5" spans="1:15" ht="68.099999999999994">
      <c r="A5" t="s">
        <v>17</v>
      </c>
      <c r="B5" s="1" t="s">
        <v>20</v>
      </c>
      <c r="C5">
        <v>1</v>
      </c>
      <c r="D5">
        <v>1</v>
      </c>
      <c r="E5">
        <v>3</v>
      </c>
      <c r="I5">
        <v>1</v>
      </c>
      <c r="K5">
        <v>1</v>
      </c>
      <c r="L5">
        <v>1</v>
      </c>
      <c r="M5">
        <f>SUM(C5:L5)</f>
        <v>8</v>
      </c>
      <c r="N5" t="s">
        <v>7</v>
      </c>
    </row>
    <row r="6" spans="1:15" ht="68.099999999999994">
      <c r="A6" t="s">
        <v>17</v>
      </c>
      <c r="B6" s="1" t="s">
        <v>21</v>
      </c>
      <c r="C6">
        <v>2</v>
      </c>
      <c r="D6">
        <v>1</v>
      </c>
      <c r="E6">
        <v>1</v>
      </c>
      <c r="H6">
        <v>1</v>
      </c>
      <c r="I6">
        <v>1</v>
      </c>
      <c r="J6">
        <v>1</v>
      </c>
      <c r="L6">
        <v>1</v>
      </c>
      <c r="M6">
        <f>SUM(C6:L6)</f>
        <v>8</v>
      </c>
      <c r="N6" t="s">
        <v>5</v>
      </c>
    </row>
    <row r="7" spans="1:15" ht="33.950000000000003">
      <c r="A7" t="s">
        <v>17</v>
      </c>
      <c r="B7" s="1" t="s">
        <v>22</v>
      </c>
      <c r="D7">
        <v>1</v>
      </c>
      <c r="E7">
        <v>2</v>
      </c>
      <c r="H7">
        <v>1</v>
      </c>
      <c r="I7">
        <v>1</v>
      </c>
      <c r="K7">
        <v>1</v>
      </c>
      <c r="L7">
        <v>1</v>
      </c>
      <c r="M7">
        <f>SUM(C7:L7)</f>
        <v>7</v>
      </c>
      <c r="N7" t="s">
        <v>23</v>
      </c>
      <c r="O7" t="s">
        <v>24</v>
      </c>
    </row>
    <row r="8" spans="1:15" s="4" customFormat="1" ht="51">
      <c r="A8" s="4" t="s">
        <v>17</v>
      </c>
      <c r="B8" s="5" t="s">
        <v>25</v>
      </c>
      <c r="D8" s="4">
        <v>1</v>
      </c>
      <c r="E8" s="4">
        <v>2</v>
      </c>
      <c r="F8" s="5"/>
      <c r="G8" s="5">
        <v>2</v>
      </c>
      <c r="I8" s="4">
        <v>1</v>
      </c>
      <c r="L8" s="4">
        <v>1</v>
      </c>
      <c r="M8" s="4">
        <f>SUM(C8:L8)</f>
        <v>7</v>
      </c>
      <c r="O8" s="4" t="s">
        <v>26</v>
      </c>
    </row>
    <row r="9" spans="1:15" s="4" customFormat="1" ht="51">
      <c r="A9" s="4" t="s">
        <v>17</v>
      </c>
      <c r="B9" s="5" t="s">
        <v>27</v>
      </c>
      <c r="C9" s="4">
        <v>2</v>
      </c>
      <c r="F9" s="5"/>
      <c r="G9" s="5">
        <v>2</v>
      </c>
      <c r="H9" s="4">
        <v>1</v>
      </c>
      <c r="L9" s="4">
        <v>1</v>
      </c>
      <c r="M9" s="4">
        <f>SUM(C9:L9)</f>
        <v>6</v>
      </c>
    </row>
    <row r="10" spans="1:15" ht="33.950000000000003">
      <c r="A10" t="s">
        <v>17</v>
      </c>
      <c r="B10" s="1" t="s">
        <v>28</v>
      </c>
      <c r="D10">
        <v>4</v>
      </c>
      <c r="E10">
        <v>1</v>
      </c>
      <c r="I10">
        <v>1</v>
      </c>
      <c r="M10">
        <f>SUM(C10:L10)</f>
        <v>6</v>
      </c>
      <c r="N10" t="s">
        <v>29</v>
      </c>
    </row>
    <row r="11" spans="1:15" ht="17.100000000000001">
      <c r="A11" t="s">
        <v>17</v>
      </c>
      <c r="B11" s="1" t="s">
        <v>30</v>
      </c>
      <c r="C11">
        <v>2</v>
      </c>
      <c r="D11">
        <v>1</v>
      </c>
      <c r="E11">
        <v>1</v>
      </c>
      <c r="G11" s="1">
        <v>1</v>
      </c>
      <c r="I11">
        <v>1</v>
      </c>
      <c r="M11">
        <f>SUM(C11:L11)</f>
        <v>6</v>
      </c>
      <c r="O11" t="s">
        <v>31</v>
      </c>
    </row>
    <row r="12" spans="1:15" ht="33.950000000000003">
      <c r="A12" t="s">
        <v>17</v>
      </c>
      <c r="B12" s="1" t="s">
        <v>32</v>
      </c>
      <c r="C12">
        <v>1</v>
      </c>
      <c r="G12" s="1">
        <v>1</v>
      </c>
      <c r="H12">
        <v>1</v>
      </c>
      <c r="K12">
        <v>1</v>
      </c>
      <c r="L12">
        <v>1</v>
      </c>
      <c r="M12">
        <f>SUM(C12:L12)</f>
        <v>5</v>
      </c>
      <c r="N12" t="s">
        <v>29</v>
      </c>
    </row>
    <row r="13" spans="1:15" ht="17.100000000000001">
      <c r="A13" t="s">
        <v>17</v>
      </c>
      <c r="B13" s="1" t="s">
        <v>33</v>
      </c>
      <c r="C13">
        <v>1</v>
      </c>
      <c r="E13">
        <v>1</v>
      </c>
      <c r="G13" s="1">
        <v>1</v>
      </c>
      <c r="I13">
        <v>1</v>
      </c>
      <c r="L13">
        <v>1</v>
      </c>
      <c r="M13">
        <f>SUM(C13:L13)</f>
        <v>5</v>
      </c>
      <c r="N13" t="s">
        <v>29</v>
      </c>
    </row>
    <row r="14" spans="1:15" ht="33.950000000000003">
      <c r="A14" t="s">
        <v>17</v>
      </c>
      <c r="B14" s="1" t="s">
        <v>34</v>
      </c>
      <c r="E14">
        <v>2</v>
      </c>
      <c r="F14" s="1">
        <v>1</v>
      </c>
      <c r="H14">
        <v>1</v>
      </c>
      <c r="I14">
        <v>1</v>
      </c>
      <c r="M14">
        <f>SUM(C14:L14)</f>
        <v>5</v>
      </c>
      <c r="N14" t="s">
        <v>29</v>
      </c>
    </row>
    <row r="15" spans="1:15" ht="17.100000000000001">
      <c r="A15" t="s">
        <v>17</v>
      </c>
      <c r="B15" s="1" t="s">
        <v>35</v>
      </c>
      <c r="C15">
        <v>1</v>
      </c>
      <c r="G15" s="1">
        <v>1</v>
      </c>
      <c r="H15">
        <v>1</v>
      </c>
      <c r="I15">
        <v>1</v>
      </c>
      <c r="L15">
        <v>1</v>
      </c>
      <c r="M15">
        <f>SUM(C15:L15)</f>
        <v>5</v>
      </c>
      <c r="N15" t="s">
        <v>29</v>
      </c>
    </row>
    <row r="16" spans="1:15" ht="68.099999999999994">
      <c r="A16" t="s">
        <v>17</v>
      </c>
      <c r="B16" s="1" t="s">
        <v>36</v>
      </c>
      <c r="D16">
        <v>1</v>
      </c>
      <c r="H16">
        <v>1</v>
      </c>
      <c r="J16">
        <v>1</v>
      </c>
      <c r="M16">
        <f>SUM(C16:L16)</f>
        <v>3</v>
      </c>
      <c r="N16" t="s">
        <v>29</v>
      </c>
    </row>
    <row r="17" spans="1:15" ht="17.100000000000001">
      <c r="A17" t="s">
        <v>17</v>
      </c>
      <c r="B17" s="1" t="s">
        <v>37</v>
      </c>
      <c r="G17" s="1">
        <v>1</v>
      </c>
      <c r="I17">
        <v>1</v>
      </c>
      <c r="L17">
        <v>1</v>
      </c>
      <c r="M17">
        <f>SUM(C17:L17)</f>
        <v>3</v>
      </c>
      <c r="N17" t="s">
        <v>29</v>
      </c>
    </row>
    <row r="18" spans="1:15" ht="33.950000000000003">
      <c r="A18" t="s">
        <v>17</v>
      </c>
      <c r="B18" s="1" t="s">
        <v>38</v>
      </c>
      <c r="G18" s="1">
        <v>1</v>
      </c>
      <c r="I18">
        <v>1</v>
      </c>
      <c r="L18">
        <v>1</v>
      </c>
      <c r="M18">
        <f>SUM(C18:L18)</f>
        <v>3</v>
      </c>
      <c r="N18" t="s">
        <v>29</v>
      </c>
    </row>
    <row r="19" spans="1:15" ht="84.95">
      <c r="A19" t="s">
        <v>17</v>
      </c>
      <c r="B19" s="1" t="s">
        <v>39</v>
      </c>
      <c r="G19" s="1">
        <v>1</v>
      </c>
      <c r="L19">
        <v>1</v>
      </c>
      <c r="M19">
        <f>SUM(C19:L19)</f>
        <v>2</v>
      </c>
      <c r="N19" t="s">
        <v>29</v>
      </c>
    </row>
    <row r="20" spans="1:15" ht="17.100000000000001">
      <c r="A20" t="s">
        <v>17</v>
      </c>
      <c r="B20" s="1" t="s">
        <v>40</v>
      </c>
      <c r="C20">
        <v>1</v>
      </c>
      <c r="I20">
        <v>1</v>
      </c>
      <c r="M20">
        <f>SUM(C20:L20)</f>
        <v>2</v>
      </c>
      <c r="N20" t="s">
        <v>29</v>
      </c>
    </row>
    <row r="21" spans="1:15" ht="33.950000000000003">
      <c r="A21" t="s">
        <v>17</v>
      </c>
      <c r="B21" s="1" t="s">
        <v>41</v>
      </c>
      <c r="D21">
        <v>1</v>
      </c>
      <c r="I21">
        <v>1</v>
      </c>
      <c r="M21">
        <f>SUM(C21:L21)</f>
        <v>2</v>
      </c>
      <c r="N21" t="s">
        <v>29</v>
      </c>
    </row>
    <row r="22" spans="1:15" ht="33.950000000000003">
      <c r="A22" t="s">
        <v>17</v>
      </c>
      <c r="B22" s="1" t="s">
        <v>42</v>
      </c>
      <c r="D22">
        <v>1</v>
      </c>
      <c r="M22">
        <f>SUM(C22:L22)</f>
        <v>1</v>
      </c>
      <c r="N22" t="s">
        <v>29</v>
      </c>
    </row>
    <row r="23" spans="1:15" ht="135.94999999999999">
      <c r="A23" t="s">
        <v>43</v>
      </c>
      <c r="B23" s="1" t="s">
        <v>44</v>
      </c>
      <c r="C23">
        <v>4</v>
      </c>
      <c r="D23">
        <v>2</v>
      </c>
      <c r="E23">
        <v>2</v>
      </c>
      <c r="G23" s="1">
        <v>1</v>
      </c>
      <c r="H23">
        <v>1</v>
      </c>
      <c r="I23">
        <v>1</v>
      </c>
      <c r="M23">
        <f>SUM(C23:L23)</f>
        <v>11</v>
      </c>
      <c r="N23" t="s">
        <v>5</v>
      </c>
    </row>
    <row r="24" spans="1:15" ht="51">
      <c r="A24" t="s">
        <v>43</v>
      </c>
      <c r="B24" s="1" t="s">
        <v>45</v>
      </c>
      <c r="C24">
        <v>1</v>
      </c>
      <c r="D24">
        <v>2</v>
      </c>
      <c r="E24">
        <v>2</v>
      </c>
      <c r="H24">
        <v>1</v>
      </c>
      <c r="M24">
        <f>SUM(C24:L24)</f>
        <v>6</v>
      </c>
      <c r="O24" t="s">
        <v>46</v>
      </c>
    </row>
    <row r="25" spans="1:15" ht="33.950000000000003">
      <c r="A25" t="s">
        <v>43</v>
      </c>
      <c r="B25" s="1" t="s">
        <v>47</v>
      </c>
      <c r="C25">
        <v>2</v>
      </c>
      <c r="D25">
        <v>2</v>
      </c>
      <c r="H25">
        <v>1</v>
      </c>
      <c r="M25">
        <f>SUM(C25:L25)</f>
        <v>5</v>
      </c>
      <c r="N25" t="s">
        <v>5</v>
      </c>
      <c r="O25" t="s">
        <v>48</v>
      </c>
    </row>
    <row r="26" spans="1:15" ht="17.100000000000001">
      <c r="A26" t="s">
        <v>43</v>
      </c>
      <c r="B26" s="1" t="s">
        <v>49</v>
      </c>
      <c r="D26">
        <v>3</v>
      </c>
      <c r="G26" s="1">
        <v>1</v>
      </c>
      <c r="I26">
        <v>1</v>
      </c>
      <c r="M26">
        <f>SUM(C26:L26)</f>
        <v>5</v>
      </c>
      <c r="N26" t="s">
        <v>6</v>
      </c>
    </row>
    <row r="27" spans="1:15" ht="51">
      <c r="A27" t="s">
        <v>43</v>
      </c>
      <c r="B27" s="1" t="s">
        <v>50</v>
      </c>
      <c r="D27">
        <v>1</v>
      </c>
      <c r="E27">
        <v>1</v>
      </c>
      <c r="G27" s="1">
        <v>1</v>
      </c>
      <c r="H27">
        <v>1</v>
      </c>
      <c r="I27">
        <v>1</v>
      </c>
      <c r="M27">
        <f>SUM(C27:L27)</f>
        <v>5</v>
      </c>
      <c r="N27" t="s">
        <v>7</v>
      </c>
    </row>
    <row r="28" spans="1:15" ht="51">
      <c r="A28" t="s">
        <v>43</v>
      </c>
      <c r="B28" s="1" t="s">
        <v>51</v>
      </c>
      <c r="C28">
        <v>3</v>
      </c>
      <c r="H28">
        <v>1</v>
      </c>
      <c r="M28">
        <f>SUM(C28:L28)</f>
        <v>4</v>
      </c>
    </row>
    <row r="29" spans="1:15" ht="33.950000000000003">
      <c r="A29" t="s">
        <v>43</v>
      </c>
      <c r="B29" s="1" t="s">
        <v>52</v>
      </c>
      <c r="E29">
        <v>3</v>
      </c>
      <c r="H29">
        <v>1</v>
      </c>
      <c r="M29">
        <f>SUM(C29:L29)</f>
        <v>4</v>
      </c>
    </row>
    <row r="30" spans="1:15" ht="68.099999999999994">
      <c r="A30" t="s">
        <v>43</v>
      </c>
      <c r="B30" s="1" t="s">
        <v>53</v>
      </c>
      <c r="C30">
        <v>1</v>
      </c>
      <c r="E30">
        <v>1</v>
      </c>
      <c r="G30" s="1">
        <v>1</v>
      </c>
      <c r="H30">
        <v>1</v>
      </c>
      <c r="M30">
        <f>SUM(C30:L30)</f>
        <v>4</v>
      </c>
    </row>
    <row r="31" spans="1:15" ht="33.950000000000003">
      <c r="A31" t="s">
        <v>43</v>
      </c>
      <c r="B31" s="1" t="s">
        <v>54</v>
      </c>
      <c r="D31">
        <v>2</v>
      </c>
      <c r="E31">
        <v>1</v>
      </c>
      <c r="I31">
        <v>1</v>
      </c>
      <c r="M31">
        <f>SUM(C31:L31)</f>
        <v>4</v>
      </c>
    </row>
    <row r="32" spans="1:15" ht="51">
      <c r="A32" t="s">
        <v>43</v>
      </c>
      <c r="B32" s="1" t="s">
        <v>55</v>
      </c>
      <c r="C32">
        <v>1</v>
      </c>
      <c r="E32">
        <v>2</v>
      </c>
      <c r="I32">
        <v>1</v>
      </c>
      <c r="M32">
        <f>SUM(C32:L32)</f>
        <v>4</v>
      </c>
    </row>
    <row r="33" spans="1:15" ht="33.950000000000003">
      <c r="A33" t="s">
        <v>43</v>
      </c>
      <c r="B33" s="1" t="s">
        <v>56</v>
      </c>
      <c r="G33" s="1">
        <v>1</v>
      </c>
      <c r="H33">
        <v>1</v>
      </c>
      <c r="I33">
        <v>1</v>
      </c>
      <c r="M33">
        <f>SUM(C33:L33)</f>
        <v>3</v>
      </c>
    </row>
    <row r="34" spans="1:15" ht="33.950000000000003">
      <c r="A34" t="s">
        <v>43</v>
      </c>
      <c r="B34" s="1" t="s">
        <v>57</v>
      </c>
      <c r="D34">
        <v>1</v>
      </c>
      <c r="H34">
        <v>1</v>
      </c>
      <c r="M34">
        <f>SUM(C34:L34)</f>
        <v>2</v>
      </c>
    </row>
    <row r="35" spans="1:15" ht="17.100000000000001">
      <c r="A35" t="s">
        <v>43</v>
      </c>
      <c r="B35" s="1" t="s">
        <v>58</v>
      </c>
      <c r="E35">
        <v>1</v>
      </c>
      <c r="I35">
        <v>1</v>
      </c>
      <c r="M35">
        <f>SUM(C35:L35)</f>
        <v>2</v>
      </c>
    </row>
    <row r="36" spans="1:15" ht="33.950000000000003">
      <c r="A36" t="s">
        <v>43</v>
      </c>
      <c r="B36" s="1" t="s">
        <v>59</v>
      </c>
      <c r="I36">
        <v>1</v>
      </c>
      <c r="M36">
        <f>SUM(C36:L36)</f>
        <v>1</v>
      </c>
    </row>
    <row r="37" spans="1:15" ht="33.950000000000003">
      <c r="A37" t="s">
        <v>43</v>
      </c>
      <c r="B37" s="1" t="s">
        <v>60</v>
      </c>
      <c r="I37">
        <v>1</v>
      </c>
      <c r="M37">
        <f>SUM(C37:L37)</f>
        <v>1</v>
      </c>
    </row>
    <row r="38" spans="1:15" ht="51">
      <c r="A38" t="s">
        <v>61</v>
      </c>
      <c r="B38" s="1" t="s">
        <v>62</v>
      </c>
      <c r="C38">
        <v>5</v>
      </c>
      <c r="D38">
        <v>2</v>
      </c>
      <c r="E38">
        <v>3</v>
      </c>
      <c r="H38">
        <v>1</v>
      </c>
      <c r="I38">
        <v>1</v>
      </c>
      <c r="M38">
        <f>SUM(C38:L38)</f>
        <v>12</v>
      </c>
      <c r="N38" t="s">
        <v>5</v>
      </c>
    </row>
    <row r="39" spans="1:15" ht="51">
      <c r="A39" t="s">
        <v>61</v>
      </c>
      <c r="B39" s="1" t="s">
        <v>63</v>
      </c>
      <c r="C39">
        <v>2</v>
      </c>
      <c r="D39">
        <v>1</v>
      </c>
      <c r="E39">
        <v>6</v>
      </c>
      <c r="H39">
        <v>1</v>
      </c>
      <c r="I39">
        <v>1</v>
      </c>
      <c r="M39">
        <f>SUM(C39:L39)</f>
        <v>11</v>
      </c>
      <c r="N39" t="s">
        <v>7</v>
      </c>
    </row>
    <row r="40" spans="1:15" ht="17.100000000000001">
      <c r="A40" t="s">
        <v>61</v>
      </c>
      <c r="B40" s="1" t="s">
        <v>64</v>
      </c>
      <c r="C40">
        <v>2</v>
      </c>
      <c r="D40">
        <v>3</v>
      </c>
      <c r="G40" s="1">
        <v>1</v>
      </c>
      <c r="H40">
        <v>1</v>
      </c>
      <c r="I40">
        <v>1</v>
      </c>
      <c r="M40">
        <f>SUM(C40:L40)</f>
        <v>8</v>
      </c>
      <c r="O40" t="s">
        <v>65</v>
      </c>
    </row>
    <row r="41" spans="1:15" ht="33.950000000000003">
      <c r="A41" t="s">
        <v>61</v>
      </c>
      <c r="B41" s="1" t="s">
        <v>66</v>
      </c>
      <c r="C41">
        <v>1</v>
      </c>
      <c r="D41">
        <v>1</v>
      </c>
      <c r="E41">
        <v>1</v>
      </c>
      <c r="H41">
        <v>1</v>
      </c>
      <c r="I41">
        <v>1</v>
      </c>
      <c r="M41">
        <f>SUM(C41:L41)</f>
        <v>5</v>
      </c>
    </row>
    <row r="42" spans="1:15" ht="33.950000000000003">
      <c r="A42" t="s">
        <v>61</v>
      </c>
      <c r="B42" s="1" t="s">
        <v>67</v>
      </c>
      <c r="C42">
        <v>3</v>
      </c>
      <c r="E42">
        <v>2</v>
      </c>
      <c r="F42" s="1">
        <v>1</v>
      </c>
      <c r="I42">
        <v>1</v>
      </c>
      <c r="M42">
        <f>SUM(C42:L42)</f>
        <v>7</v>
      </c>
      <c r="N42" t="s">
        <v>5</v>
      </c>
      <c r="O42" t="s">
        <v>68</v>
      </c>
    </row>
    <row r="43" spans="1:15" ht="17.100000000000001">
      <c r="A43" t="s">
        <v>61</v>
      </c>
      <c r="B43" s="1" t="s">
        <v>69</v>
      </c>
      <c r="D43">
        <v>3</v>
      </c>
      <c r="H43">
        <v>1</v>
      </c>
      <c r="I43">
        <v>1</v>
      </c>
      <c r="M43">
        <f>SUM(C43:L43)</f>
        <v>5</v>
      </c>
      <c r="N43" t="s">
        <v>6</v>
      </c>
    </row>
    <row r="44" spans="1:15" ht="17.100000000000001">
      <c r="A44" t="s">
        <v>61</v>
      </c>
      <c r="B44" s="1" t="s">
        <v>70</v>
      </c>
      <c r="D44">
        <v>2</v>
      </c>
      <c r="E44">
        <v>1</v>
      </c>
      <c r="F44" s="1">
        <v>1</v>
      </c>
      <c r="H44">
        <v>1</v>
      </c>
      <c r="M44">
        <f>SUM(C44:L44)</f>
        <v>5</v>
      </c>
    </row>
    <row r="45" spans="1:15" ht="17.100000000000001">
      <c r="A45" t="s">
        <v>61</v>
      </c>
      <c r="B45" s="1" t="s">
        <v>71</v>
      </c>
      <c r="C45">
        <v>1</v>
      </c>
      <c r="D45">
        <v>1</v>
      </c>
      <c r="E45">
        <v>1</v>
      </c>
      <c r="H45">
        <v>1</v>
      </c>
      <c r="I45">
        <v>1</v>
      </c>
      <c r="M45">
        <f>SUM(C45:L45)</f>
        <v>5</v>
      </c>
    </row>
    <row r="46" spans="1:15" ht="17.100000000000001">
      <c r="A46" t="s">
        <v>61</v>
      </c>
      <c r="B46" s="1" t="s">
        <v>72</v>
      </c>
      <c r="E46">
        <v>2</v>
      </c>
      <c r="F46" s="1">
        <v>1</v>
      </c>
      <c r="H46">
        <v>1</v>
      </c>
      <c r="M46">
        <f>SUM(C46:L46)</f>
        <v>4</v>
      </c>
    </row>
    <row r="47" spans="1:15" ht="51">
      <c r="A47" t="s">
        <v>61</v>
      </c>
      <c r="B47" s="1" t="s">
        <v>73</v>
      </c>
      <c r="E47">
        <v>1</v>
      </c>
      <c r="F47" s="1">
        <v>1</v>
      </c>
      <c r="H47">
        <v>1</v>
      </c>
      <c r="M47">
        <f>SUM(C47:L47)</f>
        <v>3</v>
      </c>
    </row>
    <row r="48" spans="1:15" ht="33.950000000000003">
      <c r="A48" t="s">
        <v>61</v>
      </c>
      <c r="B48" s="1" t="s">
        <v>74</v>
      </c>
      <c r="C48">
        <v>1</v>
      </c>
      <c r="D48">
        <v>1</v>
      </c>
      <c r="H48">
        <v>1</v>
      </c>
      <c r="M48">
        <f>SUM(C48:L48)</f>
        <v>3</v>
      </c>
    </row>
    <row r="49" spans="1:13" ht="17.100000000000001">
      <c r="A49" t="s">
        <v>61</v>
      </c>
      <c r="B49" s="1" t="s">
        <v>75</v>
      </c>
      <c r="D49">
        <v>1</v>
      </c>
      <c r="I49">
        <v>1</v>
      </c>
      <c r="M49">
        <f>SUM(C49:L49)</f>
        <v>2</v>
      </c>
    </row>
  </sheetData>
  <autoFilter ref="A2:V2" xr:uid="{1788EC69-9C4D-D540-847F-5244C5756BBB}"/>
  <sortState xmlns:xlrd2="http://schemas.microsoft.com/office/spreadsheetml/2017/richdata2" ref="A3:M49">
    <sortCondition ref="A23:A49"/>
    <sortCondition descending="1" ref="M23:M4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eb9fc1-6eb2-4130-bff0-86e2d7b2fa6c">
      <Terms xmlns="http://schemas.microsoft.com/office/infopath/2007/PartnerControls"/>
    </lcf76f155ced4ddcb4097134ff3c332f>
    <TaxCatchAll xmlns="cc4f7e58-aee3-484e-9ced-6ad849805b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69E2290A67B40B23AAEC46BE07916" ma:contentTypeVersion="12" ma:contentTypeDescription="Create a new document." ma:contentTypeScope="" ma:versionID="2c678bf8766c30155ef286bfb3fc8237">
  <xsd:schema xmlns:xsd="http://www.w3.org/2001/XMLSchema" xmlns:xs="http://www.w3.org/2001/XMLSchema" xmlns:p="http://schemas.microsoft.com/office/2006/metadata/properties" xmlns:ns2="67eb9fc1-6eb2-4130-bff0-86e2d7b2fa6c" xmlns:ns3="cc4f7e58-aee3-484e-9ced-6ad849805b22" targetNamespace="http://schemas.microsoft.com/office/2006/metadata/properties" ma:root="true" ma:fieldsID="0ddb8f98fca7970fae8315de15b7503b" ns2:_="" ns3:_="">
    <xsd:import namespace="67eb9fc1-6eb2-4130-bff0-86e2d7b2fa6c"/>
    <xsd:import namespace="cc4f7e58-aee3-484e-9ced-6ad849805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b9fc1-6eb2-4130-bff0-86e2d7b2fa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a363587-87ea-41e2-9a9e-8270a2079e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f7e58-aee3-484e-9ced-6ad849805b2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ad6e149-f843-4ea4-af81-8c9aca828c0b}" ma:internalName="TaxCatchAll" ma:showField="CatchAllData" ma:web="cc4f7e58-aee3-484e-9ced-6ad849805b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173D51-DDFF-4DB3-AB82-67887F6A756A}"/>
</file>

<file path=customXml/itemProps2.xml><?xml version="1.0" encoding="utf-8"?>
<ds:datastoreItem xmlns:ds="http://schemas.openxmlformats.org/officeDocument/2006/customXml" ds:itemID="{0C48C594-2630-4754-9C57-117FC22F0CDD}"/>
</file>

<file path=customXml/itemProps3.xml><?xml version="1.0" encoding="utf-8"?>
<ds:datastoreItem xmlns:ds="http://schemas.openxmlformats.org/officeDocument/2006/customXml" ds:itemID="{78FC2DD3-CBFB-41E0-B990-20AABE9BA0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King(UST,US)</dc:creator>
  <cp:keywords/>
  <dc:description/>
  <cp:lastModifiedBy>Jolene Haley(UST,US)</cp:lastModifiedBy>
  <cp:revision/>
  <dcterms:created xsi:type="dcterms:W3CDTF">2025-06-11T19:42:41Z</dcterms:created>
  <dcterms:modified xsi:type="dcterms:W3CDTF">2025-06-18T15:16:44Z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0x010100CC969E2290A67B40B23AAEC46BE07916</vt:lpwstr>
  </property>
</Properties>
</file>