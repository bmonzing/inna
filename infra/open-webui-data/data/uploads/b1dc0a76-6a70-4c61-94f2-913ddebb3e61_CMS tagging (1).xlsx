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xr:revisionPtr revIDLastSave="3641" documentId="11_B95E8F3DFD51F0087D3BE2BC380A707E791FF908" xr6:coauthVersionLast="47" xr6:coauthVersionMax="47" xr10:uidLastSave="{1EFA8EFA-C72F-43FE-A4E7-E7CDC47DA159}"/>
  <bookViews>
    <workbookView xWindow="0" yWindow="0" windowWidth="0" windowHeight="0" firstSheet="1" xr2:uid="{00000000-000D-0000-FFFF-FFFF00000000}"/>
  </bookViews>
  <sheets>
    <sheet name="Profile" sheetId="1" r:id="rId1"/>
    <sheet name="New Tag keys" sheetId="2" r:id="rId2"/>
    <sheet name="Tags 2025" sheetId="3" r:id="rId3"/>
    <sheet name="Guidelines" sheetId="4" r:id="rId4"/>
    <sheet name="V2 New system worksheet" sheetId="5" r:id="rId5"/>
    <sheet name="V1 New system worksheet" sheetId="6" r:id="rId6"/>
    <sheet name="Sheet9" sheetId="7" r:id="rId7"/>
    <sheet name="Export of publications with tag" sheetId="8" r:id="rId8"/>
    <sheet name="Count of Unique tags" sheetId="9" r:id="rId9"/>
    <sheet name="Experiment - Topics-&gt;Tags" sheetId="10" r:id="rId10"/>
    <sheet name="Unique tags" sheetId="11" r:id="rId11"/>
  </sheets>
  <definedNames>
    <definedName name="_xlnm._FilterDatabase" localSheetId="2" hidden="1">'Tags 2025'!$A$1:$AB$1043</definedName>
    <definedName name="_xlnm._FilterDatabase" localSheetId="4" hidden="1">'V2 New system worksheet'!$A$1:$AJ$1117</definedName>
    <definedName name="_xlnm._FilterDatabase" localSheetId="1" hidden="1">'New Tag keys'!$A$1:$K$1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0" l="1" a="1"/>
  <c r="B1" i="10"/>
  <c r="N2" i="5" a="1"/>
  <c r="N2" i="5"/>
  <c r="O2" i="5" a="1"/>
  <c r="O2" i="5"/>
  <c r="B1" i="2"/>
  <c r="I1" i="2"/>
  <c r="H1" i="2"/>
  <c r="G1" i="2"/>
  <c r="F1" i="2"/>
  <c r="E1" i="2"/>
  <c r="D1" i="2"/>
  <c r="C1" i="2"/>
  <c r="A1" i="2"/>
  <c r="C28" i="10"/>
  <c r="C27" i="10"/>
  <c r="C26" i="10"/>
  <c r="C25" i="10"/>
  <c r="C24" i="10"/>
  <c r="C23" i="10"/>
  <c r="C22" i="10"/>
  <c r="C21" i="10"/>
  <c r="C20" i="10"/>
  <c r="C19" i="10"/>
  <c r="C18" i="10"/>
  <c r="C17" i="10"/>
  <c r="C16" i="10"/>
  <c r="C15" i="10"/>
  <c r="C14" i="10"/>
  <c r="C13" i="10"/>
  <c r="C12" i="10"/>
  <c r="C11" i="10"/>
  <c r="C10" i="10"/>
  <c r="C9" i="10"/>
  <c r="C8" i="10"/>
  <c r="C7" i="10"/>
  <c r="C6" i="10"/>
  <c r="C5" i="10"/>
  <c r="C4" i="10"/>
  <c r="C3" i="10"/>
  <c r="C2" i="10"/>
  <c r="C1" i="10"/>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E2" i="9"/>
  <c r="E1" i="9"/>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M3" i="5"/>
  <c r="M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tc={D39480DC-62BE-4C36-A4BE-51233F7F00DF}</author>
    <author>tc={F51C2CDB-16CA-44C8-9076-C4D17536E275}</author>
    <author>tc={213791E4-7F70-4547-9CCF-47F95EE08891}</author>
  </authors>
  <commentList>
    <comment ref="H8" authorId="0" shapeId="0" xr:uid="{D39480DC-62BE-4C36-A4BE-51233F7F00D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@Michael Stephenson(UST,US) We filled in a few new tags to cover these areas (in red).  Let us know what you think, or if you'd like to handle it differently?
Reply:
    The new tags look good to me!</t>
      </text>
    </comment>
    <comment ref="I11" authorId="1" shapeId="0" xr:uid="{F51C2CDB-16CA-44C8-9076-C4D17536E27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@Leif Drake(UST,US) I'm curious about the reason for this group tag on these answers. Also, how can we conclude that someone interested in budgeting has the goal of emergency fund?
Reply:
    this seemed like the best of the existing 'Group' tag, but it is not perfect.  We can rework the group tags as we run into clear limitations.
EMF and Budget are very closely linked.  EMF is usually measured as a multiple of your budget, like 3 or 6months of expenses.  So you need a Budget to get EMF magic number, and if you're interested in Budgeting, we'll suggest you track and your EMF goal
</t>
      </text>
    </comment>
    <comment ref="A22" authorId="2" shapeId="0" xr:uid="{213791E4-7F70-4547-9CCF-47F95EE08891}">
      <text>
        <t>[Threaded comment]
Your version of Excel allows you to read this threaded comment; however, any edits to it will get removed if the file is opened in a newer version of Excel. Learn more: https://go.microsoft.com/fwlink/?linkid=870924
Comment:
    @Mariano Coni(UST,AR) @Leif Drake(UST,US) new questions/answers to help with char count!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<sst xmlns="http://schemas.openxmlformats.org/spreadsheetml/2006/main" count="13068" uniqueCount="2563">
  <si>
    <t>Onboarding</t>
  </si>
  <si>
    <t>Category</t>
  </si>
  <si>
    <t>Profile question</t>
  </si>
  <si>
    <t>P-text</t>
  </si>
  <si>
    <t>Profile answer</t>
  </si>
  <si>
    <t>Goal tag</t>
  </si>
  <si>
    <t>Life moment</t>
  </si>
  <si>
    <t>Content tag 1 (topic)</t>
  </si>
  <si>
    <t>Content tag 2 (group)</t>
  </si>
  <si>
    <t>Profile tag</t>
  </si>
  <si>
    <t>web Video/reel</t>
  </si>
  <si>
    <t>Mobile Video/reel</t>
  </si>
  <si>
    <t>Notes</t>
  </si>
  <si>
    <t>circumstances</t>
  </si>
  <si>
    <t xml:space="preserve">Who do you include in your budget? </t>
  </si>
  <si>
    <t>Choose everyone you feel responsible for when planning your finances.</t>
  </si>
  <si>
    <t>Myself</t>
  </si>
  <si>
    <t>goal-retirement, 
goal-emergency-fund</t>
  </si>
  <si>
    <t>group-family</t>
  </si>
  <si>
    <t>profile-family-myself</t>
  </si>
  <si>
    <t>https://videos.ctfassets.net/pmoql4aw53io/fLHvCorN4uCZI7vL13FNe/fe0f5f334c47343d9ab3728401d69eee/onb_web_benefits.mp4</t>
  </si>
  <si>
    <t>retirement video</t>
  </si>
  <si>
    <t>Spouse/partner</t>
  </si>
  <si>
    <t>lm-combining-finances</t>
  </si>
  <si>
    <t>topic-partner</t>
  </si>
  <si>
    <t>profile-family-spouse</t>
  </si>
  <si>
    <t>https://videos.ctfassets.net/pmoql4aw53io/MuB3xyTncjpeIG3yDGXMN/c87d6d0b6fdd052f55bfabdb4b011cf1/onb_web_budged.mp4</t>
  </si>
  <si>
    <t>Budget video</t>
  </si>
  <si>
    <t>Kids</t>
  </si>
  <si>
    <t>goal-kids-education</t>
  </si>
  <si>
    <t>lm-growing-your-family</t>
  </si>
  <si>
    <t>topic-kids</t>
  </si>
  <si>
    <t>profile-family-havekids</t>
  </si>
  <si>
    <t>Extended family</t>
  </si>
  <si>
    <t>topic-caregiving</t>
  </si>
  <si>
    <t>profile-family-extendedfam</t>
  </si>
  <si>
    <t>Parents</t>
  </si>
  <si>
    <t>profile-family-agingparents</t>
  </si>
  <si>
    <t>Pets</t>
  </si>
  <si>
    <t>topic-pets</t>
  </si>
  <si>
    <t>profile-family-havepets</t>
  </si>
  <si>
    <t>Do you rent or own your home?</t>
  </si>
  <si>
    <t>A home could be a house, condo, apartment, or something else -- wherever you live!</t>
  </si>
  <si>
    <t>Own</t>
  </si>
  <si>
    <t>topic-owning-home</t>
  </si>
  <si>
    <t>group-housing</t>
  </si>
  <si>
    <t>profile-property-ownhome</t>
  </si>
  <si>
    <t>benefits</t>
  </si>
  <si>
    <t>Rent</t>
  </si>
  <si>
    <t>goal-buying-a-home</t>
  </si>
  <si>
    <t>topic-renting</t>
  </si>
  <si>
    <t>profile-property-rent</t>
  </si>
  <si>
    <t>Buying a Home video</t>
  </si>
  <si>
    <t>Neither</t>
  </si>
  <si>
    <t>topic-free-housing</t>
  </si>
  <si>
    <t>profile-property-neither</t>
  </si>
  <si>
    <t>Benefits video</t>
  </si>
  <si>
    <t>priorities</t>
  </si>
  <si>
    <t>What are your financial priorities?</t>
  </si>
  <si>
    <t>We'll connect you with information and benefits to help.</t>
  </si>
  <si>
    <t>Budgeting</t>
  </si>
  <si>
    <t>goal-emergency-fund</t>
  </si>
  <si>
    <t>topic-budget</t>
  </si>
  <si>
    <t>group-how-to-save</t>
  </si>
  <si>
    <t>profile-priorities-budgeting</t>
  </si>
  <si>
    <t>Buying a home</t>
  </si>
  <si>
    <t>topic-mortgages</t>
  </si>
  <si>
    <t>profile-priorities-wanthome</t>
  </si>
  <si>
    <t>https://videos.ctfassets.net/pmoql4aw53io/XUE1VbhOE88IWPWawhLxZ/20f0337d8957ddadfdd028699e7b66f8/onb_web_buy_home.mp4</t>
  </si>
  <si>
    <t>Buy home video</t>
  </si>
  <si>
    <t>College fund</t>
  </si>
  <si>
    <t>topic-529</t>
  </si>
  <si>
    <t>profile-priorities-collegefund</t>
  </si>
  <si>
    <t>Estate planning</t>
  </si>
  <si>
    <t>topic-estate-planning</t>
  </si>
  <si>
    <t>group-benefits</t>
  </si>
  <si>
    <t>Health costs</t>
  </si>
  <si>
    <t>topic-health</t>
  </si>
  <si>
    <t>profile-priorities-healthcost</t>
  </si>
  <si>
    <t>Investing</t>
  </si>
  <si>
    <t>topic-investing</t>
  </si>
  <si>
    <t>group-investing-strategies</t>
  </si>
  <si>
    <t>profile-priorities-investing</t>
  </si>
  <si>
    <t>https://videos.ctfassets.net/pmoql4aw53io/4nSxcJwGTfzy1PfjnZM4FB/9c1b4067e968ad1960ea46cd7cce7eb2/onb_web_occams.mp4</t>
  </si>
  <si>
    <t>Occam's</t>
  </si>
  <si>
    <t>Life insurance</t>
  </si>
  <si>
    <t>topic-insurance</t>
  </si>
  <si>
    <t>group-account-types</t>
  </si>
  <si>
    <t>profile-priorities-lifeinsurance</t>
  </si>
  <si>
    <t>Managing debt</t>
  </si>
  <si>
    <t>goal-debt-management</t>
  </si>
  <si>
    <t>topic-credit-cards</t>
  </si>
  <si>
    <t>profile-priorities-debtmanagement</t>
  </si>
  <si>
    <t>https://videos.ctfassets.net/pmoql4aw53io/6Q4vuk0UDEcJgjVrcsscBF/242e3d1465526dad0ab5cc13ba27d545/onb_web_debt.mp4</t>
  </si>
  <si>
    <t>Debt video</t>
  </si>
  <si>
    <t>Tax planning</t>
  </si>
  <si>
    <t>topic-taxes</t>
  </si>
  <si>
    <t>profile-priorities-taxplanning</t>
  </si>
  <si>
    <t>Retirement</t>
  </si>
  <si>
    <t>goal-retirement</t>
  </si>
  <si>
    <t>topic-retirement</t>
  </si>
  <si>
    <t>profile-property-retirement</t>
  </si>
  <si>
    <t>Launch questions below</t>
  </si>
  <si>
    <t>Profile</t>
  </si>
  <si>
    <t xml:space="preserve">What insurance policies do you have? </t>
  </si>
  <si>
    <t>Select all types that you carry currently.</t>
  </si>
  <si>
    <t xml:space="preserve">Disability </t>
  </si>
  <si>
    <t>group-protecting-wealth</t>
  </si>
  <si>
    <t>profile-disability-insurance</t>
  </si>
  <si>
    <t xml:space="preserve">Life </t>
  </si>
  <si>
    <t>profile-life-insurance</t>
  </si>
  <si>
    <t xml:space="preserve">Home </t>
  </si>
  <si>
    <t>profile-home-insurance</t>
  </si>
  <si>
    <t xml:space="preserve">Renters </t>
  </si>
  <si>
    <t>profile-renters-insurance</t>
  </si>
  <si>
    <t xml:space="preserve">Umbrella </t>
  </si>
  <si>
    <t>profile-umbrella-insurance</t>
  </si>
  <si>
    <t>What estate plans have you put in place?</t>
  </si>
  <si>
    <t>Select everything you've planned for your finances after death.</t>
  </si>
  <si>
    <t>Will</t>
  </si>
  <si>
    <t>profile-will</t>
  </si>
  <si>
    <t>Trust</t>
  </si>
  <si>
    <t>group-caregiving</t>
  </si>
  <si>
    <t>profile-trust</t>
  </si>
  <si>
    <t>Guardianship</t>
  </si>
  <si>
    <t>profile-guardianship</t>
  </si>
  <si>
    <t>Beneficiaries</t>
  </si>
  <si>
    <t>topic-beneficiaries</t>
  </si>
  <si>
    <t>profile-beneficiaries</t>
  </si>
  <si>
    <t>preferences</t>
  </si>
  <si>
    <t>How often do you want to review progress on your financial goals?</t>
  </si>
  <si>
    <t>Choose the answer that feels right for your needs.</t>
  </si>
  <si>
    <t>Never</t>
  </si>
  <si>
    <t>topic-goals</t>
  </si>
  <si>
    <t>group-priorities</t>
  </si>
  <si>
    <t>profile-goal-progress-never</t>
  </si>
  <si>
    <t>Yearly</t>
  </si>
  <si>
    <t>profile-goal-progress-yearly</t>
  </si>
  <si>
    <t>Quarterly</t>
  </si>
  <si>
    <t>profile-goal-progress-quarterly</t>
  </si>
  <si>
    <t>Monthly</t>
  </si>
  <si>
    <t>profile-goal-progress-monthly</t>
  </si>
  <si>
    <t>Weekly</t>
  </si>
  <si>
    <t>profile-goal-progress-weekly</t>
  </si>
  <si>
    <t>Daily</t>
  </si>
  <si>
    <t>profile-goal-progress-daily</t>
  </si>
  <si>
    <t>confidence &amp; clarity</t>
  </si>
  <si>
    <t xml:space="preserve">What’s your investment experience level? </t>
  </si>
  <si>
    <t>Select the best answer to describe yourself.</t>
  </si>
  <si>
    <t>Beginner</t>
  </si>
  <si>
    <t>profile-invest-beginner</t>
  </si>
  <si>
    <t>Intermediate</t>
  </si>
  <si>
    <t>profile-invest-intermediate</t>
  </si>
  <si>
    <t>Advanced</t>
  </si>
  <si>
    <t>profile-invest-advanced</t>
  </si>
  <si>
    <t>None</t>
  </si>
  <si>
    <t>profile-invest-none</t>
  </si>
  <si>
    <t>Draft below</t>
  </si>
  <si>
    <t xml:space="preserve">In managing your finances, which professionals do you collaborate with? </t>
  </si>
  <si>
    <t>Select all that you've used recently or in the past.</t>
  </si>
  <si>
    <t>Stock broker</t>
  </si>
  <si>
    <t>profile-investhelp-stockbroker</t>
  </si>
  <si>
    <t>Investment banker</t>
  </si>
  <si>
    <t>profile-investhelp-investmentbanker</t>
  </si>
  <si>
    <t>Financial planner</t>
  </si>
  <si>
    <t>profile-investhelp-financialadvisor</t>
  </si>
  <si>
    <t>Robo-advisor</t>
  </si>
  <si>
    <t>profile-investhelp-roboadvisor</t>
  </si>
  <si>
    <t>Tax accountant</t>
  </si>
  <si>
    <t>profile-investhelp-taxaccountant</t>
  </si>
  <si>
    <t>Estate attorney</t>
  </si>
  <si>
    <t>profile-investhelp-estateattorney</t>
  </si>
  <si>
    <t xml:space="preserve">What’s your comfort level with risk when investing? </t>
  </si>
  <si>
    <t>Tell us how much risk you're comfortable with.</t>
  </si>
  <si>
    <t>High</t>
  </si>
  <si>
    <t>topic-risk-high</t>
  </si>
  <si>
    <t>group-risk-levels</t>
  </si>
  <si>
    <t>profile-risk-high</t>
  </si>
  <si>
    <t>Medium</t>
  </si>
  <si>
    <t>topic-risk-medium</t>
  </si>
  <si>
    <t>profile-risk-medium</t>
  </si>
  <si>
    <t>Low</t>
  </si>
  <si>
    <t>topic-risk-low</t>
  </si>
  <si>
    <t>profile-risk-low</t>
  </si>
  <si>
    <t xml:space="preserve">Do you have a life insurance policy for yourself? </t>
  </si>
  <si>
    <t>No, I don't need it</t>
  </si>
  <si>
    <t>No, but I should get one</t>
  </si>
  <si>
    <t>Yes, I'm all set</t>
  </si>
  <si>
    <t>I don't know</t>
  </si>
  <si>
    <t>Do you have an estate plan, trust, or will?</t>
  </si>
  <si>
    <t>Do you have kids in any of these ages?</t>
  </si>
  <si>
    <t>Planning for kids</t>
  </si>
  <si>
    <t>profile-family-wantkids</t>
  </si>
  <si>
    <t>As of now, we can't ask this conditionally</t>
  </si>
  <si>
    <t>Infant and toddler</t>
  </si>
  <si>
    <t>Elementary age</t>
  </si>
  <si>
    <t>profile-family-kids-toddler</t>
  </si>
  <si>
    <t>Teenager</t>
  </si>
  <si>
    <t>profile-family-kids-teenager</t>
  </si>
  <si>
    <t>Adult</t>
  </si>
  <si>
    <t>profile-family-kids-independent</t>
  </si>
  <si>
    <t>Potential follow up answers to "How would you describe your investment approach?"</t>
  </si>
  <si>
    <t>Select all that apply to you.</t>
  </si>
  <si>
    <t>None (I don't invest)</t>
  </si>
  <si>
    <t>topic-invest-none</t>
  </si>
  <si>
    <t>What best describes your investing approach?</t>
  </si>
  <si>
    <t>Long-term investor</t>
  </si>
  <si>
    <t>How would you describe your investment style or experience?</t>
  </si>
  <si>
    <t>Short-term investor</t>
  </si>
  <si>
    <t>Which best describes your investing style and experience?</t>
  </si>
  <si>
    <t>Expert</t>
  </si>
  <si>
    <t>Broadly diversified</t>
  </si>
  <si>
    <t>Targeted investing</t>
  </si>
  <si>
    <t>Values-based investing</t>
  </si>
  <si>
    <t xml:space="preserve">Automated investing </t>
  </si>
  <si>
    <t>Contrarian investor</t>
  </si>
  <si>
    <t>TBD</t>
  </si>
  <si>
    <t>I am taking advantage of all available strategies to reduce the taxes I pay.</t>
  </si>
  <si>
    <t>I am taking advantage of all available available benefits from my employer</t>
  </si>
  <si>
    <t>My financial decisions support the life I want to live and the person I want to be.</t>
  </si>
  <si>
    <t>I understand the beliefs, emotions, and biases that influence my financial decisions.</t>
  </si>
  <si>
    <t>I have a clear view of my complete financial picture – all of my assets (what I own) and my liabilities (what I owe)</t>
  </si>
  <si>
    <t>Money is a cause of stress, anxiety, or worry in my life.</t>
  </si>
  <si>
    <t>I have specific financial goals and clear strategies to achieve them.</t>
  </si>
  <si>
    <t>My debt and monthly payments are a cause of stress in my life.</t>
  </si>
  <si>
    <t>I have a clear picture of all investments and the level of risk I am taking.</t>
  </si>
  <si>
    <t>To what extent is Education Planning a concern of yours?</t>
  </si>
  <si>
    <t>I know how much money I need to save in order to achieve a financially secure retirement.</t>
  </si>
  <si>
    <t>I have the expertise and time to effectively implement all aspects of my financial plan.</t>
  </si>
  <si>
    <t>How do you commute?</t>
  </si>
  <si>
    <t>Car</t>
  </si>
  <si>
    <t>topic-car</t>
  </si>
  <si>
    <t>profile-transportation-owncar</t>
  </si>
  <si>
    <t>parking benefit</t>
  </si>
  <si>
    <t>occams videi</t>
  </si>
  <si>
    <t>Public transit</t>
  </si>
  <si>
    <t>topic-budget,topic-benefits</t>
  </si>
  <si>
    <t>profile-transportation-public</t>
  </si>
  <si>
    <t>commuter benefits</t>
  </si>
  <si>
    <t>I work from home</t>
  </si>
  <si>
    <t>Bike</t>
  </si>
  <si>
    <t>topic-benefits</t>
  </si>
  <si>
    <t>group-self-care</t>
  </si>
  <si>
    <t>profile-transportation-bike</t>
  </si>
  <si>
    <t>Do you have insurance in these?</t>
  </si>
  <si>
    <t>Auto</t>
  </si>
  <si>
    <t>I have insurance coverage in all of the categories that are important to my financial well-being (e.g. health, disability, life, and property (e.g. home, car).</t>
  </si>
  <si>
    <t>Life</t>
  </si>
  <si>
    <t>we can use this for Wellness Score and map to existing articles</t>
  </si>
  <si>
    <t>Renters</t>
  </si>
  <si>
    <t>Umbrella</t>
  </si>
  <si>
    <t>Disability</t>
  </si>
  <si>
    <t>Do you have any other sources of income?</t>
  </si>
  <si>
    <t>side hustle</t>
  </si>
  <si>
    <t>rental property</t>
  </si>
  <si>
    <t>active investing</t>
  </si>
  <si>
    <t>other</t>
  </si>
  <si>
    <t>profile-investment-sidehustle</t>
  </si>
  <si>
    <t>At what stage are you in your career?</t>
  </si>
  <si>
    <t>What stage are you in?</t>
  </si>
  <si>
    <t>profile-career-junior</t>
  </si>
  <si>
    <t>The answer options seem hard to interpret/distinguish; can't we infer this from their age/tenure well enough?</t>
  </si>
  <si>
    <t>Do you know how to progress?</t>
  </si>
  <si>
    <t>profile-career-semisenior</t>
  </si>
  <si>
    <t>could be a poll</t>
  </si>
  <si>
    <t>profile-career-senior</t>
  </si>
  <si>
    <t>profile-career-howtoprogress</t>
  </si>
  <si>
    <t>profile-career-manager</t>
  </si>
  <si>
    <t>Do you have any of these types of debt?</t>
  </si>
  <si>
    <t>Mortgage</t>
  </si>
  <si>
    <t>profile-debt-mortgage</t>
  </si>
  <si>
    <t>Credit cards</t>
  </si>
  <si>
    <t>profile-debt-creditcard</t>
  </si>
  <si>
    <t>goal</t>
  </si>
  <si>
    <t>Private loans</t>
  </si>
  <si>
    <t>profile-debt-loans</t>
  </si>
  <si>
    <t>Home equity loan</t>
  </si>
  <si>
    <t>profile-debt-studentloan</t>
  </si>
  <si>
    <t>Student loan</t>
  </si>
  <si>
    <t>profile-debt-homeequity</t>
  </si>
  <si>
    <t>profile-debt-car</t>
  </si>
  <si>
    <t>plans</t>
  </si>
  <si>
    <t>Are you saving for any big purchases?</t>
  </si>
  <si>
    <t>Plan for a trip</t>
  </si>
  <si>
    <t>profile-debt-recreationalvehicle</t>
  </si>
  <si>
    <t>Wedding</t>
  </si>
  <si>
    <t>car</t>
  </si>
  <si>
    <t>2nd house</t>
  </si>
  <si>
    <t>relocation</t>
  </si>
  <si>
    <t>Do you own or rent any property?</t>
  </si>
  <si>
    <t>Rent an appartment/house</t>
  </si>
  <si>
    <t>Own a condo</t>
  </si>
  <si>
    <t>Own a home</t>
  </si>
  <si>
    <t>Own a rental property</t>
  </si>
  <si>
    <t>Own land</t>
  </si>
  <si>
    <t>My Credit Score is</t>
  </si>
  <si>
    <t>below 579</t>
  </si>
  <si>
    <t>580-669</t>
  </si>
  <si>
    <t>670-739</t>
  </si>
  <si>
    <t>740-800</t>
  </si>
  <si>
    <t>over 800</t>
  </si>
  <si>
    <t>how often do you WANT to review your financial progress towards your goals</t>
  </si>
  <si>
    <t>once a week</t>
  </si>
  <si>
    <t>Do you have automated systems in place to ensure your finances run smoothly?</t>
  </si>
  <si>
    <t>Select all the automations that you use currently.</t>
  </si>
  <si>
    <t>Auto-pay bills</t>
  </si>
  <si>
    <t>Auto-pay credit card statement</t>
  </si>
  <si>
    <t>S</t>
  </si>
  <si>
    <t>Transfer savings to investments</t>
  </si>
  <si>
    <t>Credit alerts</t>
  </si>
  <si>
    <t>group-protection</t>
  </si>
  <si>
    <t>profile-creditalerts</t>
  </si>
  <si>
    <t>Fraud alerts</t>
  </si>
  <si>
    <t>profile-fraudalerts</t>
  </si>
  <si>
    <t>habits</t>
  </si>
  <si>
    <t>I review my financial goals regularly and track my progress towards them.</t>
  </si>
  <si>
    <t>I review my taxes and proactively plan for upcoming personal, professional, and financial changes.</t>
  </si>
  <si>
    <t>I review my insurance policies regularly and after major life changes to ensure they are up to date.</t>
  </si>
  <si>
    <t>I periodically review my financial plan to evolve my strategies when there are changes in my life.</t>
  </si>
  <si>
    <t>I track my cash flow each month and know how much I spend, save, and invest.</t>
  </si>
  <si>
    <t>Do you work with any professionals on these parts of your finances?</t>
  </si>
  <si>
    <t>Planning</t>
  </si>
  <si>
    <t>Taxes</t>
  </si>
  <si>
    <t>What was your Household Income last year?</t>
  </si>
  <si>
    <t>under 40k</t>
  </si>
  <si>
    <t>25k increments</t>
  </si>
  <si>
    <t>150-249k</t>
  </si>
  <si>
    <t>over $250k</t>
  </si>
  <si>
    <t>How much of your after-tax income are you able to save each month?</t>
  </si>
  <si>
    <t>don't now</t>
  </si>
  <si>
    <t>0-5%</t>
  </si>
  <si>
    <t>6-10%</t>
  </si>
  <si>
    <t>11-15%</t>
  </si>
  <si>
    <t>16-20%</t>
  </si>
  <si>
    <t>over 20%</t>
  </si>
  <si>
    <t>How much of your monthly income goes toward debt payments? (mortgage, car loan, student loans, etc.)</t>
  </si>
  <si>
    <t>under 10%</t>
  </si>
  <si>
    <t>Over 40%</t>
  </si>
  <si>
    <t>How much of your after-tax monthly income are you investing?</t>
  </si>
  <si>
    <t>How many months of expense could your Emergency Fund cover?</t>
  </si>
  <si>
    <t>When were your estate planning documents executed (e.g. your will, financial power of attorney, advanced healthcare directive)?</t>
  </si>
  <si>
    <t>I don't know, don't have any</t>
  </si>
  <si>
    <t>Within last 3yrs</t>
  </si>
  <si>
    <t>Over 5yrs</t>
  </si>
  <si>
    <t>As a percentage of your income, how much are you saving for retirement?</t>
  </si>
  <si>
    <t>profile-investment-rsu</t>
  </si>
  <si>
    <t>How much have you already saved towards retirement?</t>
  </si>
  <si>
    <t>RSU</t>
  </si>
  <si>
    <t>Content Type</t>
  </si>
  <si>
    <t>lm-inheritance</t>
  </si>
  <si>
    <t>ls-early</t>
  </si>
  <si>
    <t>topic-401k</t>
  </si>
  <si>
    <t>level-basic</t>
  </si>
  <si>
    <t>class-low</t>
  </si>
  <si>
    <t>Calculator</t>
  </si>
  <si>
    <t>lm-purposeful-learning</t>
  </si>
  <si>
    <t>ls-mid</t>
  </si>
  <si>
    <t>level-intermediate</t>
  </si>
  <si>
    <t>class-mid</t>
  </si>
  <si>
    <t>Benefit</t>
  </si>
  <si>
    <t>ls-late</t>
  </si>
  <si>
    <t>topic-bad-debt</t>
  </si>
  <si>
    <t>level-advanced</t>
  </si>
  <si>
    <t>class-high</t>
  </si>
  <si>
    <t>Story</t>
  </si>
  <si>
    <t>topic-benefit</t>
  </si>
  <si>
    <t>goal-buying-a-car</t>
  </si>
  <si>
    <t>lm-relocation</t>
  </si>
  <si>
    <t>lm-covid</t>
  </si>
  <si>
    <t>topic-brokerage</t>
  </si>
  <si>
    <t>group-markets</t>
  </si>
  <si>
    <t>lm-none</t>
  </si>
  <si>
    <t>group-career</t>
  </si>
  <si>
    <t>group-monthly</t>
  </si>
  <si>
    <t>group-paven-app</t>
  </si>
  <si>
    <t>topic-charity</t>
  </si>
  <si>
    <t>l</t>
  </si>
  <si>
    <t>topic-credit-score</t>
  </si>
  <si>
    <t>profile-priorities-estateplanning</t>
  </si>
  <si>
    <t>topic-crypto</t>
  </si>
  <si>
    <t>group-finwell</t>
  </si>
  <si>
    <t>topic-debt</t>
  </si>
  <si>
    <t>topic-family</t>
  </si>
  <si>
    <t>group-childfree</t>
  </si>
  <si>
    <t>topic-financial-finesse</t>
  </si>
  <si>
    <t>topic-first-home</t>
  </si>
  <si>
    <t>topic-fsa</t>
  </si>
  <si>
    <t>topic-hsa</t>
  </si>
  <si>
    <t>topic-income</t>
  </si>
  <si>
    <t>topic-industries</t>
  </si>
  <si>
    <t>topic-inflation</t>
  </si>
  <si>
    <t>topic-inheritance</t>
  </si>
  <si>
    <t>topic-ira</t>
  </si>
  <si>
    <t>topic-lenders</t>
  </si>
  <si>
    <t>topic-new-baby</t>
  </si>
  <si>
    <t>topic-onboarding</t>
  </si>
  <si>
    <t>topic-relocation</t>
  </si>
  <si>
    <t>topic-resilience</t>
  </si>
  <si>
    <t>topic-roth-ira</t>
  </si>
  <si>
    <t>topic-rsus</t>
  </si>
  <si>
    <t>topic-savviness</t>
  </si>
  <si>
    <t>topic-self-care</t>
  </si>
  <si>
    <t>topic-side-hustle</t>
  </si>
  <si>
    <t>topic-simulator</t>
  </si>
  <si>
    <t>topic-skills</t>
  </si>
  <si>
    <t>topic-stocks-bonds</t>
  </si>
  <si>
    <t>topic-student-loans</t>
  </si>
  <si>
    <t>topic-travel</t>
  </si>
  <si>
    <t>topic-volatility</t>
  </si>
  <si>
    <t>topic-smart-investing</t>
  </si>
  <si>
    <t>topic-career</t>
  </si>
  <si>
    <t>topic-sustainability</t>
  </si>
  <si>
    <t>topic-growth-and-development</t>
  </si>
  <si>
    <t>topic-kids-education</t>
  </si>
  <si>
    <t>topic-childfree</t>
  </si>
  <si>
    <t>topic-spending</t>
  </si>
  <si>
    <t>group-polls</t>
  </si>
  <si>
    <t>topic-lifestyles</t>
  </si>
  <si>
    <t>group-homeownership</t>
  </si>
  <si>
    <t>topic-mentalhealth</t>
  </si>
  <si>
    <t>topic-buyhome</t>
  </si>
  <si>
    <t>topic-buycar</t>
  </si>
  <si>
    <t>date</t>
  </si>
  <si>
    <t>id</t>
  </si>
  <si>
    <t>title</t>
  </si>
  <si>
    <t>goal_tags</t>
  </si>
  <si>
    <t>life_moment_tags</t>
  </si>
  <si>
    <t>life_stage_tags</t>
  </si>
  <si>
    <t>content_tags</t>
  </si>
  <si>
    <t>group_tags</t>
  </si>
  <si>
    <t>Profile Builder</t>
  </si>
  <si>
    <t>Link to V1</t>
  </si>
  <si>
    <t>Link to V2</t>
  </si>
  <si>
    <t>class_tags</t>
  </si>
  <si>
    <t>Audit notes</t>
  </si>
  <si>
    <t>Tenant</t>
  </si>
  <si>
    <t>Link</t>
  </si>
  <si>
    <t>Jolene Notes</t>
  </si>
  <si>
    <t>2021 Q3</t>
  </si>
  <si>
    <t>TT_1.4</t>
  </si>
  <si>
    <t>Ways to use your pay raise</t>
  </si>
  <si>
    <t>ls-early
ls-mid
ls-late</t>
  </si>
  <si>
    <t>topic-income, topic-savviness</t>
  </si>
  <si>
    <t>profile-family-myself
profile-priorities-budgeting</t>
  </si>
  <si>
    <t>general/meta</t>
  </si>
  <si>
    <t>https://paven.io/content/article/4cLNM7gf8dHQxcynhtkuDG</t>
  </si>
  <si>
    <t>Not much meat there. Mentions updating budget but no link.</t>
  </si>
  <si>
    <t>EMF_1.1</t>
  </si>
  <si>
    <t>Do I need an emergency fund?</t>
  </si>
  <si>
    <t>group-priorities, group-how-to-save</t>
  </si>
  <si>
    <t>https://www.figma.com/design/UOXktKMNWVxBSuZJhNGdyu/Goals?node-id=3496-10081&amp;t=d6MHhwFJ4Ajl1iXH-1</t>
  </si>
  <si>
    <t>https://paven.io/content/article/3XIA1q18lV1NZXHVhmUVfV</t>
  </si>
  <si>
    <t>Links externally to articles, some of those links are broken/missing</t>
  </si>
  <si>
    <t>2021 Q4</t>
  </si>
  <si>
    <t>EMF_1.2</t>
  </si>
  <si>
    <t>Saving for the unknown</t>
  </si>
  <si>
    <t>https://www.figma.com/design/UOXktKMNWVxBSuZJhNGdyu/Goals?node-id=3496-10082&amp;t=d6MHhwFJ4Ajl1iXH-1</t>
  </si>
  <si>
    <t>https://paven.io/content/article/10BCj5GYLPT2pnrmRa8G01</t>
  </si>
  <si>
    <t>Seems to have issues with 1 of the graphics</t>
  </si>
  <si>
    <t>SFC_1.8</t>
  </si>
  <si>
    <t>Get help from a College Coach</t>
  </si>
  <si>
    <t>topic-kids-education, topic-financial-coach</t>
  </si>
  <si>
    <t>https://www.figma.com/design/UOXktKMNWVxBSuZJhNGdyu/Goals?node-id=3500-67995&amp;t=d6MHhwFJ4Ajl1iXH-1</t>
  </si>
  <si>
    <t>archived</t>
  </si>
  <si>
    <t>RET_1.10</t>
  </si>
  <si>
    <t>The basics of Meta's 401(k) plan</t>
  </si>
  <si>
    <t>topic-retirement, topic-401k</t>
  </si>
  <si>
    <t>https://www.figma.com/design/UOXktKMNWVxBSuZJhNGdyu/Goals?node-id=3506-15659&amp;t=d6MHhwFJ4Ajl1iXH-1</t>
  </si>
  <si>
    <t>https://paven.io/benefits/article/5xcJNCiEQbb4PJHJ6glj3c</t>
  </si>
  <si>
    <t>Mentions of 2022 2023</t>
  </si>
  <si>
    <t>MM_1.7</t>
  </si>
  <si>
    <t>College coaching from Bright Horizons</t>
  </si>
  <si>
    <t>group-family, topic-benefits</t>
  </si>
  <si>
    <t>profile-family-havekids
profile-priorities-collegefund</t>
  </si>
  <si>
    <t>DEB_1.6</t>
  </si>
  <si>
    <t>Get support with Lyra</t>
  </si>
  <si>
    <t>topic-lyra</t>
  </si>
  <si>
    <t>https://www.figma.com/design/UOXktKMNWVxBSuZJhNGdyu/Goals?node-id=3508-49770&amp;t=d6MHhwFJ4Ajl1iXH-1</t>
  </si>
  <si>
    <t>LM_RELO_1.1</t>
  </si>
  <si>
    <t>Relocation 101</t>
  </si>
  <si>
    <t>https://www.figma.com/design/kkMh7aGZkJopf7n5lbrrpX/Life-Moments?node-id=2565-20757&amp;t=scW7PhQJA030oT78-1</t>
  </si>
  <si>
    <t>Still relevant?</t>
  </si>
  <si>
    <t>https://paven.io/content/article/4EDqrnZqjMVLUmpzRwSjk2</t>
  </si>
  <si>
    <t>LM_RELO_1.2</t>
  </si>
  <si>
    <t>Buying a car when relocating</t>
  </si>
  <si>
    <t>https://www.figma.com/design/kkMh7aGZkJopf7n5lbrrpX/Life-Moments?node-id=2565-23387&amp;t=scW7PhQJA030oT78-1</t>
  </si>
  <si>
    <t>https://paven.io/content/article/7oATLbHlAL221cMeVUAoy6</t>
  </si>
  <si>
    <t>LM_RELO_1.3</t>
  </si>
  <si>
    <t>Save for emergencies or send money home?</t>
  </si>
  <si>
    <t>goal-emergency-fund, goal-buying-a-home</t>
  </si>
  <si>
    <t>lm-growing-your-family, lm-relocation</t>
  </si>
  <si>
    <t>profile-goal-progress-never
profile-goal-progress-yearly
profile-goal-progress-quarterly
profile-goal-progress-monthly
profile-goal-progress-weekly
profile-goal-progress-daily</t>
  </si>
  <si>
    <t>https://www.figma.com/design/kkMh7aGZkJopf7n5lbrrpX/Life-Moments?node-id=2565-23389&amp;t=scW7PhQJA030oT78-1</t>
  </si>
  <si>
    <t>https://paven.io/content/article/7MiY8sNHiCZuc076FEazOe</t>
  </si>
  <si>
    <t>LM_RELO_1.5</t>
  </si>
  <si>
    <t>Save for retirement or send money home?</t>
  </si>
  <si>
    <t>goal-retirement, goal-buying-a-home</t>
  </si>
  <si>
    <t>https://www.figma.com/design/kkMh7aGZkJopf7n5lbrrpX/Life-Moments?node-id=2565-23390&amp;t=scW7PhQJA030oT78-1</t>
  </si>
  <si>
    <t>https://paven.io/content/article/6BSnt3S9Zwu74QHDX1PhsS</t>
  </si>
  <si>
    <t>EMF_1.3</t>
  </si>
  <si>
    <t>Where to stash emergency funds</t>
  </si>
  <si>
    <t>profile-priorities-debtmanagement
profile-priorities-budgeting</t>
  </si>
  <si>
    <t>https://www.figma.com/design/UOXktKMNWVxBSuZJhNGdyu/Goals?node-id=3496-10080&amp;t=d6MHhwFJ4Ajl1iXH-1</t>
  </si>
  <si>
    <t>https://paven.io/content/article/2vcmDPcrP6hJEuqJ6Q086E</t>
  </si>
  <si>
    <t>EMF_1.5</t>
  </si>
  <si>
    <t>Setting up automatic transfers</t>
  </si>
  <si>
    <t>topic-emergency-fund, topic-automatic-transfers</t>
  </si>
  <si>
    <t>https://www.figma.com/design/UOXktKMNWVxBSuZJhNGdyu/Goals?node-id=3496-6025&amp;t=d6MHhwFJ4Ajl1iXH-1</t>
  </si>
  <si>
    <t>Old/Needs to be rewritten</t>
  </si>
  <si>
    <t>https://paven.io/content/article/5lKy8OxVNCgejG7EfH3fKD</t>
  </si>
  <si>
    <t>EMF_1.6</t>
  </si>
  <si>
    <t>How to boost emergency funds</t>
  </si>
  <si>
    <t>https://www.figma.com/design/UOXktKMNWVxBSuZJhNGdyu/Goals?node-id=3496-5926&amp;t=d6MHhwFJ4Ajl1iXH-1</t>
  </si>
  <si>
    <t>Can be refreshed</t>
  </si>
  <si>
    <t>https://paven.io/content/article/7qXkRnZzobZjwtH2EMEerV</t>
  </si>
  <si>
    <t>SFC_1.1</t>
  </si>
  <si>
    <t>3 reasons to start saving now</t>
  </si>
  <si>
    <t>https://www.figma.com/design/UOXktKMNWVxBSuZJhNGdyu/Goals?node-id=3500-67988&amp;t=d6MHhwFJ4Ajl1iXH-1</t>
  </si>
  <si>
    <t>Good</t>
  </si>
  <si>
    <t>https://paven.io/content/article/2YEbx95wNuqCh5IS2Z6Mi9</t>
  </si>
  <si>
    <t>SFC_1.3</t>
  </si>
  <si>
    <t>Education account types</t>
  </si>
  <si>
    <t>https://www.figma.com/design/UOXktKMNWVxBSuZJhNGdyu/Goals?node-id=3500-67990&amp;t=d6MHhwFJ4Ajl1iXH-1</t>
  </si>
  <si>
    <t>https://paven.io/content/article/6Y95jlQhFRWdOUFnt4Egm</t>
  </si>
  <si>
    <t>SFC_1.4</t>
  </si>
  <si>
    <t>The 529 plan, explained</t>
  </si>
  <si>
    <t>group-account-types, group-how-to-save</t>
  </si>
  <si>
    <t>https://www.figma.com/design/UOXktKMNWVxBSuZJhNGdyu/Goals?node-id=3500-67991&amp;t=d6MHhwFJ4Ajl1iXH-1</t>
  </si>
  <si>
    <t>https://paven.io/content/article/5QCbiymJdeZtNQV75taLwk</t>
  </si>
  <si>
    <t>SFC_1.5</t>
  </si>
  <si>
    <t>Using a Roth IRA to save</t>
  </si>
  <si>
    <t>topic-roth-ira, group-how-to-save</t>
  </si>
  <si>
    <t>profile-priorities-investing
profile-invest-beginner
profile-invest-intermediate
profile-invest-advanced
profile-invest-none</t>
  </si>
  <si>
    <t>https://www.figma.com/design/UOXktKMNWVxBSuZJhNGdyu/Goals?node-id=3500-67992&amp;t=d6MHhwFJ4Ajl1iXH-1</t>
  </si>
  <si>
    <t>https://paven.io/content/article/CZcZvvvFjtJcHiHM3DzN8</t>
  </si>
  <si>
    <t>SFC_1.6</t>
  </si>
  <si>
    <t>Using a brokerage account to save</t>
  </si>
  <si>
    <t>https://www.figma.com/design/UOXktKMNWVxBSuZJhNGdyu/Goals?node-id=3500-67993&amp;t=d6MHhwFJ4Ajl1iXH-1</t>
  </si>
  <si>
    <t>https://paven.io/content/article/7rKjk2k5RiPMLiKRcoXrZ1</t>
  </si>
  <si>
    <t>SFC_1.7</t>
  </si>
  <si>
    <t>Other ways to save for education</t>
  </si>
  <si>
    <t>https://www.figma.com/design/UOXktKMNWVxBSuZJhNGdyu/Goals?node-id=3500-67994&amp;t=d6MHhwFJ4Ajl1iXH-1</t>
  </si>
  <si>
    <t>https://paven.io/content/article/6T84VV9e9fDftdKikDRksz</t>
  </si>
  <si>
    <t>DEB_1.1</t>
  </si>
  <si>
    <t>Good debt vs bad debt</t>
  </si>
  <si>
    <t>topic-bad-debt, group-how-to-save</t>
  </si>
  <si>
    <t>https://www.figma.com/design/UOXktKMNWVxBSuZJhNGdyu/Goals?node-id=3508-49764&amp;t=d6MHhwFJ4Ajl1iXH-1</t>
  </si>
  <si>
    <t>https://paven.io/content/article/2ActWmf1Hdnh80tgVgUiJ3</t>
  </si>
  <si>
    <t>DEB_1.2</t>
  </si>
  <si>
    <t>Dealing with student loan debt</t>
  </si>
  <si>
    <t>profile-family-havekids
profile-priorities-collegefund
profile-priorities-debtmanagement</t>
  </si>
  <si>
    <t>https://www.figma.com/design/UOXktKMNWVxBSuZJhNGdyu/Goals?node-id=3508-49765&amp;t=d6MHhwFJ4Ajl1iXH-1</t>
  </si>
  <si>
    <t>https://paven.io/content/article/6Eee9pQ3rSkCdLJnUBahVT</t>
  </si>
  <si>
    <t>DEB_1.3</t>
  </si>
  <si>
    <t>How credit card debt works</t>
  </si>
  <si>
    <t>topic-credit-cards, topic-resilience</t>
  </si>
  <si>
    <t>https://www.figma.com/design/UOXktKMNWVxBSuZJhNGdyu/Goals?node-id=3508-49766&amp;t=d6MHhwFJ4Ajl1iXH-1</t>
  </si>
  <si>
    <t>https://paven.io/content/article/5hayL3vE1ypoDE8ELKcbtJ</t>
  </si>
  <si>
    <t>DEB_1.7</t>
  </si>
  <si>
    <t>Credit scores 101</t>
  </si>
  <si>
    <t>topic-credit-score, topic-resilience</t>
  </si>
  <si>
    <t>https://www.figma.com/design/UOXktKMNWVxBSuZJhNGdyu/Goals?node-id=3508-49771&amp;t=d6MHhwFJ4Ajl1iXH-1</t>
  </si>
  <si>
    <t>https://paven.io/content/article/1NZMCPBnYrfE3v0M9fSXt4</t>
  </si>
  <si>
    <t>DEB_1.8</t>
  </si>
  <si>
    <t>Track your debt payments</t>
  </si>
  <si>
    <t>https://www.figma.com/design/UOXktKMNWVxBSuZJhNGdyu/Goals?node-id=3508-51036&amp;t=d6MHhwFJ4Ajl1iXH-1</t>
  </si>
  <si>
    <t>https://paven.io/content/article/btv3P3YdkxNf0zqcwEAH4</t>
  </si>
  <si>
    <t>DEB_1.4</t>
  </si>
  <si>
    <t>Tips to cut credit card debt</t>
  </si>
  <si>
    <t>topic-credit-cards, topic-savviness</t>
  </si>
  <si>
    <t>https://www.figma.com/design/UOXktKMNWVxBSuZJhNGdyu/Goals?node-id=3508-49767&amp;t=d6MHhwFJ4Ajl1iXH-1</t>
  </si>
  <si>
    <t>https://paven.io/content/article/31poVSYMQMCbeM2FQofIRi</t>
  </si>
  <si>
    <t>RET_1.1</t>
  </si>
  <si>
    <t>Retiring on your own terms</t>
  </si>
  <si>
    <t>profile-family-myself
profile-priorities-debtmanagement</t>
  </si>
  <si>
    <t>https://www.figma.com/design/UOXktKMNWVxBSuZJhNGdyu/Goals?node-id=3505-71716&amp;t=d6MHhwFJ4Ajl1iXH-1</t>
  </si>
  <si>
    <t>https://paven.io/content/article/7vvkK5XEvXpA8tIDWNQlnH</t>
  </si>
  <si>
    <t>RET_1.2</t>
  </si>
  <si>
    <t>Common barriers to saving</t>
  </si>
  <si>
    <t>profile-goal-progress-never
profile-goal-progress-yearly
profile-goal-progress-quarterly
profile-goal-progress-monthly
profile-goal-progress-weekly
profile-goal-progress-daily
profile-priorities-debtmanagement</t>
  </si>
  <si>
    <t>https://www.figma.com/design/UOXktKMNWVxBSuZJhNGdyu/Goals?node-id=3506-7718&amp;t=d6MHhwFJ4Ajl1iXH-1</t>
  </si>
  <si>
    <t>https://paven.io/content/article/1uEkmd8hDB1fPrHMXux21T</t>
  </si>
  <si>
    <t>RET_1.3</t>
  </si>
  <si>
    <t>Define your target number</t>
  </si>
  <si>
    <t>https://www.figma.com/design/UOXktKMNWVxBSuZJhNGdyu/Goals?node-id=3506-15144&amp;t=d6MHhwFJ4Ajl1iXH-1</t>
  </si>
  <si>
    <t>https://paven.io/content/article/7cSZtBYtkbyVT6P2o43ibs</t>
  </si>
  <si>
    <t>RET_1.4</t>
  </si>
  <si>
    <t>Add your post-retirement work</t>
  </si>
  <si>
    <t>https://www.figma.com/design/UOXktKMNWVxBSuZJhNGdyu/Goals?node-id=3506-15653&amp;t=d6MHhwFJ4Ajl1iXH-1</t>
  </si>
  <si>
    <t>https://paven.io/content/article/lwALm8GoRRB2UNy66fjhy</t>
  </si>
  <si>
    <t>RET_1.5</t>
  </si>
  <si>
    <t>401(k) basics</t>
  </si>
  <si>
    <t>https://www.figma.com/design/UOXktKMNWVxBSuZJhNGdyu/Goals?node-id=3506-15654&amp;t=d6MHhwFJ4Ajl1iXH-1</t>
  </si>
  <si>
    <t>RET_1.8</t>
  </si>
  <si>
    <t>Is a 401(k) loan a good option?</t>
  </si>
  <si>
    <t>topic-401k, topic-retirement</t>
  </si>
  <si>
    <t>https://www.figma.com/design/UOXktKMNWVxBSuZJhNGdyu/Goals?node-id=3506-15657&amp;t=d6MHhwFJ4Ajl1iXH-1</t>
  </si>
  <si>
    <t>https://paven.io/content/article/1vdq8TQD1jqGJJvX3Wn53o</t>
  </si>
  <si>
    <t>LM_COM_1.4</t>
  </si>
  <si>
    <t>Travel or save for emergencies?</t>
  </si>
  <si>
    <t>https://www.figma.com/design/kkMh7aGZkJopf7n5lbrrpX/Life-Moments?node-id=2565-19454&amp;t=scW7PhQJA030oT78-1</t>
  </si>
  <si>
    <t>https://paven.io/content/article/4EdrGH95P0rcBrdli5jKXB</t>
  </si>
  <si>
    <t>LM_COM_1.5</t>
  </si>
  <si>
    <t>Pay off debt or buy a home?</t>
  </si>
  <si>
    <t>goal-debt-management, goal-buying-a-home</t>
  </si>
  <si>
    <t>https://www.figma.com/design/kkMh7aGZkJopf7n5lbrrpX/Life-Moments?node-id=2565-19455&amp;t=scW7PhQJA030oT78-1</t>
  </si>
  <si>
    <t>https://paven.io/content/article/6JPHUAfF9TrK1IfGnXOu0i</t>
  </si>
  <si>
    <t>BAH_1.1</t>
  </si>
  <si>
    <t>Ease your home buying concerns</t>
  </si>
  <si>
    <t>topic-housing, topic-rent</t>
  </si>
  <si>
    <t>https://paven.io/content/article/30CmxhE9d1pcdGvGaYSuId</t>
  </si>
  <si>
    <t>TF_1.1</t>
  </si>
  <si>
    <t>Travel today and save for tomorrow</t>
  </si>
  <si>
    <t>https://www.figma.com/design/UOXktKMNWVxBSuZJhNGdyu/Goals?node-id=3498-39610&amp;t=d6MHhwFJ4Ajl1iXH-1</t>
  </si>
  <si>
    <t>https://paven.io/content/article/3ZweQAOsrsqgm28SCZF09Q</t>
  </si>
  <si>
    <t>TF_1.2</t>
  </si>
  <si>
    <t>What kind of traveler are you?</t>
  </si>
  <si>
    <t>https://www.figma.com/design/UOXktKMNWVxBSuZJhNGdyu/Goals?node-id=3498-39611&amp;t=d6MHhwFJ4Ajl1iXH-1</t>
  </si>
  <si>
    <t>https://paven.io/content/article/5YkoPnRVpjBLBo3WxrT37z</t>
  </si>
  <si>
    <t>TF_1.3</t>
  </si>
  <si>
    <t>Travel fund strategies</t>
  </si>
  <si>
    <t>https://www.figma.com/design/UOXktKMNWVxBSuZJhNGdyu/Goals?node-id=3498-39612&amp;t=d6MHhwFJ4Ajl1iXH-1</t>
  </si>
  <si>
    <t>https://paven.io/content/article/7jBOX3g5w5ONNw06nvapin</t>
  </si>
  <si>
    <t>TF_1.4</t>
  </si>
  <si>
    <t>Find like-minded travel companions</t>
  </si>
  <si>
    <t>https://www.figma.com/design/UOXktKMNWVxBSuZJhNGdyu/Goals?node-id=3498-39613&amp;t=d6MHhwFJ4Ajl1iXH-1</t>
  </si>
  <si>
    <t>https://paven.io/content/article/h1TiRXpgSLIIVAiNuVqjF</t>
  </si>
  <si>
    <t>TF_1.5</t>
  </si>
  <si>
    <t>Ways to save on trips</t>
  </si>
  <si>
    <t>https://www.figma.com/design/UOXktKMNWVxBSuZJhNGdyu/Goals?node-id=3498-39614&amp;t=d6MHhwFJ4Ajl1iXH-1</t>
  </si>
  <si>
    <t>https://paven.io/content/article/1DmCiLW9zxoFOpqpA2J2Wd</t>
  </si>
  <si>
    <t>GYF_1.1</t>
  </si>
  <si>
    <t>Align your family's financial needs</t>
  </si>
  <si>
    <t>lm-growing-your-family, lm-combining-finances</t>
  </si>
  <si>
    <t>https://www.figma.com/design/kkMh7aGZkJopf7n5lbrrpX/Life-Moments?node-id=2562-6324&amp;t=scW7PhQJA030oT78-1</t>
  </si>
  <si>
    <t>https://paven.io/content/article/7xetvRhKmHMTYoRmZfgTa9</t>
  </si>
  <si>
    <t>BAH_1.3</t>
  </si>
  <si>
    <t>Down payments: The basics</t>
  </si>
  <si>
    <t>topic-loans, topic-housing</t>
  </si>
  <si>
    <t>https://www.figma.com/design/UOXktKMNWVxBSuZJhNGdyu/Goals?node-id=3540-44300&amp;t=d6MHhwFJ4Ajl1iXH-1</t>
  </si>
  <si>
    <t>https://paven.io/content/article/4vG7iuIiWd1VG5n01X2afX</t>
  </si>
  <si>
    <t>GYF_1.9</t>
  </si>
  <si>
    <t>Buying a home for your family</t>
  </si>
  <si>
    <t>group-family, topic-housing</t>
  </si>
  <si>
    <t>https://www.figma.com/design/kkMh7aGZkJopf7n5lbrrpX/Life-Moments?node-id=2562-6333&amp;t=scW7PhQJA030oT78-1</t>
  </si>
  <si>
    <t>https://paven.io/content/article/7uhXBF090dFidOiHYMXhU7</t>
  </si>
  <si>
    <t>2022 Q1</t>
  </si>
  <si>
    <t>DEB_1.5</t>
  </si>
  <si>
    <t>Refinance your student loans with Sofi &amp; Earnest</t>
  </si>
  <si>
    <t>topic-debt, topic-student-loans, topic-refinancing</t>
  </si>
  <si>
    <t>https://www.figma.com/design/UOXktKMNWVxBSuZJhNGdyu/Goals?node-id=3508-49768&amp;t=d6MHhwFJ4Ajl1iXH-1</t>
  </si>
  <si>
    <t>https://paven.io/benefits/article/3iNseJtkBv6m5HNQV8QjDC</t>
  </si>
  <si>
    <t>TF_1.8</t>
  </si>
  <si>
    <t>Personal travel &amp; Meta benefits</t>
  </si>
  <si>
    <t>topic-travel, topic-benefits</t>
  </si>
  <si>
    <t>https://www.figma.com/design/UOXktKMNWVxBSuZJhNGdyu/Goals?node-id=3498-33447&amp;t=d6MHhwFJ4Ajl1iXH-1</t>
  </si>
  <si>
    <t>https://paven.io/content/article/5ec1eOLS5EBKWvZpMuyQmu</t>
  </si>
  <si>
    <t>ES_1.4</t>
  </si>
  <si>
    <t>How can Meta support your growth?</t>
  </si>
  <si>
    <t>profile-family-myself
profile-priorities-healthcost</t>
  </si>
  <si>
    <t>https://www.figma.com/design/i47pYiJ10vqlvx0co3h46m/Q4-2022---Q1-2023-Content-Articles-(batch-16-23)?node-id=456-39144&amp;t=V1quavg1MmDh9NVO-1</t>
  </si>
  <si>
    <t>https://paven.io/content/article/2CIso7UC3q3Kah6N4Wqk78</t>
  </si>
  <si>
    <t>HOME_1.4</t>
  </si>
  <si>
    <t>Financial Finesse: Connect with a coach</t>
  </si>
  <si>
    <t>topic-financial-coach</t>
  </si>
  <si>
    <t>profile-priorities-investing
profile-priorities-debtmanagement
profile-priorities-taxplanning</t>
  </si>
  <si>
    <t>https://paven.io/benefits/article/1gd9ZmQkYFEtWHRWxNeOAb</t>
  </si>
  <si>
    <t>RET_1.6</t>
  </si>
  <si>
    <t>Your Fidelity 401(k) options</t>
  </si>
  <si>
    <t>topic-401k, topic-benefits</t>
  </si>
  <si>
    <t>https://www.figma.com/design/i47pYiJ10vqlvx0co3h46m/Q4-2022---Q1-2023-Content-Articles-(batch-16-23)?node-id=461-34818&amp;t=V1quavg1MmDh9NVO-1</t>
  </si>
  <si>
    <t>https://paven.io/benefits/article/37K6qv3YXJWe5lc4geHKqv</t>
  </si>
  <si>
    <t>SMINV_1.1</t>
  </si>
  <si>
    <t>What is smart investing?</t>
  </si>
  <si>
    <t>https://www.figma.com/design/i47pYiJ10vqlvx0co3h46m/Q4-2022---Q1-2023-Content-Articles-(batch-16-23)?node-id=364-20934&amp;t=V1quavg1MmDh9NVO-1</t>
  </si>
  <si>
    <t>https://paven.io/content/article/6xmHo7bAgJ4twMxWcbmCw3</t>
  </si>
  <si>
    <t>SMINV_1.2</t>
  </si>
  <si>
    <t>Why smart investing?</t>
  </si>
  <si>
    <t>https://www.figma.com/design/i47pYiJ10vqlvx0co3h46m/Q4-2022---Q1-2023-Content-Articles-(batch-16-23)?node-id=364-20936&amp;t=V1quavg1MmDh9NVO-1</t>
  </si>
  <si>
    <t>SMINV_1.3</t>
  </si>
  <si>
    <t>Choosing to be a smart investor</t>
  </si>
  <si>
    <t>topic-savviness, topic-investing</t>
  </si>
  <si>
    <t>https://www.figma.com/design/i47pYiJ10vqlvx0co3h46m/Q4-2022---Q1-2023-Content-Articles-(batch-16-23)?node-id=364-20937&amp;t=V1quavg1MmDh9NVO-1</t>
  </si>
  <si>
    <t>https://paven.io/content/article/6A6PR0ME903Lb3OPehOwwW</t>
  </si>
  <si>
    <t>TF_1.6</t>
  </si>
  <si>
    <t>Sticking to a trip budget</t>
  </si>
  <si>
    <t>https://www.figma.com/design/UOXktKMNWVxBSuZJhNGdyu/Goals?node-id=3498-39615&amp;t=d6MHhwFJ4Ajl1iXH-1</t>
  </si>
  <si>
    <t>https://paven.io/content/article/20OmH46TN5N7bpl5DNm6qO</t>
  </si>
  <si>
    <t>TF_1.7</t>
  </si>
  <si>
    <t>Saving for regular trips</t>
  </si>
  <si>
    <t>https://www.figma.com/design/UOXktKMNWVxBSuZJhNGdyu/Goals?node-id=3498-37136&amp;t=d6MHhwFJ4Ajl1iXH-1</t>
  </si>
  <si>
    <t>https://paven.io/content/article/1PVeIS7NGs54PPOaefT47D</t>
  </si>
  <si>
    <t>SMINV_1.4</t>
  </si>
  <si>
    <t>Stocks and bonds: the basics</t>
  </si>
  <si>
    <t>topic-stocks-bonds, topic-investing</t>
  </si>
  <si>
    <t>https://www.figma.com/design/i47pYiJ10vqlvx0co3h46m/Q4-2022---Q1-2023-Content-Articles-(batch-16-23)?node-id=364-20941&amp;t=V1quavg1MmDh9NVO-1</t>
  </si>
  <si>
    <t>https://paven.io/content/article/3S7nyY4lreozOyIPFJSNwA</t>
  </si>
  <si>
    <t>SMINV_1.5</t>
  </si>
  <si>
    <t>Smart investing strategies</t>
  </si>
  <si>
    <t>https://www.figma.com/design/i47pYiJ10vqlvx0co3h46m/Q4-2022---Q1-2023-Content-Articles-(batch-16-23)?node-id=364-20940&amp;t=V1quavg1MmDh9NVO-1</t>
  </si>
  <si>
    <t>https://paven.io/content/article/74omo1S558IxKBOvxa3FOF</t>
  </si>
  <si>
    <t>SMINV_1.7</t>
  </si>
  <si>
    <t>Emerging and evolving industries</t>
  </si>
  <si>
    <t>https://www.figma.com/design/i47pYiJ10vqlvx0co3h46m/Q4-2022---Q1-2023-Content-Articles-(batch-16-23)?node-id=364-20938&amp;t=V1quavg1MmDh9NVO-1</t>
  </si>
  <si>
    <t>https://paven.io/content/article/5U5ooQfYzyhvW8tjsb21zd</t>
  </si>
  <si>
    <t>SMINV_1.6</t>
  </si>
  <si>
    <t>Map your smart investor route</t>
  </si>
  <si>
    <t>https://www.figma.com/design/i47pYiJ10vqlvx0co3h46m/Q4-2022---Q1-2023-Content-Articles-(batch-16-23)?node-id=364-20939&amp;t=V1quavg1MmDh9NVO-1</t>
  </si>
  <si>
    <t>https://paven.io/content/article/5wxMC862ZgudsL0ci1yDQV</t>
  </si>
  <si>
    <t>GYF_1.10</t>
  </si>
  <si>
    <t>Setting your kid up for future success</t>
  </si>
  <si>
    <t>group-family, topic-529</t>
  </si>
  <si>
    <t>https://paven.io/content/article/3hojfRCz5EwIG4gmFoyjf7</t>
  </si>
  <si>
    <t>ES_1.1</t>
  </si>
  <si>
    <t>Enhance your skills to enhance your career</t>
  </si>
  <si>
    <t>https://www.figma.com/design/i47pYiJ10vqlvx0co3h46m/Q4-2022---Q1-2023-Content-Articles-(batch-16-23)?node-id=456-39146&amp;t=V1quavg1MmDh9NVO-1</t>
  </si>
  <si>
    <t>https://paven.io/content/article/1yTRmV6XUnKbF5FnFtGkG5</t>
  </si>
  <si>
    <t>ES_1.2</t>
  </si>
  <si>
    <t>How do I fulfill my financial and career goals?</t>
  </si>
  <si>
    <t>https://www.figma.com/design/i47pYiJ10vqlvx0co3h46m/Q4-2022---Q1-2023-Content-Articles-(batch-16-23)?node-id=456-39145&amp;t=V1quavg1MmDh9NVO-1</t>
  </si>
  <si>
    <t>https://paven.io/content/article/52rmUS8u4AdY94focFUpI9</t>
  </si>
  <si>
    <t>ES_1.3</t>
  </si>
  <si>
    <t>Common learning paths to enhance skills</t>
  </si>
  <si>
    <t>https://www.figma.com/design/i47pYiJ10vqlvx0co3h46m/Q4-2022---Q1-2023-Content-Articles-(batch-16-23)?node-id=456-39143&amp;t=V1quavg1MmDh9NVO-1</t>
  </si>
  <si>
    <t>https://paven.io/content/article/66VCctIqO7bnPrHKJUwcpF</t>
  </si>
  <si>
    <t>2022 Q2</t>
  </si>
  <si>
    <t>The power of compounding interest</t>
  </si>
  <si>
    <t>topic-retirement, topic-budget, topic-compounding, topic-simulator</t>
  </si>
  <si>
    <t>(simulator)</t>
  </si>
  <si>
    <t>https://paven.io/simulator/article/7MJHtQVMn3oHeuyZYZ7LrB</t>
  </si>
  <si>
    <t>Tax Refund_SIMULATOR</t>
  </si>
  <si>
    <t>How to get the most out of your tax refund</t>
  </si>
  <si>
    <t>topic-taxes, topic-simulator</t>
  </si>
  <si>
    <t>https://paven.io/simulator/article/3BMy1Sz9edk5R9STChJbrl</t>
  </si>
  <si>
    <t>SMINV_1.18</t>
  </si>
  <si>
    <t>Can you stay in the market?</t>
  </si>
  <si>
    <t>https://www.figma.com/design/i47pYiJ10vqlvx0co3h46m/Q4-2022---Q1-2023-Content-Articles-(batch-16-23)?node-id=374-36558&amp;t=V1quavg1MmDh9NVO-1</t>
  </si>
  <si>
    <t>A lot of these Smart Investing pieces reuse language/assets. Need to be consolidated.</t>
  </si>
  <si>
    <t>https://paven.io/content/article/4NN8LJ6HdLbD3FhR6xH9hd</t>
  </si>
  <si>
    <t>SMINV_1.9</t>
  </si>
  <si>
    <t>Is now a good time to invest?</t>
  </si>
  <si>
    <t>topic-savviness, topic-smart-investing</t>
  </si>
  <si>
    <t>https://www.figma.com/design/i47pYiJ10vqlvx0co3h46m/Q4-2022---Q1-2023-Content-Articles-(batch-16-23)?node-id=377-41082&amp;t=V1quavg1MmDh9NVO-1</t>
  </si>
  <si>
    <t>https://paven.io/content/article/6c21mg94YY9xqv3xNRCF6b</t>
  </si>
  <si>
    <t>SMINV_1.8</t>
  </si>
  <si>
    <t>Why should you invest?</t>
  </si>
  <si>
    <t>https://www.figma.com/design/i47pYiJ10vqlvx0co3h46m/Q4-2022---Q1-2023-Content-Articles-(batch-16-23)?node-id=377-41081&amp;t=V1quavg1MmDh9NVO-1</t>
  </si>
  <si>
    <t>https://paven.io/content/article/3q3tsXFp5W4eSMo4yFGXJh</t>
  </si>
  <si>
    <t>SMINV_1.10</t>
  </si>
  <si>
    <t>Can you time the market?</t>
  </si>
  <si>
    <t>topic-smart-investing, topic-savviness</t>
  </si>
  <si>
    <t>https://www.figma.com/design/i47pYiJ10vqlvx0co3h46m/Q4-2022---Q1-2023-Content-Articles-(batch-16-23)?node-id=377-41083&amp;t=V1quavg1MmDh9NVO-1</t>
  </si>
  <si>
    <t>https://paven.io/content/article/10hEZDS9HPFQI88Dy49DTh</t>
  </si>
  <si>
    <t>SMINV_1.11</t>
  </si>
  <si>
    <t>Market volatility: How to navigate</t>
  </si>
  <si>
    <t>topic-volatility, topic-savviness</t>
  </si>
  <si>
    <t>https://www.figma.com/design/i47pYiJ10vqlvx0co3h46m/Q4-2022---Q1-2023-Content-Articles-(batch-16-23)?node-id=377-41084&amp;t=V1quavg1MmDh9NVO-1</t>
  </si>
  <si>
    <t>https://paven.io/content/article/4AVBAIJEUPBkrXOgCyHhGC</t>
  </si>
  <si>
    <t>SMINV_1.12</t>
  </si>
  <si>
    <t>How to make money in a downturn market</t>
  </si>
  <si>
    <t>https://paven.io/content/article/27qsF992ZH4QiAcAhG2dOB</t>
  </si>
  <si>
    <t>SH_1.5</t>
  </si>
  <si>
    <t>What are the rewards of a side hustle?</t>
  </si>
  <si>
    <t>topic-side-hustle, topic-income</t>
  </si>
  <si>
    <t>https://www.figma.com/design/i47pYiJ10vqlvx0co3h46m/Q4-2022---Q1-2023-Content-Articles-(batch-16-23)?node-id=456-25466&amp;t=iqjB7zm9AtdsPASK-1</t>
  </si>
  <si>
    <t>https://paven.io/content/article/16ulTh3hdn7KndU6NnVaYJ</t>
  </si>
  <si>
    <t>SH_1.4</t>
  </si>
  <si>
    <t>How do you keep a side hustle balanced?</t>
  </si>
  <si>
    <t>https://www.figma.com/design/i47pYiJ10vqlvx0co3h46m/Q4-2022---Q1-2023-Content-Articles-(batch-16-23)?node-id=456-25465&amp;t=iqjB7zm9AtdsPASK-1</t>
  </si>
  <si>
    <t>https://paven.io/content/article/3w85EV7SQ3iBrfn4QyhizL</t>
  </si>
  <si>
    <t>SH_1.3</t>
  </si>
  <si>
    <t>What can you do with extra income?</t>
  </si>
  <si>
    <t>https://www.figma.com/design/i47pYiJ10vqlvx0co3h46m/Q4-2022---Q1-2023-Content-Articles-(batch-16-23)?node-id=456-25464&amp;t=iqjB7zm9AtdsPASK-1</t>
  </si>
  <si>
    <t>https://paven.io/content/article/6Qie4jKs1GkUWEqxd8Gtg2</t>
  </si>
  <si>
    <t>SH_1.2</t>
  </si>
  <si>
    <t>What are common challenges to a side hustle?</t>
  </si>
  <si>
    <t>https://www.figma.com/design/i47pYiJ10vqlvx0co3h46m/Q4-2022---Q1-2023-Content-Articles-(batch-16-23)?node-id=456-25463&amp;t=iqjB7zm9AtdsPASK-1</t>
  </si>
  <si>
    <t>https://paven.io/content/article/3rR1a97Fvy09ERBVsS2Thw</t>
  </si>
  <si>
    <t>SH_1.1</t>
  </si>
  <si>
    <t>Is a side hustle right for you?</t>
  </si>
  <si>
    <t>https://www.figma.com/design/i47pYiJ10vqlvx0co3h46m/Q4-2022---Q1-2023-Content-Articles-(batch-16-23)?node-id=456-25462&amp;t=iqjB7zm9AtdsPASK-1</t>
  </si>
  <si>
    <t>https://paven.io/content/article/1wYhYpXAR48Y8xrnbg8sZG</t>
  </si>
  <si>
    <t>SMINV_1.17</t>
  </si>
  <si>
    <t>What to do when it’s time to sell</t>
  </si>
  <si>
    <t>topic-stocks-bonds, topic-smart-investing</t>
  </si>
  <si>
    <t>https://www.figma.com/design/i47pYiJ10vqlvx0co3h46m/Q4-2022---Q1-2023-Content-Articles-(batch-16-23)?node-id=377-41090&amp;t=V1quavg1MmDh9NVO-1</t>
  </si>
  <si>
    <t>https://paven.io/content/article/4Ng2YvpV8LrMlFjsxVpeJU</t>
  </si>
  <si>
    <t>SMINV_1.16</t>
  </si>
  <si>
    <t>How to buy value in downturn markets</t>
  </si>
  <si>
    <t>topic-volatility, topic-stocks-bonds</t>
  </si>
  <si>
    <t>https://www.figma.com/design/i47pYiJ10vqlvx0co3h46m/Q4-2022---Q1-2023-Content-Articles-(batch-16-23)?node-id=377-41089&amp;t=V1quavg1MmDh9NVO-1</t>
  </si>
  <si>
    <t>https://paven.io/content/article/1JW1sak5YCHIUTftlsnYyH</t>
  </si>
  <si>
    <t>SMINV_1.15</t>
  </si>
  <si>
    <t>How to balance your assets</t>
  </si>
  <si>
    <t>topic-smart-investing, topic-stocks-bonds</t>
  </si>
  <si>
    <t>https://www.figma.com/design/i47pYiJ10vqlvx0co3h46m/Q4-2022---Q1-2023-Content-Articles-(batch-16-23)?node-id=377-41088&amp;t=V1quavg1MmDh9NVO-1</t>
  </si>
  <si>
    <t>https://paven.io/content/article/3c09I1UZpgmQhHwpT0JSsr</t>
  </si>
  <si>
    <t>SMINV_1.14</t>
  </si>
  <si>
    <t>How to diversify against risk</t>
  </si>
  <si>
    <t>https://www.figma.com/design/i47pYiJ10vqlvx0co3h46m/Q4-2022---Q1-2023-Content-Articles-(batch-16-23)?node-id=377-41087&amp;t=V1quavg1MmDh9NVO-1</t>
  </si>
  <si>
    <t>https://paven.io/content/article/43urikfZgzg2uJrCrawnP1</t>
  </si>
  <si>
    <t>SMINV_1.13</t>
  </si>
  <si>
    <t>Five things smart investors do</t>
  </si>
  <si>
    <t>https://www.figma.com/design/i47pYiJ10vqlvx0co3h46m/Q4-2022---Q1-2023-Content-Articles-(batch-16-23)?node-id=377-41086&amp;t=V1quavg1MmDh9NVO-1</t>
  </si>
  <si>
    <t>https://paven.io/content/article/6yUQLPT9Pjn1epVxxcTk4O</t>
  </si>
  <si>
    <t>SMINV_1.20</t>
  </si>
  <si>
    <t>Three smart buying moves</t>
  </si>
  <si>
    <t>https://www.figma.com/design/i47pYiJ10vqlvx0co3h46m/Q4-2022---Q1-2023-Content-Articles-(batch-16-23)?node-id=374-36560&amp;t=V1quavg1MmDh9NVO-1</t>
  </si>
  <si>
    <t>https://paven.io/content/article/OlaJJkToPF2JodIaSd5OX</t>
  </si>
  <si>
    <t>SMINV_1.19</t>
  </si>
  <si>
    <t>Three ways to rebalance your risk</t>
  </si>
  <si>
    <t>topic-smart-investing, topic-smart-investing</t>
  </si>
  <si>
    <t>https://www.figma.com/design/i47pYiJ10vqlvx0co3h46m/Q4-2022---Q1-2023-Content-Articles-(batch-16-23)?node-id=374-36559&amp;t=V1quavg1MmDh9NVO-1</t>
  </si>
  <si>
    <t>https://paven.io/content/article/ZeG6EWxMCaO0YRYYfmnWq</t>
  </si>
  <si>
    <t>2022 Q4</t>
  </si>
  <si>
    <t>EOY23_1.2</t>
  </si>
  <si>
    <t>How to (still) grow your savings</t>
  </si>
  <si>
    <t>topic-inflation, topic-debt</t>
  </si>
  <si>
    <t>profile-priorities-budgeting
profile-priorities-debtmanagement</t>
  </si>
  <si>
    <t>Great candidate for refresh this year</t>
  </si>
  <si>
    <t>https://paven.io/content/article/5mfqS9Vfc864cqZOaxR0tM</t>
  </si>
  <si>
    <t>EOY23_1.1</t>
  </si>
  <si>
    <t>Tackling debt when rates are up?</t>
  </si>
  <si>
    <t>https://paven.io/content/article/3PDS3KiXZd3iH4L81CGmAE</t>
  </si>
  <si>
    <t>RSU_1.1</t>
  </si>
  <si>
    <t>Your RSUs: Basics of restricted stock units</t>
  </si>
  <si>
    <t>topic-rsus, topic-benefits</t>
  </si>
  <si>
    <t>https://www.figma.com/design/i47pYiJ10vqlvx0co3h46m/Q4-2022---Q1-2023-Content-Articles-(batch-16-23)?node-id=456-39135&amp;t=Q2DHer4p4jJQ3cc5-1</t>
  </si>
  <si>
    <t>https://paven.io/benefits/article/1P13uxOOyCx9Fik6t52DK7</t>
  </si>
  <si>
    <t>RSU_1.2</t>
  </si>
  <si>
    <t>Your RSUs: What to know for vesting season</t>
  </si>
  <si>
    <t>https://www.figma.com/design/i47pYiJ10vqlvx0co3h46m/Q4-2022---Q1-2023-Content-Articles-(batch-16-23)?node-id=456-39136&amp;t=Q2DHer4p4jJQ3cc5-1</t>
  </si>
  <si>
    <t>https://paven.io/content/article/78VlFut1ek7HEDcnMPxCFW</t>
  </si>
  <si>
    <t>RSU_1.3</t>
  </si>
  <si>
    <t>Your RSUs: Taxes on restricted stock units</t>
  </si>
  <si>
    <t>topic-taxes, topic-rsus</t>
  </si>
  <si>
    <t>https://www.figma.com/design/i47pYiJ10vqlvx0co3h46m/Q4-2022---Q1-2023-Content-Articles-(batch-16-23)?node-id=456-39137&amp;t=Q2DHer4p4jJQ3cc5-1</t>
  </si>
  <si>
    <t>https://paven.io/content/article/38bNEAdm4WZn9jtUZP91nV</t>
  </si>
  <si>
    <t>Financial finesse: Connect with a coach</t>
  </si>
  <si>
    <t>https://www.figma.com/design/i47pYiJ10vqlvx0co3h46m/Q4-2022---Q1-2023-Content-Articles--batch-16-23-?node-id=459-82421&amp;t=i5sisu6XWF9VA7BU-0</t>
  </si>
  <si>
    <t>Company_Match_META 2024</t>
  </si>
  <si>
    <t>Meta's 401(k) match in 2024</t>
  </si>
  <si>
    <t>topic-401k, topic-simulator</t>
  </si>
  <si>
    <t>https://paven.io/simulator/article/4m9ObHleGYAHetpJwNzLRF</t>
  </si>
  <si>
    <t>RET_1.11</t>
  </si>
  <si>
    <t>New 401(k) and IRA maxes for 2023</t>
  </si>
  <si>
    <t>topic-401k, topic-ira</t>
  </si>
  <si>
    <t>https://www.figma.com/design/i47pYiJ10vqlvx0co3h46m/Q4-2022---Q1-2023-Content-Articles-(batch-16-23)?node-id=459-82422&amp;t=V1quavg1MmDh9NVO-1</t>
  </si>
  <si>
    <t>https://paven.io/content/article/5xjza1fH94s5LckPzkl6VD</t>
  </si>
  <si>
    <t>https://www.figma.com/design/i47pYiJ10vqlvx0co3h46m/Q4-2022---Q1-2023-Content-Articles-(batch-16-23)?node-id=461-34819&amp;t=V1quavg1MmDh9NVO-1</t>
  </si>
  <si>
    <t>HSA_1.1</t>
  </si>
  <si>
    <t>Advantages of a health savings account (HSA)</t>
  </si>
  <si>
    <t>topic-hsa, topic-account-types</t>
  </si>
  <si>
    <t>https://www.figma.com/design/i47pYiJ10vqlvx0co3h46m/Q4-2022---Q1-2023-Content-Articles-(batch-16-23)?node-id=456-39142&amp;t=ylcRdbapROHtfQrj-1</t>
  </si>
  <si>
    <t>https://paven.io/benefits/article/5MI8Ls8IGPcUt3AJFuIzMr</t>
  </si>
  <si>
    <t>AC_1.17</t>
  </si>
  <si>
    <t>Meta Benefits: Lyra</t>
  </si>
  <si>
    <t>https://www.figma.com/design/i47pYiJ10vqlvx0co3h46m/Q4-2022---Q1-2023-Content-Articles-(batch-16-23)?node-id=459-82425&amp;t=V1quavg1MmDh9NVO-1</t>
  </si>
  <si>
    <t>https://paven.io/benefits/article/5BoGLnjCZiOA8kMCEVkPE6</t>
  </si>
  <si>
    <t>HSA_1.2</t>
  </si>
  <si>
    <t>Investing with your health savings account</t>
  </si>
  <si>
    <t>https://www.figma.com/design/i47pYiJ10vqlvx0co3h46m/Q4-2022---Q1-2023-Content-Articles-(batch-16-23)?node-id=456-39141&amp;t=ylcRdbapROHtfQrj-1</t>
  </si>
  <si>
    <t>https://paven.io/content/article/6ZgnRVrA2p72oVTFaNXnxc</t>
  </si>
  <si>
    <t>missing tag</t>
  </si>
  <si>
    <t>HSA Open enrollment</t>
  </si>
  <si>
    <t>https://www.figma.com/design/i47pYiJ10vqlvx0co3h46m/Q4-2022---Q1-2023-Content-Articles-(batch-16-23)?node-id=456-39140&amp;t=V1quavg1MmDh9NVO-1</t>
  </si>
  <si>
    <t>HSA_1.3</t>
  </si>
  <si>
    <t>How to choose between an HSA and an FSA</t>
  </si>
  <si>
    <t>topic-benefits, topic-account-types</t>
  </si>
  <si>
    <t>https://paven.io/content/article/xkQal080XFEz669YXK0a6</t>
  </si>
  <si>
    <t>EOY23_1.3</t>
  </si>
  <si>
    <t>What did the market do in 2023?</t>
  </si>
  <si>
    <t>topic-inflation, topic-savviness</t>
  </si>
  <si>
    <t>https://paven.io/content/article/4TXUb8E5YSXz5shgWmWpl</t>
  </si>
  <si>
    <t>SMINV_4.1</t>
  </si>
  <si>
    <t>Investing principle: the margin of safety</t>
  </si>
  <si>
    <t>https://paven.io/content/article/3PKUvGhYtuKg8oMY8Pj1cx</t>
  </si>
  <si>
    <t>Year End Look Back 2022: Article 1</t>
  </si>
  <si>
    <t>https://www.figma.com/design/i47pYiJ10vqlvx0co3h46m/Q4-2022---Q1-2023-Content-Articles-(batch-16-23)?node-id=462-18235&amp;t=AZaULhiHG8rTkCfU-1</t>
  </si>
  <si>
    <t>Year End Look Back 2022: Article 2</t>
  </si>
  <si>
    <t>https://www.figma.com/design/i47pYiJ10vqlvx0co3h46m/Q4-2022---Q1-2023-Content-Articles-(batch-16-23)?node-id=462-18236&amp;t=QfOhOC59Yq3Jb2Zy-1</t>
  </si>
  <si>
    <t>Year End Look Back 2022: Article 3</t>
  </si>
  <si>
    <t>https://www.figma.com/design/i47pYiJ10vqlvx0co3h46m/Q4-2022---Q1-2023-Content-Articles-(batch-16-23)?node-id=462-18237&amp;t=QfOhOC59Yq3Jb2Zy-1</t>
  </si>
  <si>
    <t>Year End Look Back 2022: Article 4</t>
  </si>
  <si>
    <t>https://www.figma.com/design/i47pYiJ10vqlvx0co3h46m/Q4-2022---Q1-2023-Content-Articles-(batch-16-23)?node-id=462-18238&amp;t=QfOhOC59Yq3Jb2Zy-1</t>
  </si>
  <si>
    <t>Year End Look Back 2022: Article 5</t>
  </si>
  <si>
    <t>https://www.figma.com/design/i47pYiJ10vqlvx0co3h46m/Q4-2022---Q1-2023-Content-Articles-(batch-16-23)?node-id=462-18239&amp;t=QfOhOC59Yq3Jb2Zy-1</t>
  </si>
  <si>
    <t>2023 Q1</t>
  </si>
  <si>
    <t>BEN24_1.5</t>
  </si>
  <si>
    <t>Ways to use your bonus pay</t>
  </si>
  <si>
    <t>topic-income, topic-benefits</t>
  </si>
  <si>
    <t>https://www.figma.com/design/i47pYiJ10vqlvx0co3h46m/Q4-2022---Q1-2023-Content-Articles-(batch-16-23)?node-id=463-22205&amp;t=QfOhOC59Yq3Jb2Zy-1</t>
  </si>
  <si>
    <t>https://paven.io/content/article/3B9ITWcDxmLWvqTO8zqncw</t>
  </si>
  <si>
    <t>BEN24_1.2</t>
  </si>
  <si>
    <t>Your wellness reimbursement for 2024</t>
  </si>
  <si>
    <t>topic-benefits, topic-self-care</t>
  </si>
  <si>
    <t>https://www.figma.com/design/i47pYiJ10vqlvx0co3h46m/Q4-2022---Q1-2023-Content-Articles-(batch-16-23)?node-id=463-22204&amp;t=QfOhOC59Yq3Jb2Zy-1</t>
  </si>
  <si>
    <t>https://paven.io/benefits/article/34nlgdxtAqTq2Z8Z3WDxBh</t>
  </si>
  <si>
    <t>BEN24_1.1</t>
  </si>
  <si>
    <t>Meta Benefit updates for 2024</t>
  </si>
  <si>
    <t>topic-benefits, topic-onboarding</t>
  </si>
  <si>
    <t>https://paven.io/content/article/4bE3qo1XwVXkKKXwtyrWh2</t>
  </si>
  <si>
    <t>LI_1</t>
  </si>
  <si>
    <t>Why should I get life insurance?</t>
  </si>
  <si>
    <t>profile-disability-insurance
profile-life-insurance
profile-home-insurance
profile-renters-insurance
profile-umbrella-insurance</t>
  </si>
  <si>
    <t>https://www.figma.com/design/i47pYiJ10vqlvx0co3h46m/Q4-2022---Q1-2023-Content-Articles-(batch-16-23)?node-id=456-39200&amp;t=V1quavg1MmDh9NVO-1</t>
  </si>
  <si>
    <t>LI_2.1</t>
  </si>
  <si>
    <t>How do I decide which type of life insurance?</t>
  </si>
  <si>
    <t>topic-insurance, topic-benefit</t>
  </si>
  <si>
    <t>https://www.figma.com/design/i47pYiJ10vqlvx0co3h46m/Q4-2022---Q1-2023-Content-Articles-(batch-16-23)?node-id=456-39201&amp;t=V1quavg1MmDh9NVO-1</t>
  </si>
  <si>
    <t>https://paven.io/benefits/article/KqhuSFoODJlrEVoBt3Eqa</t>
  </si>
  <si>
    <t>LI_1.3</t>
  </si>
  <si>
    <t>What should I know about the process?</t>
  </si>
  <si>
    <t>https://www.figma.com/design/i47pYiJ10vqlvx0co3h46m/Q4-2022---Q1-2023-Content-Articles-(batch-16-23)?node-id=456-39203&amp;t=V1quavg1MmDh9NVO-1</t>
  </si>
  <si>
    <t>Draft</t>
  </si>
  <si>
    <t>LI_4</t>
  </si>
  <si>
    <t>Meta employee life insurance</t>
  </si>
  <si>
    <t>https://www.figma.com/design/i47pYiJ10vqlvx0co3h46m/Q4-2022---Q1-2023-Content-Articles-(batch-16-23)?node-id=456-39912&amp;t=V1quavg1MmDh9NVO-1</t>
  </si>
  <si>
    <t>Life Insurance: cover your loved ones</t>
  </si>
  <si>
    <t>https://www.figma.com/design/i47pYiJ10vqlvx0co3h46m/Q4-2022---Q1-2023-Content-Articles-(batch-16-23)?node-id=463-22207&amp;t=QfOhOC59Yq3Jb2Zy-1</t>
  </si>
  <si>
    <t>RSU_1.4</t>
  </si>
  <si>
    <t>Your RSUs: what’s their actual value today?</t>
  </si>
  <si>
    <t>topic-rsus, topic-savviness</t>
  </si>
  <si>
    <t>https://paven.io/benefits/article/6cb8X36mEqaO2iccglROHC</t>
  </si>
  <si>
    <t>TAX_1.3</t>
  </si>
  <si>
    <t>How to talk taxes with Financial Finesse</t>
  </si>
  <si>
    <t>topic-taxes, topic-benefits</t>
  </si>
  <si>
    <t>profile-priorities-budgeting
profile-priorities-debtmanagement
profile-priorities-taxplanning</t>
  </si>
  <si>
    <t>Combine with other tax + FF article?</t>
  </si>
  <si>
    <t>https://paven.io/benefits/article/2Jq1sjfCfKlVuTQoLDd0hj</t>
  </si>
  <si>
    <t>TT24_1.1</t>
  </si>
  <si>
    <t>January: what’s ahead?</t>
  </si>
  <si>
    <t>topic-stocks-bonds, topic-savviness</t>
  </si>
  <si>
    <t>https://www.figma.com/design/i47pYiJ10vqlvx0co3h46m/Q4-2022---Q1-2023-Content-Articles-(batch-16-23)?node-id=462-22084&amp;t=QfOhOC59Yq3Jb2Zy-1</t>
  </si>
  <si>
    <t>https://paven.io/content/article/2k6Eyec0Fo5VaeSoRObjND</t>
  </si>
  <si>
    <t>CRY_1.1</t>
  </si>
  <si>
    <t>Crypto in 2023: where are we now?</t>
  </si>
  <si>
    <t>topic-crypto, topic-savviness</t>
  </si>
  <si>
    <t>https://www.figma.com/design/i47pYiJ10vqlvx0co3h46m/Q4-2022---Q1-2023-Content-Articles-(batch-16-23)?node-id=456-39138&amp;t=Q2DHer4p4jJQ3cc5-1</t>
  </si>
  <si>
    <t>https://paven.io/content/article/6XIPFCiBIiiP5R95mOUjZW</t>
  </si>
  <si>
    <t>RET_1.12</t>
  </si>
  <si>
    <t>401(k)s: unpacking the fine print</t>
  </si>
  <si>
    <t>https://paven.io/content/article/7lFtpVjgylBO9lWx6xsLkf</t>
  </si>
  <si>
    <t>SMINV_2.1</t>
  </si>
  <si>
    <t>Bond market part 1: Are bonds safe?</t>
  </si>
  <si>
    <t>https://www.figma.com/design/i47pYiJ10vqlvx0co3h46m/Q4-2022---Q1-2023-Content-Articles-(batch-16-23)?node-id=463-27291&amp;t=QfOhOC59Yq3Jb2Zy-1</t>
  </si>
  <si>
    <t>https://paven.io/content/article/3LQ1XLLFVkN5IWkhXwvfiq</t>
  </si>
  <si>
    <t>LI_2.2</t>
  </si>
  <si>
    <t>Choosing a life insurance plan</t>
  </si>
  <si>
    <t>https://paven.io/content/article/7CyAK9Stc3Fne5WRF607Nh</t>
  </si>
  <si>
    <t>TT24_1.2</t>
  </si>
  <si>
    <t>February: three trends for the month ahead</t>
  </si>
  <si>
    <t>topic-inflation, topic-resilience</t>
  </si>
  <si>
    <t>https://www.figma.com/design/i47pYiJ10vqlvx0co3h46m/Q4-2022---Q1-2023-Content-Articles-(batch-16-23)?node-id=462-22085&amp;t=QfOhOC59Yq3Jb2Zy-1</t>
  </si>
  <si>
    <t>https://paven.io/content/article/4fidwgcCBLhNbpfnNCmxOg</t>
  </si>
  <si>
    <t>TAX_1.2</t>
  </si>
  <si>
    <t>Tax credits on clean energy this year</t>
  </si>
  <si>
    <t>goal-buying-a-car, goal-buying-a-home</t>
  </si>
  <si>
    <t>https://www.figma.com/design/i47pYiJ10vqlvx0co3h46m/Q4-2022---Q1-2023-Content-Articles-(batch-16-23)?node-id=463-29862&amp;t=QfOhOC59Yq3Jb2Zy-1</t>
  </si>
  <si>
    <t>https://paven.io/content/article/3wVQBD9WjA6XENtpJCeDcH</t>
  </si>
  <si>
    <t>CRY_1.2</t>
  </si>
  <si>
    <t>Crypto exchanges: spotting the risks</t>
  </si>
  <si>
    <t>https://paven.io/content/article/62WsuLd8KT0agFH9E8uHyN</t>
  </si>
  <si>
    <t>EOY22_1.2</t>
  </si>
  <si>
    <t>Saving in the shadow of recession</t>
  </si>
  <si>
    <t>https://www.figma.com/design/i47pYiJ10vqlvx0co3h46m/Q4-2022---Q1-2023-Content-Articles-(batch-16-23)?node-id=463-22996&amp;t=QfOhOC59Yq3Jb2Zy-1</t>
  </si>
  <si>
    <t>SMINV_2.2</t>
  </si>
  <si>
    <t>Bond market part 2: A guide for inflation</t>
  </si>
  <si>
    <t>topic-stocks-bonds, topic-inflation</t>
  </si>
  <si>
    <t>https://www.figma.com/design/i47pYiJ10vqlvx0co3h46m/Q4-2022---Q1-2023-Content-Articles-(batch-16-23)?node-id=463-27292&amp;t=QfOhOC59Yq3Jb2Zy-1</t>
  </si>
  <si>
    <t>https://paven.io/content/article/6F1szxVu6HyWcclAgJPKcR</t>
  </si>
  <si>
    <t>TT24_1.3</t>
  </si>
  <si>
    <t>March: looking for the right home</t>
  </si>
  <si>
    <t>https://www.figma.com/design/i47pYiJ10vqlvx0co3h46m/Q4-2022---Q1-2023-Content-Articles-(batch-16-23)?node-id=462-22086&amp;t=QfOhOC59Yq3Jb2Zy-1</t>
  </si>
  <si>
    <t>https://paven.io/content/article/6sHwvmM1xUQL8BJ4t8MPqn</t>
  </si>
  <si>
    <t>TAX_1.4</t>
  </si>
  <si>
    <t>Refocus 529 funds with Roth IRA transfers</t>
  </si>
  <si>
    <t>topic-roth-ira, topic-529</t>
  </si>
  <si>
    <t>https://www.figma.com/design/i47pYiJ10vqlvx0co3h46m/Q4-2022---Q1-2023-Content-Articles-(batch-16-23)?node-id=463-29864&amp;t=QfOhOC59Yq3Jb2Zy-1</t>
  </si>
  <si>
    <t>https://paven.io/benefits/article/6JB7mIvY7CrCOMBNAI59E6</t>
  </si>
  <si>
    <t>BA_TAX_1.1</t>
  </si>
  <si>
    <t>Tax Season 2023: Deloitte Referral</t>
  </si>
  <si>
    <t>https://www.figma.com/design/i47pYiJ10vqlvx0co3h46m/Q4-2022---Q1-2023-Content-Articles-(batch-16-23)?node-id=463-29863&amp;t=QfOhOC59Yq3Jb2Zy-1</t>
  </si>
  <si>
    <t>LI_2.3</t>
  </si>
  <si>
    <t>Life Insurance: is it time?</t>
  </si>
  <si>
    <t>https://www.figma.com/design/i47pYiJ10vqlvx0co3h46m/Q4-2022---Q1-2023-Content-Articles-(batch-16-23)?node-id=459-43486&amp;t=V1quavg1MmDh9NVO-1</t>
  </si>
  <si>
    <t>https://paven.io/benefits/article/7zTpUZJ7Ct0NdhwEfpjrcW</t>
  </si>
  <si>
    <t>https://www.figma.com/design/i47pYiJ10vqlvx0co3h46m/Q4-2022---Q1-2023-Content-Articles-(batch-16-23)?node-id=459-43485&amp;t=V1quavg1MmDh9NVO-1</t>
  </si>
  <si>
    <t>SMINV_2.3</t>
  </si>
  <si>
    <t>Bond market part 3: Bonds and SV Bank fallout</t>
  </si>
  <si>
    <t>topic-smart-investing, topic-stock</t>
  </si>
  <si>
    <t>https://www.figma.com/design/i47pYiJ10vqlvx0co3h46m/Q4-2022---Q1-2023-Content-Articles-(batch-16-23)?node-id=463-27293&amp;t=QfOhOC59Yq3Jb2Zy-1</t>
  </si>
  <si>
    <t>https://paven.io/content/article/K8s9Xu6ZPHZPn2hwy1J2m</t>
  </si>
  <si>
    <t>Paven Poll: investor types</t>
  </si>
  <si>
    <t>topic-polls, topic-smart-investing</t>
  </si>
  <si>
    <t>CRY_1.3</t>
  </si>
  <si>
    <t>Stablecoin: refuge from banks or crypto trap?</t>
  </si>
  <si>
    <t>topic-crypto, topic-volatility</t>
  </si>
  <si>
    <t>https://www.figma.com/design/i47pYiJ10vqlvx0co3h46m/Q4-2022---Q1-2023-Content-Articles-(batch-16-23)?node-id=456-39139&amp;t=Q2DHer4p4jJQ3cc5-1</t>
  </si>
  <si>
    <t>https://paven.io/content/article/6gv070NnQa5J7NzYJ3gULg</t>
  </si>
  <si>
    <t>2023 Q2</t>
  </si>
  <si>
    <t>TT24_1.6</t>
  </si>
  <si>
    <t>June: riding the inflation wave</t>
  </si>
  <si>
    <t>https://www.figma.com/design/4zIxPm1xJMXTzmg2RSOzMH/Q2-2023-Content-Articles?node-id=3729-23198&amp;t=fe1fCl3NIF7BLK6G-1</t>
  </si>
  <si>
    <t>https://paven.io/content/article/rKBG0drgx3kcZ1Rw3RGTW</t>
  </si>
  <si>
    <t>EST_1.1</t>
  </si>
  <si>
    <t>Meta’s estate planning benefit</t>
  </si>
  <si>
    <t>topic-estate-planning, topic-benefits</t>
  </si>
  <si>
    <t>https://www.figma.com/design/4zIxPm1xJMXTzmg2RSOzMH/Q2-2023-Content-Articles?node-id=3731-8853&amp;t=fe1fCl3NIF7BLK6G-1</t>
  </si>
  <si>
    <t>https://paven.io/benefits/article/2GsW4fbTdPK4dUzW0i2d7o</t>
  </si>
  <si>
    <t>BEN24_1.8</t>
  </si>
  <si>
    <t>May dates for Metamates</t>
  </si>
  <si>
    <t>https://www.figma.com/design/4zIxPm1xJMXTzmg2RSOzMH/Q2-2023-Content-Articles?node-id=3728-22533&amp;t=fe1fCl3NIF7BLK6G-1</t>
  </si>
  <si>
    <t>https://paven.io/benefits/article/4Fi7sXj4Ct2JLJGacTZCvY</t>
  </si>
  <si>
    <t>BEN23_1.9</t>
  </si>
  <si>
    <t>Travel benefits with Meta</t>
  </si>
  <si>
    <t>https://paven.io/benefits/article/3oGUJCzpqo1VJHViXAXikB</t>
  </si>
  <si>
    <t>TT24_1.4</t>
  </si>
  <si>
    <t>April: finding financial resilience</t>
  </si>
  <si>
    <t>topic-resilience, topic-savviness</t>
  </si>
  <si>
    <t>profile-priorities-investing
profile-priorities-debtmanagement</t>
  </si>
  <si>
    <t>https://www.figma.com/design/4zIxPm1xJMXTzmg2RSOzMH/Q2-2023-Content-Articles?node-id=3704-8851&amp;t=fe1fCl3NIF7BLK6G-1</t>
  </si>
  <si>
    <t>https://www.figma.com/design/i47pYiJ10vqlvx0co3h46m/Q4-2022---Q1-2023-Content-Articles-(batch-16-23)?node-id=462-22087&amp;t=QfOhOC59Yq3Jb2Zy-1</t>
  </si>
  <si>
    <t>https://paven.io/content/article/50oWn84kkJSaZggoQnXRnf</t>
  </si>
  <si>
    <t>Paven Poll: the month ahead</t>
  </si>
  <si>
    <t>topic-polls</t>
  </si>
  <si>
    <t>BEN24_1.6</t>
  </si>
  <si>
    <t>Building resilience this FinLit Month</t>
  </si>
  <si>
    <t>topic-resilience, topic-benefits</t>
  </si>
  <si>
    <t>https://www.figma.com/design/4zIxPm1xJMXTzmg2RSOzMH/Q2-2023-Content-Articles?node-id=3729-23201&amp;t=fe1fCl3NIF7BLK6G-1</t>
  </si>
  <si>
    <t>https://paven.io/benefits/article/7ytYA6U1nLLJROygso7ygy</t>
  </si>
  <si>
    <t>Paven Poll: resilience</t>
  </si>
  <si>
    <t>BEN23_1.7</t>
  </si>
  <si>
    <t>401(k) withdrawals: loans, early and hardship?</t>
  </si>
  <si>
    <t>topic-401k, topic-loans, topic-taxes, topic-withdrawals</t>
  </si>
  <si>
    <t>https://www.figma.com/design/4zIxPm1xJMXTzmg2RSOzMH/Q2-2023-Content-Articles?node-id=3731-8851&amp;t=fe1fCl3NIF7BLK6G-1</t>
  </si>
  <si>
    <t>https://www.figma.com/design/i47pYiJ10vqlvx0co3h46m/Q4-2022---Q1-2023-Content-Articles-(batch-16-23)?node-id=461-33993&amp;t=V1quavg1MmDh9NVO-1</t>
  </si>
  <si>
    <t>https://paven.io/content/article/7sGuAv9jvHEHcyChyPAr66</t>
  </si>
  <si>
    <t>Paven Poll: 401(k)</t>
  </si>
  <si>
    <t>topic-401k, topic-polls</t>
  </si>
  <si>
    <t>DEB_2.1</t>
  </si>
  <si>
    <t>Debt: keep your goal in sight</t>
  </si>
  <si>
    <t>topic-bad-debt, topic-debt</t>
  </si>
  <si>
    <t>https://www.figma.com/design/4zIxPm1xJMXTzmg2RSOzMH/Q2-2023-Content-Articles?node-id=3731-8854&amp;t=fe1fCl3NIF7BLK6G-1</t>
  </si>
  <si>
    <t>https://www.figma.com/design/i47pYiJ10vqlvx0co3h46m/Q4-2022---Q1-2023-Content-Articles-(batch-16-23)?node-id=463-24670&amp;t=QfOhOC59Yq3Jb2Zy-1</t>
  </si>
  <si>
    <t>https://paven.io/content/article/18eeWEl9E5yU3nSTmnirKy</t>
  </si>
  <si>
    <t>Paven Poll: debt goal</t>
  </si>
  <si>
    <t>topic-debt, topic-polls</t>
  </si>
  <si>
    <t>SMINV_2.4</t>
  </si>
  <si>
    <t xml:space="preserve">Stocks: what's the new playbook? </t>
  </si>
  <si>
    <t>https://www.figma.com/design/4zIxPm1xJMXTzmg2RSOzMH/Q2-2023-Content-Articles?node-id=3729-23199&amp;t=fe1fCl3NIF7BLK6G-1</t>
  </si>
  <si>
    <t>https://www.figma.com/design/i47pYiJ10vqlvx0co3h46m/Q4-2022---Q1-2023-Content-Articles-(batch-16-23)?node-id=459-82418&amp;t=V1quavg1MmDh9NVO-1</t>
  </si>
  <si>
    <t>https://paven.io/content/article/3dlXPKKmTKQueFwvGPm5bU</t>
  </si>
  <si>
    <t>topic-polls, topic-smart-investing, topic-stock</t>
  </si>
  <si>
    <t>DEB_2.2</t>
  </si>
  <si>
    <t>Debt: how do you make progress?</t>
  </si>
  <si>
    <t>topic-resilience, topic-debt</t>
  </si>
  <si>
    <t>https://www.figma.com/design/4zIxPm1xJMXTzmg2RSOzMH/Q2-2023-Content-Articles?node-id=3729-23202&amp;t=fe1fCl3NIF7BLK6G-1</t>
  </si>
  <si>
    <t>https://www.figma.com/design/i47pYiJ10vqlvx0co3h46m/Q4-2022---Q1-2023-Content-Articles-(batch-16-23)?node-id=459-82419&amp;t=V1quavg1MmDh9NVO-1</t>
  </si>
  <si>
    <t>https://paven.io/content/article/tqFTtOIQPrXOcvksLcj3B</t>
  </si>
  <si>
    <t>Paven Poll: debt</t>
  </si>
  <si>
    <t>SMINV_2.5</t>
  </si>
  <si>
    <t>Contrarian play: energy vs fuel stocks</t>
  </si>
  <si>
    <t>https://www.figma.com/design/4zIxPm1xJMXTzmg2RSOzMH/Q2-2023-Content-Articles?node-id=3731-8852&amp;t=fe1fCl3NIF7BLK6G-1</t>
  </si>
  <si>
    <t>https://paven.io/content/article/7rHdxtIOKl9vahwgShViyP</t>
  </si>
  <si>
    <t>Inactive poll DONT TOUCH</t>
  </si>
  <si>
    <t>Paven Poll: estate planning</t>
  </si>
  <si>
    <t>TT24_1.5</t>
  </si>
  <si>
    <t>May: is there value in cash?</t>
  </si>
  <si>
    <t>topic-volatility, topic-smart-investing</t>
  </si>
  <si>
    <t>https://www.figma.com/design/4zIxPm1xJMXTzmg2RSOzMH/Q2-2023-Content-Articles?node-id=3704-17750&amp;t=fe1fCl3NIF7BLK6G-1</t>
  </si>
  <si>
    <t>https://paven.io/content/article/3Q0zXwmtXrfHBEC8phxJZM</t>
  </si>
  <si>
    <t>Paven Poll: value of cash</t>
  </si>
  <si>
    <t>Paven Poll: Benefits in May</t>
  </si>
  <si>
    <t>HSA_1.4</t>
  </si>
  <si>
    <t>Making the most of your HSA</t>
  </si>
  <si>
    <t>topic-hsa, topic-benefits</t>
  </si>
  <si>
    <t>https://www.figma.com/design/4zIxPm1xJMXTzmg2RSOzMH/Q2-2023-Content-Articles?node-id=3729-22534&amp;t=fe1fCl3NIF7BLK6G-1</t>
  </si>
  <si>
    <t>https://www.figma.com/design/Pb5fwUNVNDCjWaQ8QVAihm/Q2-2024-Content-Articles?node-id=1614-38902&amp;t=rz4v3A4dHAOgTO1E-1</t>
  </si>
  <si>
    <t>https://paven.io/benefits/article/ayHeah7fCUQWdWf5sONVQ</t>
  </si>
  <si>
    <t>BAH_2.1</t>
  </si>
  <si>
    <t>Home buying: starting your journey</t>
  </si>
  <si>
    <t>topic-first-home, topic-owning-home</t>
  </si>
  <si>
    <t>profile-property-ownhome
profile-priorities-wanthome</t>
  </si>
  <si>
    <t>https://www.figma.com/design/4zIxPm1xJMXTzmg2RSOzMH/Q2-2023-Content-Articles?node-id=3729-23193&amp;t=fe1fCl3NIF7BLK6G-1</t>
  </si>
  <si>
    <t>https://paven.io/content/article/7JR0r8UbRsSnOzjVrIFRco</t>
  </si>
  <si>
    <t>Paven Poll: HSAs</t>
  </si>
  <si>
    <t>topic-polls, topic-hsa</t>
  </si>
  <si>
    <t>Paven Poll: home goal</t>
  </si>
  <si>
    <t>topic-polls, topic-owning-a-home</t>
  </si>
  <si>
    <t>SMINV_2.6</t>
  </si>
  <si>
    <t>Stocks with staying power</t>
  </si>
  <si>
    <t>https://www.figma.com/design/4zIxPm1xJMXTzmg2RSOzMH/Q2-2023-Content-Articles?node-id=3729-23194&amp;t=fe1fCl3NIF7BLK6G-1</t>
  </si>
  <si>
    <t>https://paven.io/content/article/HXowITNK4984Sui2euL0h</t>
  </si>
  <si>
    <t>EST_1.2</t>
  </si>
  <si>
    <t>Estate planning: getting started</t>
  </si>
  <si>
    <t>https://www.figma.com/design/4zIxPm1xJMXTzmg2RSOzMH/Q2-2023-Content-Articles?node-id=3729-23195&amp;t=fe1fCl3NIF7BLK6G-1</t>
  </si>
  <si>
    <t>https://paven.io/content/article/7v5rl31FZ0PsuMYNzrMbk</t>
  </si>
  <si>
    <t>SMINV_2.7</t>
  </si>
  <si>
    <t>Contrarian play: semiconductors</t>
  </si>
  <si>
    <t>https://www.figma.com/design/4zIxPm1xJMXTzmg2RSOzMH/Q2-2023-Content-Articles?node-id=3729-23196&amp;t=fe1fCl3NIF7BLK6G-1</t>
  </si>
  <si>
    <t>https://paven.io/content/article/69UF4T9T37ZJgjLcueyCJN</t>
  </si>
  <si>
    <t>BAH_2.2</t>
  </si>
  <si>
    <t>When should you buy a home?</t>
  </si>
  <si>
    <t>https://www.figma.com/design/4zIxPm1xJMXTzmg2RSOzMH/Q2-2023-Content-Articles?node-id=3729-23197&amp;t=fe1fCl3NIF7BLK6G-1</t>
  </si>
  <si>
    <t>https://paven.io/content/article/1bnU0IlpXboAmaOQcjI9vp</t>
  </si>
  <si>
    <t>BEN23_1.12</t>
  </si>
  <si>
    <t>Benefit changes for 2023</t>
  </si>
  <si>
    <t>https://www.figma.com/design/4zIxPm1xJMXTzmg2RSOzMH/Q2-2023-Content-Articles?node-id=3728-13634&amp;t=fe1fCl3NIF7BLK6G-1</t>
  </si>
  <si>
    <t>https://www.figma.com/design/i47pYiJ10vqlvx0co3h46m/Q4-2022---Q1-2023-Content-Articles-(batch-16-23)?node-id=463-22206&amp;t=QfOhOC59Yq3Jb2Zy-1</t>
  </si>
  <si>
    <t>BEN23_1.10</t>
  </si>
  <si>
    <t>401(k) conversions: how they work</t>
  </si>
  <si>
    <t>https://www.figma.com/design/4zIxPm1xJMXTzmg2RSOzMH/Q2-2023-Content-Articles?node-id=3704-23232&amp;t=fe1fCl3NIF7BLK6G-1</t>
  </si>
  <si>
    <t>https://paven.io/benefits/article/7gq8ye9mIQBOlSNZ4mGz8u</t>
  </si>
  <si>
    <t>Paven Poll: contrarian investing</t>
  </si>
  <si>
    <t>Paven Poll: buying and renting</t>
  </si>
  <si>
    <t>topic-polls, topic-buying-a-home</t>
  </si>
  <si>
    <t>profile-property-rent
profile-property-neither
profile-priorities-wanthome</t>
  </si>
  <si>
    <t>EMF_2.1</t>
  </si>
  <si>
    <t>How do you spend your money?</t>
  </si>
  <si>
    <t>https://www.figma.com/design/4zIxPm1xJMXTzmg2RSOzMH/Q2-2023-Content-Articles?node-id=3728-13629&amp;t=fe1fCl3NIF7BLK6G-1</t>
  </si>
  <si>
    <t>https://paven.io/content/article/5i5l5RZOK9b7TQyIdXLHMs</t>
  </si>
  <si>
    <t>Paven Poll: inflation</t>
  </si>
  <si>
    <t>topic-inflation, topic-polls</t>
  </si>
  <si>
    <t>Paven Poll: summer travel</t>
  </si>
  <si>
    <t>topic-travel, topic-polls</t>
  </si>
  <si>
    <t>SMINV_2.8</t>
  </si>
  <si>
    <t>Stocks: how to find the real value</t>
  </si>
  <si>
    <t>https://www.figma.com/design/4zIxPm1xJMXTzmg2RSOzMH/Q2-2023-Content-Articles?node-id=3728-13630&amp;t=fe1fCl3NIF7BLK6G-1</t>
  </si>
  <si>
    <t>https://paven.io/content/article/6AgPLGxufTjPh3N8GCYbLb</t>
  </si>
  <si>
    <t>Paven Poll: saving and spending</t>
  </si>
  <si>
    <t>topic-emergency-fund, topic-polls</t>
  </si>
  <si>
    <t>EST_1.3</t>
  </si>
  <si>
    <t>Estate planning for everyone</t>
  </si>
  <si>
    <t>topic-estate-planning, group-family</t>
  </si>
  <si>
    <t>https://www.figma.com/design/4zIxPm1xJMXTzmg2RSOzMH/Q2-2023-Content-Articles?node-id=3728-13631&amp;t=fe1fCl3NIF7BLK6G-1</t>
  </si>
  <si>
    <t>https://paven.io/content/article/6LItN1K4USGOcLBAoJkV1K</t>
  </si>
  <si>
    <t>2023 Q3</t>
  </si>
  <si>
    <t>BEN23_2.1</t>
  </si>
  <si>
    <t>Small steps to a healthier future</t>
  </si>
  <si>
    <t>topic-health, topic-self-care</t>
  </si>
  <si>
    <t>https://www.figma.com/design/uZMJGIEDq3IFjseOrDLe7j/Q3-2023-Content-Articles?node-id=3684-17931&amp;t=RjSzlPHx8wGfbUcK-1</t>
  </si>
  <si>
    <t>https://paven.io/benefits/article/2n6ebhc1JmSHRjq1hlqEAc</t>
  </si>
  <si>
    <t>BEN23_2.2</t>
  </si>
  <si>
    <t>Caring for teens with Cleo</t>
  </si>
  <si>
    <t>topic-caregiving, topic-benefits</t>
  </si>
  <si>
    <t>profile-priorities-healthcost
profile-family-havekids</t>
  </si>
  <si>
    <t>https://www.figma.com/design/uZMJGIEDq3IFjseOrDLe7j/Q3-2023-Content-Articles?node-id=3684-17928&amp;t=RjSzlPHx8wGfbUcK-1</t>
  </si>
  <si>
    <t>https://paven.io/benefits/article/1t7PMBzjZvmyyMBNqIwe5O</t>
  </si>
  <si>
    <t>BEN23_2.3</t>
  </si>
  <si>
    <t>Caregiver benefits: get support with Meta</t>
  </si>
  <si>
    <t>profile-priorities-healthcost
profile-family-extendedfam
profile-family-agingparents</t>
  </si>
  <si>
    <t>https://www.figma.com/design/uZMJGIEDq3IFjseOrDLe7j/Q3-2023-Content-Articles?node-id=3683-12821&amp;t=RjSzlPHx8wGfbUcK-1</t>
  </si>
  <si>
    <t>https://paven.io/benefits/article/3KYnw2do1wxFB6Q1yqiXlb</t>
  </si>
  <si>
    <t>BEN23_2.4</t>
  </si>
  <si>
    <t>Caring for your parents with Wellthy</t>
  </si>
  <si>
    <t>https://paven.io/content/article/5ubss1n8Gur0R55hMiXIfS</t>
  </si>
  <si>
    <t>BEN24_2.6</t>
  </si>
  <si>
    <t>OE ‘23: Planning for your health</t>
  </si>
  <si>
    <t>topic-health, topic-benefits</t>
  </si>
  <si>
    <t>https://www.figma.com/design/uZMJGIEDq3IFjseOrDLe7j/Q3-2023-Content-Articles?node-id=3683-5636&amp;t=RjSzlPHx8wGfbUcK-1</t>
  </si>
  <si>
    <t>https://paven.io/benefits/article/3xFrNb6oN95ndELeTISCZm</t>
  </si>
  <si>
    <t>Occam's Razor 2023</t>
  </si>
  <si>
    <t>Planning for retirement beyond your 401(k)</t>
  </si>
  <si>
    <t>topic-simulator, topic-retirement</t>
  </si>
  <si>
    <t>https://paven.io/simulator/article/6RCplWXPy3wJ3UMlPOBXr4</t>
  </si>
  <si>
    <t>Entry Point Simulator</t>
  </si>
  <si>
    <t>Investing practice: how to manage market risk</t>
  </si>
  <si>
    <t>TT23_1.7</t>
  </si>
  <si>
    <t>Self-care with healthcare</t>
  </si>
  <si>
    <t>https://www.figma.com/design/uZMJGIEDq3IFjseOrDLe7j/Q3-2023-Content-Articles?node-id=3644-4721&amp;t=RjSzlPHx8wGfbUcK-1</t>
  </si>
  <si>
    <t>https://paven.io/content/article/40VkV7JkiFDi95pLlBpt1A</t>
  </si>
  <si>
    <t>Paven Poll: July care</t>
  </si>
  <si>
    <t>topic-polls, topic-health</t>
  </si>
  <si>
    <t>Paven Poll: healthcare network</t>
  </si>
  <si>
    <t>GOAL_1.1</t>
  </si>
  <si>
    <t>Goals: What are they? Why do they matter?</t>
  </si>
  <si>
    <t>topic-onboarding, topic-goals</t>
  </si>
  <si>
    <t>https://www.figma.com/design/uZMJGIEDq3IFjseOrDLe7j/Q3-2023-Content-Articles?node-id=3684-17932&amp;t=RjSzlPHx8wGfbUcK-1</t>
  </si>
  <si>
    <t>https://paven.io/content/article/fufOxWn3qSC6N8lCPEArb</t>
  </si>
  <si>
    <t>Paven Poll: parenting advice</t>
  </si>
  <si>
    <t>topic-polls, topic-growing-your-family</t>
  </si>
  <si>
    <t>Paven Poll: setting goals</t>
  </si>
  <si>
    <t>topic-competing-goals, topic-polls</t>
  </si>
  <si>
    <t>SMINV_3.1</t>
  </si>
  <si>
    <t>Investors: ready for a fresh start?</t>
  </si>
  <si>
    <t>https://www.figma.com/design/uZMJGIEDq3IFjseOrDLe7j/Q3-2023-Content-Articles?node-id=3684-17929&amp;t=RjSzlPHx8wGfbUcK-1</t>
  </si>
  <si>
    <t>https://paven.io/content/article/1PwhRz7nlEZzy689dD2r4m</t>
  </si>
  <si>
    <t>LM_COM_2.1</t>
  </si>
  <si>
    <t>Sharing your money – it’s a life moment</t>
  </si>
  <si>
    <t>topic-partner, topic-budget</t>
  </si>
  <si>
    <t>profile-family-myself
profile-family-spouse
profile-priorities-budgeting</t>
  </si>
  <si>
    <t>https://www.figma.com/design/uZMJGIEDq3IFjseOrDLe7j/Q3-2023-Content-Articles?node-id=3684-17933&amp;t=RjSzlPHx8wGfbUcK-1</t>
  </si>
  <si>
    <t>https://paven.io/content/article/UvrcaNa1cwMe969OptsKb</t>
  </si>
  <si>
    <t>Paven Poll: new motivation</t>
  </si>
  <si>
    <t>Paven Poll: merging finances</t>
  </si>
  <si>
    <t>topic-partner, topic-polls</t>
  </si>
  <si>
    <t>SMINV_3.2</t>
  </si>
  <si>
    <t>Investing in the future of health</t>
  </si>
  <si>
    <t>https://www.figma.com/design/uZMJGIEDq3IFjseOrDLe7j/Q3-2023-Content-Articles?node-id=3644-11906&amp;t=RjSzlPHx8wGfbUcK-1</t>
  </si>
  <si>
    <t>https://paven.io/content/article/5i9cosAfHxAXEfBxaIez5m</t>
  </si>
  <si>
    <t>INH_2.1</t>
  </si>
  <si>
    <t>Inheritance: planning with care</t>
  </si>
  <si>
    <t>topic-benefits, topic-inheritance</t>
  </si>
  <si>
    <t>profile-will
profile-trust
profile-guardianship
profile-beneficiaries</t>
  </si>
  <si>
    <t>https://www.figma.com/design/uZMJGIEDq3IFjseOrDLe7j/Q3-2023-Content-Articles?node-id=3683-13245&amp;t=RjSzlPHx8wGfbUcK-1</t>
  </si>
  <si>
    <t>https://paven.io/benefits/article/1duNyvJJQXqpJzwPwiAgHa</t>
  </si>
  <si>
    <t>Broen ottie</t>
  </si>
  <si>
    <t>Paven Poll: sector curiosity</t>
  </si>
  <si>
    <t>Paven Poll: helping parents</t>
  </si>
  <si>
    <t>topic-inheritance, topic-polls</t>
  </si>
  <si>
    <t>TT23_1.8</t>
  </si>
  <si>
    <t>August: is it shrinkflation summer?</t>
  </si>
  <si>
    <t>https://www.figma.com/design/uZMJGIEDq3IFjseOrDLe7j/Q3-2023-Content-Articles?node-id=3683-13246&amp;t=RjSzlPHx8wGfbUcK-1</t>
  </si>
  <si>
    <t>https://paven.io/content/article/1IqFt8WpM4uacZfsTcGUiz</t>
  </si>
  <si>
    <t>Paven Poll: caregiving wishlist</t>
  </si>
  <si>
    <t>topic-caregiving, topic-polls, topic-health</t>
  </si>
  <si>
    <t>Paven Poll: shrinkflation</t>
  </si>
  <si>
    <t>Paven poll: elder care</t>
  </si>
  <si>
    <t>topic-caregiving, topic-polls</t>
  </si>
  <si>
    <t>Paven Poll: setting your first goal</t>
  </si>
  <si>
    <t>topic-welcome, topic-polls</t>
  </si>
  <si>
    <t>GOAL_1.2</t>
  </si>
  <si>
    <t>How to set your first goal in Paven</t>
  </si>
  <si>
    <t>https://www.figma.com/design/uZMJGIEDq3IFjseOrDLe7j/Q3-2023-Content-Articles?node-id=3683-13247&amp;t=RjSzlPHx8wGfbUcK-1</t>
  </si>
  <si>
    <t>https://paven.io/content/article/owseBAvFJG0YhuvrzfRpI</t>
  </si>
  <si>
    <t>SMINV_3.3</t>
  </si>
  <si>
    <t>New ways to save today</t>
  </si>
  <si>
    <t>https://www.figma.com/design/uZMJGIEDq3IFjseOrDLe7j/Q3-2023-Content-Articles?node-id=3683-13243&amp;t=RjSzlPHx8wGfbUcK-1</t>
  </si>
  <si>
    <t>https://paven.io/content/article/2uVkUsniZpnSL93XUw7D3N</t>
  </si>
  <si>
    <t>INH_2.2</t>
  </si>
  <si>
    <t>Receiving an inheritance</t>
  </si>
  <si>
    <t>topic-caregiving, topic-inheritance</t>
  </si>
  <si>
    <t>https://www.figma.com/design/uZMJGIEDq3IFjseOrDLe7j/Q3-2023-Content-Articles?node-id=3683-13248&amp;t=RjSzlPHx8wGfbUcK-1</t>
  </si>
  <si>
    <t>https://paven.io/benefits/article/6XCEwyemBBRWG7qJLT0z0g</t>
  </si>
  <si>
    <t>Paven Poll: inheritance prep</t>
  </si>
  <si>
    <t>Paven Poll: savings method</t>
  </si>
  <si>
    <t>LM_COM_2.2</t>
  </si>
  <si>
    <t>Balance out shared money – with style</t>
  </si>
  <si>
    <t>profile-family-spouse
profile-priorities-budgeting</t>
  </si>
  <si>
    <t>https://www.figma.com/design/uZMJGIEDq3IFjseOrDLe7j/Q3-2023-Content-Articles?node-id=3683-13244&amp;t=RjSzlPHx8wGfbUcK-1</t>
  </si>
  <si>
    <t>https://paven.io/content/article/73tv9gq3kDZmNgHYMLNffi</t>
  </si>
  <si>
    <t>SMINV_3.4</t>
  </si>
  <si>
    <t>Biotech bets: what to know</t>
  </si>
  <si>
    <t>https://www.figma.com/design/uZMJGIEDq3IFjseOrDLe7j/Q3-2023-Content-Articles?node-id=3683-13249&amp;t=RjSzlPHx8wGfbUcK-1</t>
  </si>
  <si>
    <t>https://paven.io/content/article/aCKaonDEL88upSg6nHmd5</t>
  </si>
  <si>
    <t>Paven Poll: sharing finances</t>
  </si>
  <si>
    <t>topic-combining-finances, topic-polls</t>
  </si>
  <si>
    <t>TT23_1.9</t>
  </si>
  <si>
    <t>September: healthy aging month</t>
  </si>
  <si>
    <t>https://www.figma.com/design/uZMJGIEDq3IFjseOrDLe7j/Q3-2023-Content-Articles?node-id=3644-17484&amp;t=RjSzlPHx8wGfbUcK-1</t>
  </si>
  <si>
    <t>https://paven.io/content/article/lgplrc82hSFd738pBG3DF</t>
  </si>
  <si>
    <t>Paven Poll: choosing a sector</t>
  </si>
  <si>
    <t>GOAL_1.3</t>
  </si>
  <si>
    <t>Goals: sustaining your growth</t>
  </si>
  <si>
    <t>https://www.figma.com/design/uZMJGIEDq3IFjseOrDLe7j/Q3-2023-Content-Articles?node-id=3683-5633&amp;t=RjSzlPHx8wGfbUcK-1</t>
  </si>
  <si>
    <t>https://paven.io/content/article/5DGeQhtHFhCimJgO58Iczf</t>
  </si>
  <si>
    <t>Paven Poll: your health</t>
  </si>
  <si>
    <t>Paven Poll: growing goals</t>
  </si>
  <si>
    <t>BEN23_2.5</t>
  </si>
  <si>
    <t>Accolade: make the most of your healthcare</t>
  </si>
  <si>
    <t>topic-benefits, topic-health</t>
  </si>
  <si>
    <t>https://www.figma.com/design/uZMJGIEDq3IFjseOrDLe7j/Q3-2023-Content-Articles?node-id=3644-17485&amp;t=RjSzlPHx8wGfbUcK-1</t>
  </si>
  <si>
    <t>https://paven.io/benefits/article/4C5n9JJZcO99mE9SZwhp4v</t>
  </si>
  <si>
    <t>INH_2.3</t>
  </si>
  <si>
    <t>Inheriting with others</t>
  </si>
  <si>
    <t>topic-inheritance, group-family</t>
  </si>
  <si>
    <t>https://www.figma.com/design/uZMJGIEDq3IFjseOrDLe7j/Q3-2023-Content-Articles?node-id=3683-5634&amp;t=RjSzlPHx8wGfbUcK-1</t>
  </si>
  <si>
    <t>https://paven.io/content/article/5XBV6xh1fOgzCvcHuTxUJA</t>
  </si>
  <si>
    <t>SMINV_3.5</t>
  </si>
  <si>
    <t>How to make sense of a stock index</t>
  </si>
  <si>
    <t>https://www.figma.com/design/uZMJGIEDq3IFjseOrDLe7j/Q3-2023-Content-Articles?node-id=3683-5631&amp;t=RjSzlPHx8wGfbUcK-1</t>
  </si>
  <si>
    <t>https://paven.io/content/article/4yPy16k4zJomR8wfjLqZq2</t>
  </si>
  <si>
    <t>LM_COM_2.3</t>
  </si>
  <si>
    <t>Getting through debt, together</t>
  </si>
  <si>
    <t>https://www.figma.com/design/uZMJGIEDq3IFjseOrDLe7j/Q3-2023-Content-Articles?node-id=3683-5635&amp;t=RjSzlPHx8wGfbUcK-1</t>
  </si>
  <si>
    <t>https://paven.io/content/article/31ruEEMupheznUg7mPmaxb</t>
  </si>
  <si>
    <t>Paven poll: targeted support</t>
  </si>
  <si>
    <t>Paven Poll: talking about inheritance</t>
  </si>
  <si>
    <t>Paven Poll: using a stock index</t>
  </si>
  <si>
    <t>Paven Poll: sharing debts</t>
  </si>
  <si>
    <t>SMINV_3.6</t>
  </si>
  <si>
    <t>Healthcare services: where to invest?</t>
  </si>
  <si>
    <t>topic-industries, topic-smart-investing</t>
  </si>
  <si>
    <t>https://www.figma.com/design/uZMJGIEDq3IFjseOrDLe7j/Q3-2023-Content-Articles?node-id=3683-5632&amp;t=RjSzlPHx8wGfbUcK-1</t>
  </si>
  <si>
    <t>https://paven.io/content/article/30eYD7XlZWOBONGOLFmqXe</t>
  </si>
  <si>
    <t>2023 Q4</t>
  </si>
  <si>
    <t>FSA_2.1</t>
  </si>
  <si>
    <t>Meta’s flexible savings account</t>
  </si>
  <si>
    <t>topic-fsa, topic-benefits</t>
  </si>
  <si>
    <t>https://www.figma.com/design/gz3fc7somKwSzVzDbmgdM4/Q4-2023-Content-Articles?node-id=3082-15232&amp;t=fE9pUkwvfnUKyH7f-1</t>
  </si>
  <si>
    <t>https://paven.io/benefits/article/2CyrFV8rtLWryn5JYa4yoI</t>
  </si>
  <si>
    <t>TT23_1.10</t>
  </si>
  <si>
    <t>October: student loans unpaused?</t>
  </si>
  <si>
    <t>topic-lenders, topic-debt</t>
  </si>
  <si>
    <t>https://www.figma.com/design/gz3fc7somKwSzVzDbmgdM4/Q4-2023-Content-Articles?node-id=3042-3464&amp;t=fE9pUkwvfnUKyH7f-1</t>
  </si>
  <si>
    <t>https://paven.io/content/article/6bdjgAZq6ysvJBo4f3BaBL</t>
  </si>
  <si>
    <t>HOME_2.1</t>
  </si>
  <si>
    <t>What is Paven?</t>
  </si>
  <si>
    <t>https://www.figma.com/design/gz3fc7somKwSzVzDbmgdM4/Q4-2023-Content-Articles?node-id=3080-15229&amp;t=fE9pUkwvfnUKyH7f-1</t>
  </si>
  <si>
    <t>https://paven.io/content/article/568I80o7WBI63nux9NkzU7</t>
  </si>
  <si>
    <t>HOME_2.2</t>
  </si>
  <si>
    <t>Your budget, your life</t>
  </si>
  <si>
    <t>topic-budget, topic-savviness</t>
  </si>
  <si>
    <t>https://www.figma.com/design/gz3fc7somKwSzVzDbmgdM4/Q4-2023-Content-Articles?node-id=3080-15230&amp;t=fE9pUkwvfnUKyH7f-1</t>
  </si>
  <si>
    <t>https://paven.io/content/article/6Kg8c6DAxy9XRvvHb2djs7</t>
  </si>
  <si>
    <t>HOME_2.3</t>
  </si>
  <si>
    <t>What can you build with Paven?</t>
  </si>
  <si>
    <t>topic-goals, topic-onboarding</t>
  </si>
  <si>
    <t>https://www.figma.com/design/gz3fc7somKwSzVzDbmgdM4/Q4-2023-Content-Articles?node-id=3082-15231&amp;t=fE9pUkwvfnUKyH7f-1</t>
  </si>
  <si>
    <t>https://paven.io/content/article/48iNpsQ4joTaOyNd63p5FB</t>
  </si>
  <si>
    <t>Paven Poll: student loans</t>
  </si>
  <si>
    <t>RET_2.1</t>
  </si>
  <si>
    <t>Bringing your retirement to life</t>
  </si>
  <si>
    <t>https://www.figma.com/design/gz3fc7somKwSzVzDbmgdM4/Q4-2023-Content-Articles?node-id=3042-10308&amp;t=fE9pUkwvfnUKyH7f-1</t>
  </si>
  <si>
    <t>https://paven.io/content/article/47QR0n9uXSwDxxjlubB371</t>
  </si>
  <si>
    <t>TT23_1.11</t>
  </si>
  <si>
    <t>Giving back</t>
  </si>
  <si>
    <t>https://www.figma.com/design/gz3fc7somKwSzVzDbmgdM4/Q4-2023-Content-Articles?node-id=3077-15217&amp;t=fE9pUkwvfnUKyH7f-1</t>
  </si>
  <si>
    <t>https://paven.io/content/article/7mCJC3llYIp4sikdZ7rjSM</t>
  </si>
  <si>
    <t>GYF_2.1</t>
  </si>
  <si>
    <t>Budgeting for baby</t>
  </si>
  <si>
    <t>topic-new-baby, topic-benefits, group-family</t>
  </si>
  <si>
    <t>https://www.figma.com/design/gz3fc7somKwSzVzDbmgdM4/Q4-2023-Content-Articles?node-id=3077-15218&amp;t=fE9pUkwvfnUKyH7f-1</t>
  </si>
  <si>
    <t>https://paven.io/benefits/article/64aMo59ItbNMLRXqGbdATJ</t>
  </si>
  <si>
    <t>RET_2.2</t>
  </si>
  <si>
    <t>Retirement account basics</t>
  </si>
  <si>
    <t>https://www.figma.com/design/gz3fc7somKwSzVzDbmgdM4/Q4-2023-Content-Articles?node-id=3077-15221&amp;t=fE9pUkwvfnUKyH7f-1</t>
  </si>
  <si>
    <t>https://paven.io/content/article/538vC9iVAtSJ7UjPXfbobj</t>
  </si>
  <si>
    <t>GYF_2.2</t>
  </si>
  <si>
    <t>Adoption, surrogacy, &amp; IVF</t>
  </si>
  <si>
    <t>https://www.figma.com/design/gz3fc7somKwSzVzDbmgdM4/Q4-2023-Content-Articles?node-id=3078-15224&amp;t=fE9pUkwvfnUKyH7f-1</t>
  </si>
  <si>
    <t>https://paven.io/content/article/69HWThvcmOpiObXsKJQuZ6</t>
  </si>
  <si>
    <t>RET_2.3</t>
  </si>
  <si>
    <t>How to save even more for retirement</t>
  </si>
  <si>
    <t>https://www.figma.com/design/gz3fc7somKwSzVzDbmgdM4/Q4-2023-Content-Articles?node-id=3078-15226&amp;t=fE9pUkwvfnUKyH7f-1</t>
  </si>
  <si>
    <t>https://paven.io/content/article/4h0YqeMkXe0K25pSD5ldlq</t>
  </si>
  <si>
    <t>TT23_1.12</t>
  </si>
  <si>
    <t>December: Tax deductions for giving</t>
  </si>
  <si>
    <t>topic-charity, topic-taxes</t>
  </si>
  <si>
    <t>https://www.figma.com/design/gz3fc7somKwSzVzDbmgdM4/Q4-2023-Content-Articles?node-id=3042-14469&amp;t=fE9pUkwvfnUKyH7f-1</t>
  </si>
  <si>
    <t>https://paven.io/content/article/5qoJLW35jRce13UYUYXo5t</t>
  </si>
  <si>
    <t>GYF_2.3</t>
  </si>
  <si>
    <t>Balancing kid costs and your goals</t>
  </si>
  <si>
    <t>goal-debt-management, goal-retirement</t>
  </si>
  <si>
    <t>topic-new-baby, group-family</t>
  </si>
  <si>
    <t>https://www.figma.com/design/gz3fc7somKwSzVzDbmgdM4/Q4-2023-Content-Articles?node-id=3077-15214&amp;t=fE9pUkwvfnUKyH7f-1</t>
  </si>
  <si>
    <t>https://paven.io/content/article/3NgcOMUKLm38mDzlmYLwF1</t>
  </si>
  <si>
    <t>2024 Q1</t>
  </si>
  <si>
    <t>January: What’s ahead?</t>
  </si>
  <si>
    <t>https://www.figma.com/design/m69lHYikNQaP9uHS0HOTS0/Q1-2024-Content-Articles?node-id=3378-306914&amp;t=pYNmmGOBJVcmM98o-1</t>
  </si>
  <si>
    <t>Benefit changes for 2024</t>
  </si>
  <si>
    <t>https://www.figma.com/design/m69lHYikNQaP9uHS0HOTS0/Q1-2024-Content-Articles?node-id=3380-364329&amp;t=pYNmmGOBJVcmM98o-1</t>
  </si>
  <si>
    <t>Your wellness reimbursement in 2024</t>
  </si>
  <si>
    <t>https://www.figma.com/design/m69lHYikNQaP9uHS0HOTS0/Q1-2024-Content-Articles?node-id=3380-398021&amp;t=pYNmmGOBJVcmM98o-1</t>
  </si>
  <si>
    <t>FFTAX_1.1</t>
  </si>
  <si>
    <t>Get tax guidance with Financial Finesse</t>
  </si>
  <si>
    <t>topic-financial-finesse, topic-taxes</t>
  </si>
  <si>
    <t>https://www.figma.com/design/m69lHYikNQaP9uHS0HOTS0/Q1-2024-Content-Articles?node-id=3380-438144&amp;t=pYNmmGOBJVcmM98o-1</t>
  </si>
  <si>
    <t>BEN_FFTAX_1.1</t>
  </si>
  <si>
    <t>Tax guidance: how to have the right convo</t>
  </si>
  <si>
    <t>https://www.figma.com/design/m69lHYikNQaP9uHS0HOTS0/Q1-2024-Content-Articles?node-id=3378-169458&amp;t=pYNmmGOBJVcmM98o-1</t>
  </si>
  <si>
    <t>BEN24_1.3</t>
  </si>
  <si>
    <t>Better care with Crossover Health</t>
  </si>
  <si>
    <t>topic-health, topic-benefit</t>
  </si>
  <si>
    <t>https://www.figma.com/design/m69lHYikNQaP9uHS0HOTS0/Q1-2024-Content-Articles?node-id=3378-39941&amp;t=pYNmmGOBJVcmM98o-1</t>
  </si>
  <si>
    <t>https://paven.io/benefits/article/6kme83naKSDtUu6H5PkHcR</t>
  </si>
  <si>
    <t>https://www.figma.com/design/m69lHYikNQaP9uHS0HOTS0/Q1-2024-Content-Articles?node-id=3380-465585&amp;t=pYNmmGOBJVcmM98o-1</t>
  </si>
  <si>
    <t>topic-rsus, topic-taxes</t>
  </si>
  <si>
    <t>https://www.figma.com/design/m69lHYikNQaP9uHS0HOTS0/Q1-2024-Content-Articles?node-id=3378-200746&amp;t=pYNmmGOBJVcmM98o-1</t>
  </si>
  <si>
    <t>topic-savviness, topic-budget</t>
  </si>
  <si>
    <t>https://www.figma.com/design/m69lHYikNQaP9uHS0HOTS0/Q1-2024-Content-Articles?node-id=3378-234157&amp;t=pYNmmGOBJVcmM98o-1</t>
  </si>
  <si>
    <t>February: Three trends for the month ahead</t>
  </si>
  <si>
    <t>topic-market</t>
  </si>
  <si>
    <t>https://www.figma.com/design/m69lHYikNQaP9uHS0HOTS0/Q1-2024-Content-Articles?node-id=3378-151402&amp;t=pYNmmGOBJVcmM98o-1</t>
  </si>
  <si>
    <t>BEN24_1.7</t>
  </si>
  <si>
    <t>https://www.figma.com/design/m69lHYikNQaP9uHS0HOTS0/Q1-2024-Content-Articles?node-id=3378-2878&amp;t=pYNmmGOBJVcmM98o-1</t>
  </si>
  <si>
    <t>March: Looking for the right home</t>
  </si>
  <si>
    <t>topic-owning-home, topic-first-home</t>
  </si>
  <si>
    <t>https://www.figma.com/design/m69lHYikNQaP9uHS0HOTS0/Q1-2024-Content-Articles?node-id=3378-25701&amp;t=pYNmmGOBJVcmM98o-1</t>
  </si>
  <si>
    <t>BEN24_1.4</t>
  </si>
  <si>
    <t>Connect to Crossover Health</t>
  </si>
  <si>
    <t>group-self-care, group-benefits</t>
  </si>
  <si>
    <t>https://www.figma.com/design/m69lHYikNQaP9uHS0HOTS0/Q1-2024-Content-Articles?node-id=3378-109920&amp;t=pYNmmGOBJVcmM98o-1</t>
  </si>
  <si>
    <t>https://paven.io/benefits/article/5v52NmnUOnHSA224VEDJqN</t>
  </si>
  <si>
    <t>IIY_1.1</t>
  </si>
  <si>
    <t>Start investing in yourself</t>
  </si>
  <si>
    <t>topic-skills, topic-self-care, topic-budget</t>
  </si>
  <si>
    <t>https://www.figma.com/design/m69lHYikNQaP9uHS0HOTS0/Q1-2024-Content-Articles?node-id=3380-328979&amp;t=pYNmmGOBJVcmM98o-1</t>
  </si>
  <si>
    <t>https://paven.io/content/article/76J6kwosrb6kJSeNFzcrvc</t>
  </si>
  <si>
    <t>BAH_2.3</t>
  </si>
  <si>
    <t>How to handle upfront costs</t>
  </si>
  <si>
    <t>https://www.figma.com/design/m69lHYikNQaP9uHS0HOTS0/Q1-2024-Content-Articles?node-id=3380-422624&amp;t=pYNmmGOBJVcmM98o-1</t>
  </si>
  <si>
    <t>https://paven.io/content/article/5XB7BD2a0wB4sGb4oSOrlO</t>
  </si>
  <si>
    <t>INS_1.1</t>
  </si>
  <si>
    <t>Insurance: demystifying the basics</t>
  </si>
  <si>
    <t>topic-insurance, topic-savviness</t>
  </si>
  <si>
    <t>https://www.figma.com/design/m69lHYikNQaP9uHS0HOTS0/Q1-2024-Content-Articles?node-id=3380-450256&amp;t=pYNmmGOBJVcmM98o-1</t>
  </si>
  <si>
    <t>https://paven.io/content/article/1bdWT8RvNQbiT3EfBsrRAb</t>
  </si>
  <si>
    <t>IIY_1.2</t>
  </si>
  <si>
    <t>3 ways to invest in yourself today</t>
  </si>
  <si>
    <t>topic-skills, topic-self-care</t>
  </si>
  <si>
    <t>https://www.figma.com/design/m69lHYikNQaP9uHS0HOTS0/Q1-2024-Content-Articles?node-id=3378-183629&amp;t=pYNmmGOBJVcmM98o-1</t>
  </si>
  <si>
    <t>https://paven.io/content/article/2HXLo5ZGKg1qe8bS0S8rGY</t>
  </si>
  <si>
    <t>BAH_2.4</t>
  </si>
  <si>
    <t>Spotting the mortgage for you</t>
  </si>
  <si>
    <t>topic-mortgages, topic-owning-home, topic-first-home</t>
  </si>
  <si>
    <t>https://www.figma.com/design/m69lHYikNQaP9uHS0HOTS0/Q1-2024-Content-Articles?node-id=3378-215409&amp;t=pYNmmGOBJVcmM98o-1</t>
  </si>
  <si>
    <t>https://paven.io/content/article/6ax6mGZEAkzbPF8W8yxwtI</t>
  </si>
  <si>
    <t>INS_1.2</t>
  </si>
  <si>
    <t>Insurance: mastering your coverage</t>
  </si>
  <si>
    <t>https://www.figma.com/design/m69lHYikNQaP9uHS0HOTS0/Q1-2024-Content-Articles?node-id=3378-254406&amp;t=pYNmmGOBJVcmM98o-1</t>
  </si>
  <si>
    <t>https://paven.io/content/article/4atTA7AqiRbjNxT09LZzwz</t>
  </si>
  <si>
    <t>BAC_1.1</t>
  </si>
  <si>
    <t>Navigating the car market</t>
  </si>
  <si>
    <t>https://www.figma.com/design/m69lHYikNQaP9uHS0HOTS0/Q1-2024-Content-Articles?node-id=3378-289999&amp;t=pYNmmGOBJVcmM98o-1</t>
  </si>
  <si>
    <t>https://paven.io/content/article/1jCgND4BcVJdagrJK9uKW8</t>
  </si>
  <si>
    <t>IIY_1.3</t>
  </si>
  <si>
    <t>Make a change for your professional development</t>
  </si>
  <si>
    <t>https://www.figma.com/design/m69lHYikNQaP9uHS0HOTS0/Q1-2024-Content-Articles?node-id=3378-52231&amp;t=pYNmmGOBJVcmM98o-1</t>
  </si>
  <si>
    <t>https://paven.io/content/article/24EKun9qmexZ5bYEoQPiha</t>
  </si>
  <si>
    <t>BAH_2.5</t>
  </si>
  <si>
    <t>What do mortgage lenders look for?</t>
  </si>
  <si>
    <t>topic-lenders, topic-owning-home</t>
  </si>
  <si>
    <t>https://www.figma.com/design/m69lHYikNQaP9uHS0HOTS0/Q1-2024-Content-Articles?node-id=3378-122411&amp;t=pYNmmGOBJVcmM98o-1</t>
  </si>
  <si>
    <t>https://paven.io/content/article/7jo8Iuggs9cu3vFjhtVjnJ</t>
  </si>
  <si>
    <t>2024 Q2</t>
  </si>
  <si>
    <t>Paven Poll: investing advice</t>
  </si>
  <si>
    <t>topic-polls, topic-stock</t>
  </si>
  <si>
    <t>https://www.figma.com/design/Pb5fwUNVNDCjWaQ8QVAihm/Q2-2024-Content-Articles?node-id=1614-238197&amp;t=rz4v3A4dHAOgTO1E-1</t>
  </si>
  <si>
    <t>BEN_0425_6</t>
  </si>
  <si>
    <t>April: Ready for resilience?</t>
  </si>
  <si>
    <t>https://www.figma.com/design/Pb5fwUNVNDCjWaQ8QVAihm/Q2-2024-Content-Articles?node-id=1614-291911&amp;t=rz4v3A4dHAOgTO1E-1</t>
  </si>
  <si>
    <t>Tax credits on clean energy in 2023</t>
  </si>
  <si>
    <t>topic-taxes, topic-sustainability</t>
  </si>
  <si>
    <t>https://www.figma.com/design/Pb5fwUNVNDCjWaQ8QVAihm/Q2-2024-Content-Articles?node-id=1614-205971&amp;t=rz4v3A4dHAOgTO1E-1</t>
  </si>
  <si>
    <t>TAX_1.5</t>
  </si>
  <si>
    <t>Stay on top of your federal taxes (refreshed as What’s the scoop on tax brackets?)</t>
  </si>
  <si>
    <t>topic-taxes, topic-savviness</t>
  </si>
  <si>
    <t>profile-family-myself
profile-family-spouseprofile-family-havekids
profile-priority-taxplanning</t>
  </si>
  <si>
    <t>https://www.figma.com/design/Pb5fwUNVNDCjWaQ8QVAihm/Q2-2024-Content-Articles?node-id=1614-165930&amp;t=rz4v3A4dHAOgTO1E-1</t>
  </si>
  <si>
    <t>SMINV_2.10</t>
  </si>
  <si>
    <t>What’s the move in AI?</t>
  </si>
  <si>
    <t>topic-industries, topic-savviness</t>
  </si>
  <si>
    <t>profile-invest-beginner
profile-invest-intermediate
profile-invest-advanced</t>
  </si>
  <si>
    <t>https://paven.io/content/article/3jHoKvOolfJqWtewpEDxV</t>
  </si>
  <si>
    <t>EMF_2.2</t>
  </si>
  <si>
    <t>Spending too little, saving too much?</t>
  </si>
  <si>
    <t>topic-budget, topic-self-care</t>
  </si>
  <si>
    <t>profile-priority-budgeting</t>
  </si>
  <si>
    <t>https://paven.io/content/article/3VO3MiHsCUD5Ohyz42yD5K</t>
  </si>
  <si>
    <t>topic-savings-account, topic-polls</t>
  </si>
  <si>
    <t>Handling financial stress with Lyra</t>
  </si>
  <si>
    <t>topic-lyra, topic-benefit</t>
  </si>
  <si>
    <t>https://www.figma.com/design/Pb5fwUNVNDCjWaQ8QVAihm/Q2-2024-Content-Articles?node-id=1614-69791&amp;t=rz4v3A4dHAOgTO1E-1</t>
  </si>
  <si>
    <t>What’s the scoop on tax brackets?</t>
  </si>
  <si>
    <t>https://paven.io/content/article/2Eh4b8U1rjfHPY4N2MxEW6</t>
  </si>
  <si>
    <t>Repromotion: May: invest or hold cash? (Refresh as May: Is there value in cash?</t>
  </si>
  <si>
    <t>group-markets, group-monthly</t>
  </si>
  <si>
    <t>profile-invest-beginner
profile-invest-intermediate
profile-invest-advanced
profile-priority-investing</t>
  </si>
  <si>
    <t>https://www.figma.com/design/Pb5fwUNVNDCjWaQ8QVAihm/Q2-2024-Content-Articles?node-id=1601-123049&amp;t=rz4v3A4dHAOgTO1E-1</t>
  </si>
  <si>
    <t>Repromotion: May dates for Metamates</t>
  </si>
  <si>
    <t>topic-hsa, topic-rsus, topic-benefits</t>
  </si>
  <si>
    <t>https://www.figma.com/design/Pb5fwUNVNDCjWaQ8QVAihm/Q2-2024-Content-Articles?node-id=1601-91810&amp;t=rz4v3A4dHAOgTO1E-1</t>
  </si>
  <si>
    <t>Survey: FinLit Month</t>
  </si>
  <si>
    <t>topic-welcome</t>
  </si>
  <si>
    <t>HOME_2.4</t>
  </si>
  <si>
    <t>Personal finance: getting to know the basics refresh as Dive into the basics of personal finance</t>
  </si>
  <si>
    <t>topic-budget, topic-investing</t>
  </si>
  <si>
    <t>profile-invest-beginner
profile-invest-intermediate
profile-invest-advanced
profile-priority-investing
profile-priority-budgeting
profile-priority-debtmanagement</t>
  </si>
  <si>
    <t>https://www.figma.com/design/Pb5fwUNVNDCjWaQ8QVAihm/Q2-2024-Content-Articles?node-id=1614-113286&amp;t=rz4v3A4dHAOgTO1E-1</t>
  </si>
  <si>
    <t>https://paven.io/content/article/7berFEJi3LL00TXFsghZKZ</t>
  </si>
  <si>
    <t>DEB_2.3</t>
  </si>
  <si>
    <t>Learn the basics of credit</t>
  </si>
  <si>
    <t>topic-credit-score, topic-savviness</t>
  </si>
  <si>
    <t>profile-priority-budgeting
profile-priority-debtmanagement</t>
  </si>
  <si>
    <t>https://www.figma.com/design/Pb5fwUNVNDCjWaQ8QVAihm/Q2-2024-Content-Articles?node-id=1601-26983&amp;t=rz4v3A4dHAOgTO1E-1</t>
  </si>
  <si>
    <t>https://paven.io/content/article/2q9XfOENOwskR2qHKbXflf</t>
  </si>
  <si>
    <t>Repromotion: Debt: how do you make progress?</t>
  </si>
  <si>
    <t>https://www.figma.com/design/Pb5fwUNVNDCjWaQ8QVAihm/Q2-2024-Content-Articles?node-id=1614-8259&amp;t=rz4v3A4dHAOgTO1E-1</t>
  </si>
  <si>
    <t>Survey: Break down your benefits</t>
  </si>
  <si>
    <t>https://www.figma.com/design/Pb5fwUNVNDCjWaQ8QVAihm/Q2-2024-Content-Articles?node-id=1601-9522&amp;t=rz4v3A4dHAOgTO1E-1</t>
  </si>
  <si>
    <t>Repromotion: Stocks with staying power</t>
  </si>
  <si>
    <t>https://www.figma.com/design/Pb5fwUNVNDCjWaQ8QVAihm/Q2-2024-Content-Articles?node-id=1654-8152&amp;t=rz4v3A4dHAOgTO1E-1</t>
  </si>
  <si>
    <t>Repromotion: Goals: What are they? Why do they matter?</t>
  </si>
  <si>
    <t>https://www.figma.com/design/Pb5fwUNVNDCjWaQ8QVAihm/Q2-2024-Content-Articles?node-id=1741-3914&amp;t=rz4v3A4dHAOgTO1E-1</t>
  </si>
  <si>
    <t>Repromotion: Estate planning: getting started</t>
  </si>
  <si>
    <t>profile-family-myself
profile-family-spouse
profile-family-havekids
group-protecting-wealth
profile-will
profile-trust
profile-guardianship
profile-beneficiaries</t>
  </si>
  <si>
    <t>https://www.figma.com/design/Pb5fwUNVNDCjWaQ8QVAihm/Q2-2024-Content-Articles?node-id=1874-4414&amp;t=rz4v3A4dHAOgTO1E-1</t>
  </si>
  <si>
    <t>Repromotion: Estate planning for everyone</t>
  </si>
  <si>
    <t>https://www.figma.com/design/Pb5fwUNVNDCjWaQ8QVAihm/Q2-2024-Content-Articles?node-id=1981-6745&amp;t=rz4v3A4dHAOgTO1E-1</t>
  </si>
  <si>
    <t>Survey: Work Life Balance</t>
  </si>
  <si>
    <t>SFC_2.1</t>
  </si>
  <si>
    <t>Saving for your kid’s education</t>
  </si>
  <si>
    <t>group-family, topic-budget, topic-school</t>
  </si>
  <si>
    <t>profile-family-havekids 
profile-collegefund</t>
  </si>
  <si>
    <t>https://www.figma.com/design/Pb5fwUNVNDCjWaQ8QVAihm/Q2-2024-Content-Articles?node-id=1601-8224&amp;t=rz4v3A4dHAOgTO1E-1</t>
  </si>
  <si>
    <t>https://paven.io/content/article/3XqFf1ZUg5WbOKoEFksZ5Z</t>
  </si>
  <si>
    <t>IIY_1.4</t>
  </si>
  <si>
    <t>Investing in experiences: seeing the world</t>
  </si>
  <si>
    <t>topic-travel, topic-budget</t>
  </si>
  <si>
    <t>profile-family-myself
profile-priority-budgeting
profile-priority-debtmanagement</t>
  </si>
  <si>
    <t>https://paven.io/content/article/53LdBP0TB56I0LSghv9M9C</t>
  </si>
  <si>
    <t>DEB_2.4</t>
  </si>
  <si>
    <t>Play the system, level up your credit</t>
  </si>
  <si>
    <t>topic-debt, topic-credit-cards</t>
  </si>
  <si>
    <t>profile-priority-debtmanagement</t>
  </si>
  <si>
    <t>https://www.figma.com/design/Pb5fwUNVNDCjWaQ8QVAihm/Q2-2024-Content-Articles?node-id=2481-50257&amp;t=rz4v3A4dHAOgTO1E-1</t>
  </si>
  <si>
    <t>https://paven.io/content/article/ZPs1gUQP8UNLdfOcd63Xm</t>
  </si>
  <si>
    <t>JNY_1.1</t>
  </si>
  <si>
    <t>Journeys: Your personal guide</t>
  </si>
  <si>
    <t>goal-retirement, goal-emergency-fund, goal-buying-a-home</t>
  </si>
  <si>
    <t>topic-retirement, topic-owning-home</t>
  </si>
  <si>
    <t>https://www.figma.com/design/Pb5fwUNVNDCjWaQ8QVAihm/Q2-2024-Content-Articles?node-id=2481-55728&amp;t=rz4v3A4dHAOgTO1E-1</t>
  </si>
  <si>
    <t>https://paven.io/benefits/article/28YSED1qOo6rFxBXoYsX4q</t>
  </si>
  <si>
    <t>Travel smarter, go farther (Refreshed as Investing in Experiences, See the World</t>
  </si>
  <si>
    <t>https://www.figma.com/design/Pb5fwUNVNDCjWaQ8QVAihm/Q2-2024-Content-Articles?node-id=2094-5050&amp;t=rz4v3A4dHAOgTO1E-1</t>
  </si>
  <si>
    <t>Benefit updates: June (Refreshed as Travel Benefits with Meta)</t>
  </si>
  <si>
    <t>topic-travel, topic-budget, topic-benefits</t>
  </si>
  <si>
    <t>https://www.figma.com/design/Pb5fwUNVNDCjWaQ8QVAihm/Q2-2024-Content-Articles?node-id=2471-1088&amp;t=rz4v3A4dHAOgTO1E-1</t>
  </si>
  <si>
    <t>2024 Q3</t>
  </si>
  <si>
    <t>BEN24_1.9</t>
  </si>
  <si>
    <t>Breastfeeding with Milkstork &amp; Healthy Horizons</t>
  </si>
  <si>
    <t>topic-growing-your-family, topic-benefits</t>
  </si>
  <si>
    <t>https://www.figma.com/design/aSTWrOeNiAFlD09ABian5K/Q3-2024-Content-Articles?node-id=5001-20723&amp;t=zVi6fJuH8A3kyTdv-1</t>
  </si>
  <si>
    <t>https://paven.io/benefits/article/1TcJklYlU4DU9XD2ee8LZv</t>
  </si>
  <si>
    <t>BEN24_2.0</t>
  </si>
  <si>
    <t>Working with a chronic condition</t>
  </si>
  <si>
    <t>https://www.figma.com/design/aSTWrOeNiAFlD09ABian5K/Q3-2024-Content-Articles?node-id=5456-71362&amp;t=zVi6fJuH8A3kyTdv-1</t>
  </si>
  <si>
    <t>https://paven.io/benefits/article/3PjJe5Ndp2yNvvSp9oVkRj</t>
  </si>
  <si>
    <t>BEN24_2.1</t>
  </si>
  <si>
    <t>Meta's Dependent Care FSA</t>
  </si>
  <si>
    <t>https://paven.io/benefits/article/7yPWCMC3p3MdNsWNv0LhCr</t>
  </si>
  <si>
    <t>Survey: Higher Education (OLD)</t>
  </si>
  <si>
    <t>Survey: Higher Education</t>
  </si>
  <si>
    <t>SFC_3.1</t>
  </si>
  <si>
    <t>Navigating higher ed today</t>
  </si>
  <si>
    <t>topic-kids, group-family, topic-school</t>
  </si>
  <si>
    <t>https://www.figma.com/design/aSTWrOeNiAFlD09ABian5K/Q3-2024-Content-Articles?node-id=5001-20732&amp;t=zVi6fJuH8A3kyTdv-1</t>
  </si>
  <si>
    <t>https://paven.io/content/article/5sfGe7uhXm82Iuv7r3YOwf</t>
  </si>
  <si>
    <t>FL_1.1</t>
  </si>
  <si>
    <t>Dual income, no kids</t>
  </si>
  <si>
    <t>topic-combining-finances, topic-budget, topic-partner</t>
  </si>
  <si>
    <t>profile-family-myself
profile-family-spouse</t>
  </si>
  <si>
    <t>https://www.figma.com/design/aSTWrOeNiAFlD09ABian5K/Q3-2024-Content-Articles?node-id=5623-7593&amp;t=zVi6fJuH8A3kyTdv-1</t>
  </si>
  <si>
    <t>https://paven.io/content/article/7Djzyw8Hp4a9jAP1jqI84H</t>
  </si>
  <si>
    <t>poll_FinLifestyles_1</t>
  </si>
  <si>
    <t>Paven Poll: Financial Lifestyles</t>
  </si>
  <si>
    <t>topic-competing-goals</t>
  </si>
  <si>
    <t>Are you a DINK or a HENRY?</t>
  </si>
  <si>
    <t>topic-debt, topic-savings-account, topic-combining-finances</t>
  </si>
  <si>
    <t>https://www.figma.com/design/aSTWrOeNiAFlD09ABian5K/Q3-2024-Content-Articles?node-id=5001-20714&amp;t=zVi6fJuH8A3kyTdv-1</t>
  </si>
  <si>
    <t>FL_1.2</t>
  </si>
  <si>
    <t>High Earner, Not Rich Yet</t>
  </si>
  <si>
    <t>topic-debt, topic-savings-account</t>
  </si>
  <si>
    <t>profile-family-myself
profile-priority-budgeting</t>
  </si>
  <si>
    <t>https://www.figma.com/design/aSTWrOeNiAFlD09ABian5K/Q3-2024-Content-Articles?node-id=5820-1044&amp;t=zVi6fJuH8A3kyTdv-1</t>
  </si>
  <si>
    <t>https://paven.io/content/article/1iAG8ffGoj4vdRGfvKODiD</t>
  </si>
  <si>
    <t>BTS_1.1</t>
  </si>
  <si>
    <t>Getting ready for back-to-school</t>
  </si>
  <si>
    <t>https://www.figma.com/design/aSTWrOeNiAFlD09ABian5K/Q3-2024-Content-Articles?node-id=2094-5050&amp;t=zVi6fJuH8A3kyTdv-1</t>
  </si>
  <si>
    <t>https://paven.io/content/article/1kIlL7EFyi6CY63NFAOaRU</t>
  </si>
  <si>
    <t>Paven Poll: Open Enrollment Prep</t>
  </si>
  <si>
    <t>https://www.figma.com/design/aSTWrOeNiAFlD09ABian5K/Q3-2024-Content-Articles?node-id=6157-7964&amp;t=zVi6fJuH8A3kyTdv-1</t>
  </si>
  <si>
    <t>2024 Q4</t>
  </si>
  <si>
    <t>MD_1.1</t>
  </si>
  <si>
    <t>Dates for Metamates</t>
  </si>
  <si>
    <t>https://paven.io/content/article/2ZxsDodiGKqrirk8b0Ayl7</t>
  </si>
  <si>
    <t>Dependent Care FSA</t>
  </si>
  <si>
    <t>topic-benefits, topic-kids</t>
  </si>
  <si>
    <t>https://www.figma.com/design/aSTWrOeNiAFlD09ABian5K/Q3-2024-Content-Articles?node-id=6023-452&amp;t=zVi6fJuH8A3kyTdv-1</t>
  </si>
  <si>
    <t>PTO_1.1</t>
  </si>
  <si>
    <t>Maximizing your time off</t>
  </si>
  <si>
    <t>topic-leisure, topic-benefits</t>
  </si>
  <si>
    <t>https://www.figma.com/design/HKyVNfdIqnvNaKD4K8Iomr/Q4-2024-Content-Articles?node-id=0-1&amp;t=AqgdEqfLl4OMOSTi-1</t>
  </si>
  <si>
    <t>https://paven.io/content/article/3vbcTmQbjEpBqZJttpM8RL</t>
  </si>
  <si>
    <t>FSA_2.2</t>
  </si>
  <si>
    <t>FSA funds, use it or lose it</t>
  </si>
  <si>
    <t>topic-savings-account, topic-benefits</t>
  </si>
  <si>
    <t>https://www.figma.com/design/HKyVNfdIqnvNaKD4K8Iomr/Q4-2024-Content-Articles?node-id=7-3&amp;t=AqgdEqfLl4OMOSTi-1</t>
  </si>
  <si>
    <t>https://paven.io/benefits/article/6VnrQJvBoulmzQU6vJgfCH</t>
  </si>
  <si>
    <t>Paven Poll: Confronting Your Finances</t>
  </si>
  <si>
    <t>TFK_1.1</t>
  </si>
  <si>
    <t>Talking money with your kids</t>
  </si>
  <si>
    <t>topic-kids-education, group-family</t>
  </si>
  <si>
    <t>https://www.figma.com/design/HKyVNfdIqnvNaKD4K8Iomr/Q4-2024-Content-Articles?node-id=7-2&amp;t=AqgdEqfLl4OMOSTi-1</t>
  </si>
  <si>
    <t>https://paven.io/content/article/3HzSGEuGmSPQqRHVfR4IOW</t>
  </si>
  <si>
    <t>Paven Poll: Prepping for the holidays</t>
  </si>
  <si>
    <t>topic-budget, topic-mental-health</t>
  </si>
  <si>
    <t>LC_1.1</t>
  </si>
  <si>
    <t>Calling out lifestyle creep</t>
  </si>
  <si>
    <t>https://www.figma.com/design/HKyVNfdIqnvNaKD4K8Iomr/Q4-2024-Content-Articles?node-id=5734-916&amp;t=AqgdEqfLl4OMOSTi-1</t>
  </si>
  <si>
    <t>https://paven.io/content/article/6pxvtrIYdlTotW6sEgU8yY</t>
  </si>
  <si>
    <t>TFK_1.2</t>
  </si>
  <si>
    <t>Early money habits for kids</t>
  </si>
  <si>
    <t>topic-supporting-others, topic-kids-education, topic-savings-account</t>
  </si>
  <si>
    <t>https://www.figma.com/design/HKyVNfdIqnvNaKD4K8Iomr/Q4-2024-Content-Articles?node-id=5003-102233&amp;t=AqgdEqfLl4OMOSTi-1</t>
  </si>
  <si>
    <t>https://paven.io/content/article/6ERY7UAr8D3pR21SX280RX</t>
  </si>
  <si>
    <t>Paven Poll: Reflecting on 2024</t>
  </si>
  <si>
    <t>topic-competing-goals, topic-budget</t>
  </si>
  <si>
    <t>profile-priority-healthcost</t>
  </si>
  <si>
    <t>https://www.figma.com/design/HKyVNfdIqnvNaKD4K8Iomr/Q4-2024-Content-Articles?node-id=5025-1262&amp;t=cszJ8FtN0rJxAe1X-1</t>
  </si>
  <si>
    <t>https://www.figma.com/design/HKyVNfdIqnvNaKD4K8Iomr/Q4-2024-Content-Articles?node-id=1614-238197&amp;t=cszJ8FtN0rJxAe1X-1</t>
  </si>
  <si>
    <t>poll_Open Enrollment Prep</t>
  </si>
  <si>
    <t>Survey - Open Enrollment</t>
  </si>
  <si>
    <t>https://www.figma.com/design/HKyVNfdIqnvNaKD4K8Iomr/Q4-2024-Content-Articles?node-id=5116-9912&amp;t=cszJ8FtN0rJxAe1X-1</t>
  </si>
  <si>
    <t>https://paven.io/benefits/article/WA3DmlVQH6o5RaHucnYXc</t>
  </si>
  <si>
    <t>2025 Q1</t>
  </si>
  <si>
    <t>B.CW_1.0</t>
  </si>
  <si>
    <t>Unlock your child’s potential with Collegewise</t>
  </si>
  <si>
    <t>https://www.figma.com/design/UY5lho3pQ9DqMFgAyaZsmB/Q1-2025-Content-Articles?node-id=2-2301&amp;t=5scixHHFIkKQm9XJ-1</t>
  </si>
  <si>
    <t>https://paven.io/benefits/article/1L6cNuSBWbV4DYnL6QyF12</t>
  </si>
  <si>
    <t>HSBA_1.1</t>
  </si>
  <si>
    <t>Your health savings brokerage account</t>
  </si>
  <si>
    <t>topic-health, topic-benefits, topic-hsa</t>
  </si>
  <si>
    <t>https://www.figma.com/design/UY5lho3pQ9DqMFgAyaZsmB/Q1-2025-Content-Articles?node-id=137-1803&amp;t=5scixHHFIkKQm9XJ-1</t>
  </si>
  <si>
    <t>Paven Poll: Every Penny Counts</t>
  </si>
  <si>
    <t>Survey - Every penny counts</t>
  </si>
  <si>
    <t>https://www.figma.com/design/UY5lho3pQ9DqMFgAyaZsmB/Q1-2025-Content-Articles?node-id=307-844&amp;t=5scixHHFIkKQm9XJ-1</t>
  </si>
  <si>
    <t>BEN25_1.1</t>
  </si>
  <si>
    <t>Discounts on Meta smart glasses</t>
  </si>
  <si>
    <t>https://www.figma.com/design/UY5lho3pQ9DqMFgAyaZsmB/Q1-2025-Content-Articles?node-id=414-2700&amp;t=5scixHHFIkKQm9XJ-1</t>
  </si>
  <si>
    <t>https://paven.io/benefits/article/uIVmIlKiNeDGPPJZgv9Sk</t>
  </si>
  <si>
    <t>LAF_1.1</t>
  </si>
  <si>
    <t>Find and give support for LA wildfire victims</t>
  </si>
  <si>
    <t>https://www.figma.com/design/UY5lho3pQ9DqMFgAyaZsmB/Q1-2025-Content-Articles?node-id=465-2030&amp;t=5scixHHFIkKQm9XJ-1</t>
  </si>
  <si>
    <t>https://paven.io/benefits/article/7Mm3VtLoQS4lV5IMc6gPZ9</t>
  </si>
  <si>
    <t>BEN24_1.7 9</t>
  </si>
  <si>
    <t>Dealing with financial stress</t>
  </si>
  <si>
    <t>https://www.figma.com/design/UY5lho3pQ9DqMFgAyaZsmB/Q1-2025-Content-Articles?node-id=0-1&amp;t=5scixHHFIkKQm9XJ-1</t>
  </si>
  <si>
    <t>Poll_0325_1-5</t>
  </si>
  <si>
    <t>Survey - Invest in love – for financial &amp; overall wellness</t>
  </si>
  <si>
    <t>https://www.figma.com/design/UY5lho3pQ9DqMFgAyaZsmB/Q1-2025-Content-Articles?node-id=647-2859&amp;t=5scixHHFIkKQm9XJ-1</t>
  </si>
  <si>
    <t>FL_1.3</t>
  </si>
  <si>
    <t>Your budget, throughout your life</t>
  </si>
  <si>
    <t>https://www.figma.com/design/UY5lho3pQ9DqMFgAyaZsmB/Q1-2025-Content-Articles?node-id=923-9730&amp;t=5scixHHFIkKQm9XJ-1</t>
  </si>
  <si>
    <t>https://paven.io/content/article/6aYIsFk05vBlvKAeXdnldc</t>
  </si>
  <si>
    <t>BEN_FFTAX_1</t>
  </si>
  <si>
    <t>Benefit spotlight Financial Finesse</t>
  </si>
  <si>
    <t>topic-benefits, topic-taxes</t>
  </si>
  <si>
    <t>profile-priority-taxplanning</t>
  </si>
  <si>
    <t>https://www.figma.com/design/UY5lho3pQ9DqMFgAyaZsmB/Q1-2025-Content-Articles?node-id=1056-2425&amp;t=5scixHHFIkKQm9XJ-1</t>
  </si>
  <si>
    <t>Poll_0325_1-1</t>
  </si>
  <si>
    <t>Poll: Reframe your finances</t>
  </si>
  <si>
    <t>topic-goals, topic-investing</t>
  </si>
  <si>
    <t>https://www.figma.com/design/UY5lho3pQ9DqMFgAyaZsmB/Q1-2025-Content-Articles?node-id=1217-1500&amp;t=5scixHHFIkKQm9XJ-1</t>
  </si>
  <si>
    <t>https://paven.io/content/poll/3AcEHDE56jZ2zATUPwTjVH</t>
  </si>
  <si>
    <t>RET_0325_4</t>
  </si>
  <si>
    <t>Redefine your timeline and build resilience</t>
  </si>
  <si>
    <t>topic-resilience, topic-goals</t>
  </si>
  <si>
    <t>https://www.figma.com/design/UY5lho3pQ9DqMFgAyaZsmB/Q1-2025-Content-Articles?node-id=1406-1361&amp;t=dbLqSJfD56L2X1se-1</t>
  </si>
  <si>
    <t>https://paven.io/content/article/7bhoilJD9fK40xVU4ErjZa</t>
  </si>
  <si>
    <t>RET_0425_5</t>
  </si>
  <si>
    <t>topic-benefits, topic-investments</t>
  </si>
  <si>
    <t>https://www.figma.com/design/UY5lho3pQ9DqMFgAyaZsmB?node-id=1591-9488#1196687600</t>
  </si>
  <si>
    <t>Building resilience for Financial Literacy Month</t>
  </si>
  <si>
    <t>topic-benefits, topic-savviness, topic-goals</t>
  </si>
  <si>
    <t>profile-goal-progress-yearly
profile-goal-progress-quarterly
profile-goal-progress-monthly
profile-goal-progress-weekly
profile-goal-progress-daily</t>
  </si>
  <si>
    <t>2025 Q2</t>
  </si>
  <si>
    <t xml:space="preserve">HOME_0425_4 </t>
  </si>
  <si>
    <t>Personal finance: getting to know the basics</t>
  </si>
  <si>
    <t>https://www.figma.com/design/W6E6iz9oGIXW7Sso0rxbIs/Q2-2025-Content-Articles?node-id=2-2301&amp;t=XjeBpdKIVK084eQs-1</t>
  </si>
  <si>
    <t xml:space="preserve">POLL_0425_2 </t>
  </si>
  <si>
    <t>Poll: Do you have money dysmorphia?</t>
  </si>
  <si>
    <t>https://www.figma.com/design/W6E6iz9oGIXW7Sso0rxbIs/Q2-2025-Content-Articles?node-id=3181-1094&amp;t=XjeBpdKIVK084eQs-1</t>
  </si>
  <si>
    <t>FL_0425_4</t>
  </si>
  <si>
    <t xml:space="preserve"> How to make your finances sustainable</t>
  </si>
  <si>
    <t>https://www.figma.com/design/W6E6iz9oGIXW7Sso0rxbIs/Q2-2025-Content-Articles?node-id=3450-5085&amp;t=XjeBpdKIVK084eQs-1</t>
  </si>
  <si>
    <t>RES_0425_1</t>
  </si>
  <si>
    <t>Navigating a choppy economy</t>
  </si>
  <si>
    <t>https://www.figma.com/design/W6E6iz9oGIXW7Sso0rxbIs/Q2-2025-Content-Articles?node-id=3476-1892&amp;t=XjeBpdKIVK084eQs-1</t>
  </si>
  <si>
    <t>BEN24_1.2 Your wellness reimbursement in 2023</t>
  </si>
  <si>
    <t>https://www.figma.com/design/W6E6iz9oGIXW7Sso0rxbIs/Q2-2025-Content-Articles?node-id=3745-6305&amp;t=XjeBpdKIVK084eQs-1</t>
  </si>
  <si>
    <t>Stress-free spending: What’s your Money Dial?</t>
  </si>
  <si>
    <t>https://www.figma.com/design/W6E6iz9oGIXW7Sso0rxbIs/Q2-2025-Content-Articles?node-id=3871-9109&amp;t=XjeBpdKIVK084eQs-1</t>
  </si>
  <si>
    <t xml:space="preserve">BAH_0525_1 </t>
  </si>
  <si>
    <t>Home buying: Starting your journey</t>
  </si>
  <si>
    <t>https://www.figma.com/design/W6E6iz9oGIXW7Sso0rxbIs/Q2-2025-Content-Articles?node-id=3870-2975&amp;t=XjeBpdKIVK084eQs-1</t>
  </si>
  <si>
    <t xml:space="preserve">SMINV_0525_2  </t>
  </si>
  <si>
    <t>Values-based investing: Getting started</t>
  </si>
  <si>
    <t>https://www.figma.com/design/W6E6iz9oGIXW7Sso0rxbIs/Q2-2025-Content-Articles?node-id=4117-2102&amp;t=XjeBpdKIVK084eQs-1</t>
  </si>
  <si>
    <t>IIY_0525_5</t>
  </si>
  <si>
    <t>Conscious spending for connection: Making your money work for friendships</t>
  </si>
  <si>
    <t>https://www.figma.com/design/W6E6iz9oGIXW7Sso0rxbIs/Q2-2025-Content-Articles?node-id=4238-2215&amp;t=XjeBpdKIVK084eQs-1</t>
  </si>
  <si>
    <t>Poll_0625</t>
  </si>
  <si>
    <t>June Paven Poll: Poll_0625</t>
  </si>
  <si>
    <t>https://www.figma.com/design/W6E6iz9oGIXW7Sso0rxbIs/Q2-2025-Content-Articles?node-id=4363-5177&amp;t=XjeBpdKIVK084eQs-1</t>
  </si>
  <si>
    <t>IIY_0525_6</t>
  </si>
  <si>
    <t>IIY_0525_6 How to overcome money dysmorphia</t>
  </si>
  <si>
    <t>https://www.figma.com/design/W6E6iz9oGIXW7Sso0rxbIs/Q2-2025-Content-Articles?node-id=4527-445&amp;t=XjeBpdKIVK084eQs-1</t>
  </si>
  <si>
    <t>Article topic</t>
  </si>
  <si>
    <t>Group tag</t>
  </si>
  <si>
    <t>Topic tag</t>
  </si>
  <si>
    <t>Class tag</t>
  </si>
  <si>
    <t xml:space="preserve">i.e. 401k </t>
  </si>
  <si>
    <t>Current ID</t>
  </si>
  <si>
    <t>Article title</t>
  </si>
  <si>
    <r>
      <rPr>
        <b/>
        <sz val="10"/>
        <color theme="1"/>
        <rFont val="Arial"/>
      </rPr>
      <t xml:space="preserve">Goal (5)
</t>
    </r>
    <r>
      <rPr>
        <sz val="10"/>
        <color theme="1"/>
        <rFont val="Arial"/>
      </rPr>
      <t xml:space="preserve">
goal-retirement 
goal-emergency-fund
goal-debt-management
goal-kids-education
goal-buying-a-home
goal-buying-a-car</t>
    </r>
  </si>
  <si>
    <r>
      <rPr>
        <b/>
        <sz val="10"/>
        <color theme="1"/>
        <rFont val="Arial"/>
      </rPr>
      <t xml:space="preserve">Life Moment (5)
</t>
    </r>
    <r>
      <rPr>
        <sz val="10"/>
        <color theme="1"/>
        <rFont val="Arial"/>
      </rPr>
      <t xml:space="preserve">
lm-Inheritance
lm-purposeful-learning
lm-growing-your-family
lm-combining-finances
lm-relocation
lm-covid</t>
    </r>
  </si>
  <si>
    <r>
      <rPr>
        <b/>
        <sz val="10"/>
        <color theme="1"/>
        <rFont val="Arial"/>
      </rPr>
      <t xml:space="preserve">Life Stage (3)
</t>
    </r>
    <r>
      <rPr>
        <sz val="10"/>
        <color theme="1"/>
        <rFont val="Arial"/>
      </rPr>
      <t xml:space="preserve">
-ls-early
-ls-mid
-ls-late</t>
    </r>
  </si>
  <si>
    <t>Content topic (granular/specific)</t>
  </si>
  <si>
    <t>Secondary content topic (optional)</t>
  </si>
  <si>
    <t>Content group (overarching/adjacent)</t>
  </si>
  <si>
    <r>
      <rPr>
        <b/>
        <sz val="10"/>
        <color rgb="FF000000"/>
        <rFont val="Arial"/>
      </rPr>
      <t xml:space="preserve">Profile
</t>
    </r>
    <r>
      <rPr>
        <sz val="10"/>
        <color rgb="FF000000"/>
        <rFont val="Arial"/>
      </rPr>
      <t xml:space="preserve">profile-ownhome
profile-wanthome
profile-owncar
profile-wantcar
profile-spouse
profile-havekids
profile-wantkids
profile-agingparents
prorfile-havepets
</t>
    </r>
    <r>
      <rPr>
        <b/>
        <sz val="10"/>
        <color rgb="FF000000"/>
        <rFont val="Arial"/>
      </rPr>
      <t>+more</t>
    </r>
  </si>
  <si>
    <r>
      <rPr>
        <b/>
        <sz val="10"/>
        <color rgb="FF000000"/>
        <rFont val="Arial"/>
      </rPr>
      <t xml:space="preserve">Level
</t>
    </r>
    <r>
      <rPr>
        <sz val="10"/>
        <color rgb="FF000000"/>
        <rFont val="Arial"/>
      </rPr>
      <t>level-basic
level-intermediate
level-advanced</t>
    </r>
    <r>
      <rPr>
        <b/>
        <sz val="10"/>
        <color rgb="FF000000"/>
        <rFont val="Arial"/>
      </rPr>
      <t xml:space="preserve">
</t>
    </r>
  </si>
  <si>
    <r>
      <rPr>
        <b/>
        <sz val="10"/>
        <color theme="1"/>
        <rFont val="Arial"/>
      </rPr>
      <t xml:space="preserve">Class (3)
</t>
    </r>
    <r>
      <rPr>
        <sz val="10"/>
        <color theme="1"/>
        <rFont val="Arial"/>
      </rPr>
      <t xml:space="preserve">
class-low
class-mid
class-high</t>
    </r>
  </si>
  <si>
    <t>Relevant benefit for Suggestion</t>
  </si>
  <si>
    <t>Relevant action for Suggestion</t>
  </si>
  <si>
    <t>Next article in series for Suggestion</t>
  </si>
  <si>
    <t>New life moment / goal ideas</t>
  </si>
  <si>
    <t>Early Publications</t>
  </si>
  <si>
    <t xml:space="preserve">TT_1.4 </t>
  </si>
  <si>
    <t xml:space="preserve">Ways to use your pay raise </t>
  </si>
  <si>
    <t>household-single</t>
  </si>
  <si>
    <t>goal-wellbeing</t>
  </si>
  <si>
    <t xml:space="preserve">LM_COM_1.4 </t>
  </si>
  <si>
    <t>Travel or save for emergencies</t>
  </si>
  <si>
    <t>goal-travel-fund
goal-emergency-fund</t>
  </si>
  <si>
    <t>household-teens</t>
  </si>
  <si>
    <t>goal-paven</t>
  </si>
  <si>
    <t xml:space="preserve">LM_COM_1.5 </t>
  </si>
  <si>
    <t>goal-debt-management
goal-buying-a-home</t>
  </si>
  <si>
    <t xml:space="preserve">LM_RELO_1.1 </t>
  </si>
  <si>
    <t xml:space="preserve">LM_RELO_1.2 </t>
  </si>
  <si>
    <t xml:space="preserve">Should I buy a car? </t>
  </si>
  <si>
    <t>goal-car</t>
  </si>
  <si>
    <t xml:space="preserve">LM_RELO_1.3 </t>
  </si>
  <si>
    <t>goal-emergency-fund
goal-buying-a-home</t>
  </si>
  <si>
    <t>lm-growing-your-family
lm-relocation</t>
  </si>
  <si>
    <t xml:space="preserve">LM_RELO_1.5 </t>
  </si>
  <si>
    <t>goal-retirement
goal-buying-a-home</t>
  </si>
  <si>
    <t xml:space="preserve">EMF_1.1 </t>
  </si>
  <si>
    <t xml:space="preserve">Do I need an emergency fund? </t>
  </si>
  <si>
    <t xml:space="preserve">EMF_1.2 </t>
  </si>
  <si>
    <t xml:space="preserve">EMF_1.3 </t>
  </si>
  <si>
    <t>How to make the most of your FSA</t>
  </si>
  <si>
    <t xml:space="preserve">How to boost emergency funds </t>
  </si>
  <si>
    <t xml:space="preserve">SFC_1.1 </t>
  </si>
  <si>
    <t>goal-kids-ed</t>
  </si>
  <si>
    <t>SFC_1.2</t>
  </si>
  <si>
    <t>Kids’ education vs other goals</t>
  </si>
  <si>
    <t xml:space="preserve">SFC_1.3 </t>
  </si>
  <si>
    <t xml:space="preserve">Education account types </t>
  </si>
  <si>
    <t xml:space="preserve">The 529 plan, explained </t>
  </si>
  <si>
    <t xml:space="preserve">Using a Roth IRA to save </t>
  </si>
  <si>
    <t xml:space="preserve">DEB_1.1 </t>
  </si>
  <si>
    <t xml:space="preserve">Good debt vs bad debt </t>
  </si>
  <si>
    <t>goal-debt-management-management</t>
  </si>
  <si>
    <t xml:space="preserve">DEB_1.2 </t>
  </si>
  <si>
    <t xml:space="preserve">DEB_1.4 </t>
  </si>
  <si>
    <t>Refinance your student loans</t>
  </si>
  <si>
    <t xml:space="preserve">DEB_1.8 </t>
  </si>
  <si>
    <t xml:space="preserve">RET_1.1 </t>
  </si>
  <si>
    <t>topic-retirement-planning</t>
  </si>
  <si>
    <t xml:space="preserve">GYF_1.1 </t>
  </si>
  <si>
    <t>lm-growing-your-family
lm-combining-finances</t>
  </si>
  <si>
    <t>INH_1.4</t>
  </si>
  <si>
    <t>Seeking help with grief</t>
  </si>
  <si>
    <t>goal-travel</t>
  </si>
  <si>
    <t xml:space="preserve">What kind of traveler are you? </t>
  </si>
  <si>
    <t xml:space="preserve">Personal travel &amp; Meta benefits </t>
  </si>
  <si>
    <t xml:space="preserve">Why smart investing? </t>
  </si>
  <si>
    <t xml:space="preserve">Stocks and bonds: the basics </t>
  </si>
  <si>
    <t xml:space="preserve">SMINV_1.8 </t>
  </si>
  <si>
    <t xml:space="preserve">SMINV_1.15 </t>
  </si>
  <si>
    <t>Rising interest rates: Can you stay in the market?</t>
  </si>
  <si>
    <t>Rising interest rates: Three ways to rebalance your risk</t>
  </si>
  <si>
    <t xml:space="preserve">Three smart buying moves </t>
  </si>
  <si>
    <t>What to do with extra income from a side hustle?</t>
  </si>
  <si>
    <t>Q4 2022 Publications</t>
  </si>
  <si>
    <t>New 401(k) and IRA maxes for 2024</t>
  </si>
  <si>
    <t>Connect with a coach</t>
  </si>
  <si>
    <t>Feeling overwhelmed? Get support from Lyra</t>
  </si>
  <si>
    <t>Finding the margin of safety</t>
  </si>
  <si>
    <t>Q1 2023 Publications</t>
  </si>
  <si>
    <t>Bond market part 1: are bonds safe?</t>
  </si>
  <si>
    <t>Tax credits on clean energy in 2024</t>
  </si>
  <si>
    <t>goal-car
goal-buying-a-home</t>
  </si>
  <si>
    <t>Skip 529 taxes with Roth IRA transfers</t>
  </si>
  <si>
    <t>Q2 2023 Publications</t>
  </si>
  <si>
    <t>April: 4 steps to resilience</t>
  </si>
  <si>
    <t>Stocks: what’s the new playbook?</t>
  </si>
  <si>
    <t>Meta's estate planning benefit</t>
  </si>
  <si>
    <t>TT23_1.5</t>
  </si>
  <si>
    <t>BEN23_1.8</t>
  </si>
  <si>
    <t>TT23_1.6</t>
  </si>
  <si>
    <t>June: how to travel smart</t>
  </si>
  <si>
    <t xml:space="preserve">BEN23_1.10 </t>
  </si>
  <si>
    <t>What's the move in AI?</t>
  </si>
  <si>
    <t xml:space="preserve">Spending too little, saving too much? </t>
  </si>
  <si>
    <t>Q3 2023 Publications</t>
  </si>
  <si>
    <t>July: recharge with self-care</t>
  </si>
  <si>
    <t>Investors: ready for a fresh start? </t>
  </si>
  <si>
    <t xml:space="preserve">Sharing your money – it’s a life moment </t>
  </si>
  <si>
    <t>care-aging-parents</t>
  </si>
  <si>
    <t>Navigating debt, together</t>
  </si>
  <si>
    <t>BEN23_2.6</t>
  </si>
  <si>
    <t>Q4 2023 Publications</t>
  </si>
  <si>
    <t xml:space="preserve">What can you build with Paven? </t>
  </si>
  <si>
    <t>November: giving back</t>
  </si>
  <si>
    <t>goal-debt-management
goal-retirement</t>
  </si>
  <si>
    <t>Saving in the shadow of rising inflation</t>
  </si>
  <si>
    <t>Tackling debt during inflation</t>
  </si>
  <si>
    <t>Other</t>
  </si>
  <si>
    <t xml:space="preserve">Tax Refund_SIMULATOR </t>
  </si>
  <si>
    <t>Q1 2024 Publications</t>
  </si>
  <si>
    <t>Benefit updates for 2024</t>
  </si>
  <si>
    <t>Buying a home – handling upfront costs</t>
  </si>
  <si>
    <t>Financial finesse tax guidance</t>
  </si>
  <si>
    <t>level-basics</t>
  </si>
  <si>
    <t>401(k) news: unpacking the fine print</t>
  </si>
  <si>
    <t>3 ways to invest in yourself</t>
  </si>
  <si>
    <t xml:space="preserve">What do mortgage lenders look for? </t>
  </si>
  <si>
    <r>
      <rPr>
        <b/>
        <sz val="10"/>
        <color theme="1"/>
        <rFont val="Arial"/>
      </rPr>
      <t xml:space="preserve">Goal (5)
</t>
    </r>
    <r>
      <rPr>
        <sz val="10"/>
        <color theme="1"/>
        <rFont val="Arial"/>
      </rPr>
      <t xml:space="preserve">
goal-retirement 
goal-emergency-fund
goal-debt-management
goal-kids-education
goal-buying-a-home</t>
    </r>
  </si>
  <si>
    <t>Content subject (granular/specific)</t>
  </si>
  <si>
    <t>Content family (overarching/adjacent)</t>
  </si>
  <si>
    <t>401k limi updates 2024</t>
  </si>
  <si>
    <t>NA</t>
  </si>
  <si>
    <t>topic-retirement-accounts</t>
  </si>
  <si>
    <t>Schwab</t>
  </si>
  <si>
    <t>401k vehicle setup</t>
  </si>
  <si>
    <t>We may want to be more granular on most popular topics, but more general on a low engagement topics</t>
  </si>
  <si>
    <t>IRA basics</t>
  </si>
  <si>
    <t>topic-IRA</t>
  </si>
  <si>
    <t>529 basics</t>
  </si>
  <si>
    <t>lm-growing your family</t>
  </si>
  <si>
    <t>Bonds</t>
  </si>
  <si>
    <t>topics-bonds</t>
  </si>
  <si>
    <t>Buying a car</t>
  </si>
  <si>
    <t>Crypto</t>
  </si>
  <si>
    <t>Side hustle</t>
  </si>
  <si>
    <t>Family</t>
  </si>
  <si>
    <t>Kids ed</t>
  </si>
  <si>
    <t>Account types</t>
  </si>
  <si>
    <t>lm-budgeting</t>
  </si>
  <si>
    <t>ls-all</t>
  </si>
  <si>
    <t>topic-pay-raise</t>
  </si>
  <si>
    <t>topic-tradeoffs</t>
  </si>
  <si>
    <t>goal-debt
goal-buying-a-home</t>
  </si>
  <si>
    <t>topic-basics</t>
  </si>
  <si>
    <t>goal-debt</t>
  </si>
  <si>
    <t>topic-strategies</t>
  </si>
  <si>
    <t>lm-student-loans</t>
  </si>
  <si>
    <t xml:space="preserve">DEB_1.6 </t>
  </si>
  <si>
    <t>Feeling overwhelmed? Get support</t>
  </si>
  <si>
    <t>lm-investing</t>
  </si>
  <si>
    <t>topic-stocks-and-bonds</t>
  </si>
  <si>
    <t>topic-markets</t>
  </si>
  <si>
    <t>lm-side-hustle</t>
  </si>
  <si>
    <t>lm-saving</t>
  </si>
  <si>
    <t>topic-hsa
topic-fsa</t>
  </si>
  <si>
    <t>topic-401(k)
topic-ira</t>
  </si>
  <si>
    <t>topic-benefit-updates</t>
  </si>
  <si>
    <t>HOME 1.4</t>
  </si>
  <si>
    <t>lm-coaching</t>
  </si>
  <si>
    <t>topic-coaching</t>
  </si>
  <si>
    <t>TAX_1.1</t>
  </si>
  <si>
    <t>Connect with a tax advisor</t>
  </si>
  <si>
    <t>EOY_1.1</t>
  </si>
  <si>
    <t>Part 1: Investing trends for December</t>
  </si>
  <si>
    <t>EOY_1.2</t>
  </si>
  <si>
    <t>Part 2: Saving in the shadow of rising inflation</t>
  </si>
  <si>
    <t>EOY_1.3</t>
  </si>
  <si>
    <t>Part 3: Tackling debt during inflation</t>
  </si>
  <si>
    <t>EOY_1.4</t>
  </si>
  <si>
    <t>Part 4: Invest (now) for 2023?</t>
  </si>
  <si>
    <t>EOY_1.5</t>
  </si>
  <si>
    <t>Part 5: Finding the margin of safety</t>
  </si>
  <si>
    <t>TT23_1.1</t>
  </si>
  <si>
    <t>lm-staying-informed</t>
  </si>
  <si>
    <t>topic-timely</t>
  </si>
  <si>
    <t>BEN23_1.1</t>
  </si>
  <si>
    <t>Wellness reimbursement in 2024</t>
  </si>
  <si>
    <t>lm-staying-healthy</t>
  </si>
  <si>
    <t>topic-life@-choice</t>
  </si>
  <si>
    <t>BEN23_1.2</t>
  </si>
  <si>
    <t>topic-</t>
  </si>
  <si>
    <t>topic-meta-benefit</t>
  </si>
  <si>
    <t>401(k) news: friend or foe?</t>
  </si>
  <si>
    <t>TT23_1.2</t>
  </si>
  <si>
    <t>February: Four trends for the month ahead</t>
  </si>
  <si>
    <t>Tax advice: what to expect this year</t>
  </si>
  <si>
    <t>TT23_1.3</t>
  </si>
  <si>
    <t>March: looking for a new hope, or the right home</t>
  </si>
  <si>
    <t>BEN23_1.5</t>
  </si>
  <si>
    <t>TT23_1.4</t>
  </si>
  <si>
    <t>BEN23_1.6</t>
  </si>
  <si>
    <t>lm-</t>
  </si>
  <si>
    <t>topic-401(k)</t>
  </si>
  <si>
    <t>topic-benefit-strategies</t>
  </si>
  <si>
    <t>DEB23_1.1</t>
  </si>
  <si>
    <t>DEB23_1.2</t>
  </si>
  <si>
    <t>lm-setting-goals</t>
  </si>
  <si>
    <t>topic-loans</t>
  </si>
  <si>
    <t>topic-paven</t>
  </si>
  <si>
    <t>topic-tools</t>
  </si>
  <si>
    <t>topic-mindset</t>
  </si>
  <si>
    <t>Simulator</t>
  </si>
  <si>
    <t>Old videos</t>
  </si>
  <si>
    <t>TF_1.4 TF_1.8 SMINV_1.1 SMINV_1.4 SMINV_1.7 SMINV_1.8 SMINV_1.12 SMINV_1.13 SMINV_1.17 SMINV_1.18 SMINV_1.20 ES_1.4 SH_1.2 SH_1.4 HOME 1.4 CRY_1.1 LI_2.1 SMINV_2.1 BEN24_1.5 HSA_1.4 BAH_2.1 SMINV_2.6 SMINV_2.7 BEN23_1.10 SMINV_2.8 INH_2.1 GOAL_1.3 BEN23_2.6 GYF_2.3 Tax Refund_SIMULATOR BEN24_1.1 BEN24_1.2 FFTAX_1.1 TT24_1.3</t>
  </si>
  <si>
    <t>identifier</t>
  </si>
  <si>
    <t>contentType</t>
  </si>
  <si>
    <t>tags__001</t>
  </si>
  <si>
    <t>tags__002</t>
  </si>
  <si>
    <t>tags__003</t>
  </si>
  <si>
    <t>tags__004</t>
  </si>
  <si>
    <t>tags__005</t>
  </si>
  <si>
    <t>tags__006</t>
  </si>
  <si>
    <t>tags__007</t>
  </si>
  <si>
    <t>tags__008</t>
  </si>
  <si>
    <t>tags__009</t>
  </si>
  <si>
    <t>tags__010</t>
  </si>
  <si>
    <t>tags__011</t>
  </si>
  <si>
    <t>tags__012</t>
  </si>
  <si>
    <t>tags__013</t>
  </si>
  <si>
    <t>tags__014</t>
  </si>
  <si>
    <t>tags__015</t>
  </si>
  <si>
    <t>tags__016</t>
  </si>
  <si>
    <t>5ubss1n8Gur0R55hMiXIfS</t>
  </si>
  <si>
    <t>exploreArticleCard</t>
  </si>
  <si>
    <t>2023-08-22T21:46:44.689Z</t>
  </si>
  <si>
    <t>benefit-wellthy</t>
  </si>
  <si>
    <t/>
  </si>
  <si>
    <t>owseBAvFJG0YhuvrzfRpI</t>
  </si>
  <si>
    <t>2023-08-22T21:45:07.414Z</t>
  </si>
  <si>
    <t>2uVkUsniZpnSL93XUw7D3N</t>
  </si>
  <si>
    <t>2023-08-22T18:10:09.450Z</t>
  </si>
  <si>
    <t>goal-smart-investing</t>
  </si>
  <si>
    <t>1IqFt8WpM4uacZfsTcGUiz</t>
  </si>
  <si>
    <t>2023-08-11T22:26:55.696Z</t>
  </si>
  <si>
    <t xml:space="preserve">collection-timely-topics </t>
  </si>
  <si>
    <t>3KYnw2do1wxFB6Q1yqiXlb</t>
  </si>
  <si>
    <t>exploreBenefitCard</t>
  </si>
  <si>
    <t>2023-08-11T22:23:30.746Z</t>
  </si>
  <si>
    <t>1duNyvJJQXqpJzwPwiAgHa</t>
  </si>
  <si>
    <t xml:space="preserve">INH_2.1 </t>
  </si>
  <si>
    <t>2023-08-11T22:17:30.303Z</t>
  </si>
  <si>
    <t>2GsW4fbTdPK4dUzW0i2d7o</t>
  </si>
  <si>
    <t>2023-08-11T21:21:25.137Z</t>
  </si>
  <si>
    <t>collection-meta-benefits</t>
  </si>
  <si>
    <t>694r5jryKhoDyV0sQnFLQy</t>
  </si>
  <si>
    <t>EST_vid_1</t>
  </si>
  <si>
    <t>exploreVideoCard</t>
  </si>
  <si>
    <t>2023-08-11T20:13:04.871Z</t>
  </si>
  <si>
    <t>benefit-estate-planning</t>
  </si>
  <si>
    <t>6RCplWXPy3wJ3UMlPOBXr4</t>
  </si>
  <si>
    <t>simulatorContent</t>
  </si>
  <si>
    <t>2023-08-09T12:13:47.759Z</t>
  </si>
  <si>
    <t>topic-pre-tax-401(k)</t>
  </si>
  <si>
    <t>topic-roth-401(k)</t>
  </si>
  <si>
    <t>topic-after-tax-401(k)</t>
  </si>
  <si>
    <t>topic-account-types</t>
  </si>
  <si>
    <t>topic-401</t>
  </si>
  <si>
    <t>collection-401(k)-retirement</t>
  </si>
  <si>
    <t>collection-401(k)-withdrawals-retirement</t>
  </si>
  <si>
    <t>collection-retirement</t>
  </si>
  <si>
    <t>Meta life insurance: cover your loved ones</t>
  </si>
  <si>
    <t>KqhuSFoODJlrEVoBt3Eqa</t>
  </si>
  <si>
    <t xml:space="preserve">LI_2.1 </t>
  </si>
  <si>
    <t>2023-08-08T18:47:32.692Z</t>
  </si>
  <si>
    <t>Life Insurance- topic</t>
  </si>
  <si>
    <t>Life Insurance - collection</t>
  </si>
  <si>
    <t>5i9cosAfHxAXEfBxaIez5m</t>
  </si>
  <si>
    <t>2023-08-04T19:37:31.037Z</t>
  </si>
  <si>
    <t>topic-stock</t>
  </si>
  <si>
    <t xml:space="preserve">Investors: ready for a fresh start? </t>
  </si>
  <si>
    <t>1PwhRz7nlEZzy689dD2r4m</t>
  </si>
  <si>
    <t>2023-07-28T22:01:57.710Z</t>
  </si>
  <si>
    <t>UvrcaNa1cwMe969OptsKb</t>
  </si>
  <si>
    <t>2023-07-28T22:01:15.655Z</t>
  </si>
  <si>
    <t>topic-combining-finances</t>
  </si>
  <si>
    <t>Ways to combine your finances</t>
  </si>
  <si>
    <t>46hjcn1OzNf5GE3haVHqNg</t>
  </si>
  <si>
    <t>LM_COM_1.1</t>
  </si>
  <si>
    <t>2023-07-28T00:43:13.695Z</t>
  </si>
  <si>
    <t>story-combining-finances</t>
  </si>
  <si>
    <t>collection-goals-101</t>
  </si>
  <si>
    <t>collection-combining-finances</t>
  </si>
  <si>
    <t>fufOxWn3qSC6N8lCPEArb</t>
  </si>
  <si>
    <t>2023-07-25T22:33:55.940Z</t>
  </si>
  <si>
    <t>1t7PMBzjZvmyyMBNqIwe5O</t>
  </si>
  <si>
    <t>2023-07-25T22:31:50.972Z</t>
  </si>
  <si>
    <t>topic-growing-your-family</t>
  </si>
  <si>
    <t>6c21mg94YY9xqv3xNRCF6b</t>
  </si>
  <si>
    <t>2023-07-21T19:56:29.201Z</t>
  </si>
  <si>
    <t>Smart investing - collection</t>
  </si>
  <si>
    <t>27qsF992ZH4QiAcAhG2dOB</t>
  </si>
  <si>
    <t xml:space="preserve">SMINV_1.12 </t>
  </si>
  <si>
    <t>2023-07-21T19:46:50.038Z</t>
  </si>
  <si>
    <t>4AVBAIJEUPBkrXOgCyHhGC</t>
  </si>
  <si>
    <t>2023-07-21T19:45:56.099Z</t>
  </si>
  <si>
    <t>10hEZDS9HPFQI88Dy49DTh</t>
  </si>
  <si>
    <t>2023-07-21T19:45:37.766Z</t>
  </si>
  <si>
    <t>3q3tsXFp5W4eSMo4yFGXJh</t>
  </si>
  <si>
    <t xml:space="preserve">SMINV_1.8  </t>
  </si>
  <si>
    <t>2023-07-21T19:44:48.953Z</t>
  </si>
  <si>
    <t>7cSZtBYtkbyVT6P2o43ibs</t>
  </si>
  <si>
    <t>2023-07-21T19:39:34.515Z</t>
  </si>
  <si>
    <t>collection-vision-retirement</t>
  </si>
  <si>
    <t>collection-build-vision</t>
  </si>
  <si>
    <t>1uEkmd8hDB1fPrHMXux21T</t>
  </si>
  <si>
    <t>2023-07-21T19:39:06.623Z</t>
  </si>
  <si>
    <t>story-retirement</t>
  </si>
  <si>
    <t>7vvkK5XEvXpA8tIDWNQlnH</t>
  </si>
  <si>
    <t>2023-07-21T19:38:22.974Z</t>
  </si>
  <si>
    <t>FFeCJfv5l1vOMoK7jPcKg</t>
  </si>
  <si>
    <t>2023-07-21T19:35:48.966Z</t>
  </si>
  <si>
    <t>1vdq8TQD1jqGJJvX3Wn53o</t>
  </si>
  <si>
    <t>2023-07-21T19:35:14.048Z</t>
  </si>
  <si>
    <t>37K6qv3YXJWe5lc4geHKqv</t>
  </si>
  <si>
    <t>2023-07-21T19:34:11.410Z</t>
  </si>
  <si>
    <t>benefit-fidelity-401(k)</t>
  </si>
  <si>
    <t>7lFtpVjgylBO9lWx6xsLkf</t>
  </si>
  <si>
    <t>BEN23_1.3</t>
  </si>
  <si>
    <t>2023-07-21T19:09:03.389Z</t>
  </si>
  <si>
    <t>5xjza1fH94s5LckPzkl6VD</t>
  </si>
  <si>
    <t>2023-07-21T19:07:17.249Z</t>
  </si>
  <si>
    <t>topic-match</t>
  </si>
  <si>
    <t>2n6ebhc1JmSHRjq1hlqEAc</t>
  </si>
  <si>
    <t>2023-07-17T19:57:36.293Z</t>
  </si>
  <si>
    <t>topic-mental-health</t>
  </si>
  <si>
    <t>40VkV7JkiFDi95pLlBpt1A</t>
  </si>
  <si>
    <t>2023-07-17T19:53:32.572Z</t>
  </si>
  <si>
    <t>4EsmZO7BgpndMdnjSkEEzo</t>
  </si>
  <si>
    <t>2023-07-10T23:02:30.493Z</t>
  </si>
  <si>
    <t>benefit-lyra-mental-health</t>
  </si>
  <si>
    <t>benefit-people-portal</t>
  </si>
  <si>
    <t>6AgPLGxufTjPh3N8GCYbLb</t>
  </si>
  <si>
    <t>SMINV_2.9</t>
  </si>
  <si>
    <t>2023-07-10T19:59:21.018Z</t>
  </si>
  <si>
    <t>3VO3MiHsCUD5Ohyz42yD5K</t>
  </si>
  <si>
    <t>2023-07-10T19:57:50.894Z</t>
  </si>
  <si>
    <t>topic-savings-account</t>
  </si>
  <si>
    <t>3jHoKvOolfJqWtewpEDxV</t>
  </si>
  <si>
    <t>2023-07-10T19:55:56.000Z</t>
  </si>
  <si>
    <t>6LItN1K4USGOcLBAoJkV1K</t>
  </si>
  <si>
    <t>2023-07-10T19:54:13.723Z</t>
  </si>
  <si>
    <t>3fwrSLeQqao4pZHzCSYOGZ</t>
  </si>
  <si>
    <t>2023-07-10T15:11:26.765Z</t>
  </si>
  <si>
    <t>7gq8ye9mIQBOlSNZ4mGz8u</t>
  </si>
  <si>
    <t>2023-07-07T13:49:20.296Z</t>
  </si>
  <si>
    <t xml:space="preserve">Buying a car: what to know </t>
  </si>
  <si>
    <t>7oATLbHlAL221cMeVUAoy6</t>
  </si>
  <si>
    <t>2023-07-06T18:33:44.675Z</t>
  </si>
  <si>
    <t>collection-relocating</t>
  </si>
  <si>
    <t>5i5l5RZOK9b7TQyIdXLHMs</t>
  </si>
  <si>
    <t>2023-07-06T18:28:45.295Z</t>
  </si>
  <si>
    <t>Dark mode in Paven</t>
  </si>
  <si>
    <t>7LruOTbnyAbZDeOhEh6b5E</t>
  </si>
  <si>
    <t>video_MayCampaignTrailer</t>
  </si>
  <si>
    <t>2023-07-05T22:40:24.525Z</t>
  </si>
  <si>
    <t>1imCcMUQxjvLx1zvqYQL3k</t>
  </si>
  <si>
    <t>2023-07-05T13:37:41.215Z</t>
  </si>
  <si>
    <t>Life Insurance - story</t>
  </si>
  <si>
    <t>Budgeting for closing costs</t>
  </si>
  <si>
    <t>4ldWkP5iN82XyKPx70OIsL</t>
  </si>
  <si>
    <t>BAH_1.5</t>
  </si>
  <si>
    <t>2023-07-04T18:23:29.694Z</t>
  </si>
  <si>
    <t>topic-housing</t>
  </si>
  <si>
    <t>collection-buying-a-home</t>
  </si>
  <si>
    <t>1P13uxOOyCx9Fik6t52DK7</t>
  </si>
  <si>
    <t>2023-07-03T16:02:02.356Z</t>
  </si>
  <si>
    <t>topic-vesting</t>
  </si>
  <si>
    <t>topic-restricted</t>
  </si>
  <si>
    <t>topic-rsu</t>
  </si>
  <si>
    <t>topic-vest</t>
  </si>
  <si>
    <t>topic-schwab</t>
  </si>
  <si>
    <t>topic-charles</t>
  </si>
  <si>
    <t xml:space="preserve">Your RSUs: Taxes on restricted stock units </t>
  </si>
  <si>
    <t>38bNEAdm4WZn9jtUZP91nV</t>
  </si>
  <si>
    <t>2023-07-03T16:01:02.791Z</t>
  </si>
  <si>
    <t>7qXkRnZzobZjwtH2EMEerV</t>
  </si>
  <si>
    <t>2023-06-16T20:44:59.255Z</t>
  </si>
  <si>
    <t>topic-emergency-fund</t>
  </si>
  <si>
    <t>collection-emergency-fund</t>
  </si>
  <si>
    <t>5lKy8OxVNCgejG7EfH3fKD</t>
  </si>
  <si>
    <t>2023-06-16T20:37:30.726Z</t>
  </si>
  <si>
    <t>topic-automatic-transfers</t>
  </si>
  <si>
    <t>HXowITNK4984Sui2euL0h</t>
  </si>
  <si>
    <t xml:space="preserve">SMINV_2.6 </t>
  </si>
  <si>
    <t>2023-06-14T17:57:40.154Z</t>
  </si>
  <si>
    <t>3oGUJCzpqo1VJHViXAXikB</t>
  </si>
  <si>
    <t>2023-06-09T21:41:36.647Z</t>
  </si>
  <si>
    <t>1bnU0IlpXboAmaOQcjI9vp</t>
  </si>
  <si>
    <t>2023-06-09T03:38:43.786Z</t>
  </si>
  <si>
    <t>topic-buying-a-home</t>
  </si>
  <si>
    <t>7JR0r8UbRsSnOzjVrIFRco</t>
  </si>
  <si>
    <t xml:space="preserve">BAH_2.1 </t>
  </si>
  <si>
    <t>2023-06-07T19:46:25.838Z</t>
  </si>
  <si>
    <t>7v5rl31FZ0PsuMYNzrMbk</t>
  </si>
  <si>
    <t>2023-06-06T20:41:57.777Z</t>
  </si>
  <si>
    <t>rKBG0drgx3kcZ1Rw3RGTW</t>
  </si>
  <si>
    <t>2023-06-06T19:50:18.637Z</t>
  </si>
  <si>
    <t>69UF4T9T37ZJgjLcueyCJN</t>
  </si>
  <si>
    <t xml:space="preserve">SMINV_2.7 </t>
  </si>
  <si>
    <t>2023-05-26T18:59:45.375Z</t>
  </si>
  <si>
    <t>7MJHtQVMn3oHeuyZYZ7LrB</t>
  </si>
  <si>
    <t>2023-05-24T16:21:59.342Z</t>
  </si>
  <si>
    <t>topic-compounding</t>
  </si>
  <si>
    <t>topic-simulator-compounding</t>
  </si>
  <si>
    <t>simulator-retirement</t>
  </si>
  <si>
    <t>6JB7mIvY7CrCOMBNAI59E6</t>
  </si>
  <si>
    <t>2023-05-24T16:04:31.205Z</t>
  </si>
  <si>
    <t>topic-tax-consultant</t>
  </si>
  <si>
    <t xml:space="preserve">Tax advice: what to expect this year </t>
  </si>
  <si>
    <t>3BehwnZBBHKN2qxV9ZW8Wg</t>
  </si>
  <si>
    <t>2023-05-24T16:00:05.902Z</t>
  </si>
  <si>
    <t>New 401(k) rules to leave your worries behind</t>
  </si>
  <si>
    <t>MTBHCbxOVN1mhjCI4Gi9U</t>
  </si>
  <si>
    <t>BEN23_1.4</t>
  </si>
  <si>
    <t>2023-05-24T15:56:49.498Z</t>
  </si>
  <si>
    <t>benefit-financial-coach</t>
  </si>
  <si>
    <t>Wellness reimbursement in 2023</t>
  </si>
  <si>
    <t>34nlgdxtAqTq2Z8Z3WDxBh</t>
  </si>
  <si>
    <t xml:space="preserve">BEN23_1.1  </t>
  </si>
  <si>
    <t>2023-05-24T15:45:31.208Z</t>
  </si>
  <si>
    <t>7yvOMQbfERtvQcFITk8PkD</t>
  </si>
  <si>
    <t>2023-05-24T15:17:54.562Z</t>
  </si>
  <si>
    <t>benefit-misc</t>
  </si>
  <si>
    <t>benefit-bright-horizons</t>
  </si>
  <si>
    <t>3Q0zXwmtXrfHBEC8phxJZM</t>
  </si>
  <si>
    <t>2023-05-15T21:38:21.275Z</t>
  </si>
  <si>
    <t>4xTEkqpawqZXQGOQCJmjVl</t>
  </si>
  <si>
    <t>2023-05-11T20:18:20.214Z</t>
  </si>
  <si>
    <t>collection-fb-benefits</t>
  </si>
  <si>
    <t>collection-kids-education</t>
  </si>
  <si>
    <t>6T84VV9e9fDftdKikDRksz</t>
  </si>
  <si>
    <t>2023-05-11T20:14:38.735Z</t>
  </si>
  <si>
    <t>story-kids-education</t>
  </si>
  <si>
    <t>collection-advanced-strategies</t>
  </si>
  <si>
    <t>7rKjk2k5RiPMLiKRcoXrZ1</t>
  </si>
  <si>
    <t>2023-05-11T20:12:12.293Z</t>
  </si>
  <si>
    <t>topic-brokerage-account</t>
  </si>
  <si>
    <t>CZcZvvvFjtJcHiHM3DzN8</t>
  </si>
  <si>
    <t>2023-05-11T20:09:14.136Z</t>
  </si>
  <si>
    <t>collection-account-types</t>
  </si>
  <si>
    <t>5QCbiymJdeZtNQV75taLwk</t>
  </si>
  <si>
    <t>2023-05-11T20:06:39.295Z</t>
  </si>
  <si>
    <t>6Y95jlQhFRWdOUFnt4Egm</t>
  </si>
  <si>
    <t>2023-05-11T20:01:45.091Z</t>
  </si>
  <si>
    <t>1U9OyuMCKBJaDh4zxCkuiA</t>
  </si>
  <si>
    <t>2023-05-11T19:58:22.386Z</t>
  </si>
  <si>
    <t>btv3P3YdkxNf0zqcwEAH4</t>
  </si>
  <si>
    <t>2023-05-11T18:55:55.683Z</t>
  </si>
  <si>
    <t>story-debt-management</t>
  </si>
  <si>
    <t>collection-managing-debt</t>
  </si>
  <si>
    <t>collection-debt</t>
  </si>
  <si>
    <t>1NZMCPBnYrfE3v0M9fSXt4</t>
  </si>
  <si>
    <t>2023-05-11T18:35:40.137Z</t>
  </si>
  <si>
    <t xml:space="preserve">collection-credit-card-debt </t>
  </si>
  <si>
    <t>3iNseJtkBv6m5HNQV8QjDC</t>
  </si>
  <si>
    <t>2023-05-11T18:30:49.984Z</t>
  </si>
  <si>
    <t>topic-refinancing</t>
  </si>
  <si>
    <t>benefit-sofi-earnest</t>
  </si>
  <si>
    <t>31poVSYMQMCbeM2FQofIRi</t>
  </si>
  <si>
    <t>2023-05-11T18:21:41.161Z</t>
  </si>
  <si>
    <t>5hayL3vE1ypoDE8ELKcbtJ</t>
  </si>
  <si>
    <t>2023-05-11T18:18:35.983Z</t>
  </si>
  <si>
    <t>6Eee9pQ3rSkCdLJnUBahVT</t>
  </si>
  <si>
    <t>2023-05-11T18:14:56.848Z</t>
  </si>
  <si>
    <t>collection-student-loans</t>
  </si>
  <si>
    <t>Meta's 401(k) match in 2023</t>
  </si>
  <si>
    <t>4m9ObHleGYAHetpJwNzLRF</t>
  </si>
  <si>
    <t>Company_Match_META 2023</t>
  </si>
  <si>
    <t>2023-05-11T17:31:02.092Z</t>
  </si>
  <si>
    <t>topic-simulator-company-match</t>
  </si>
  <si>
    <t>lwALm8GoRRB2UNy66fjhy</t>
  </si>
  <si>
    <t>2023-05-11T16:35:53.515Z</t>
  </si>
  <si>
    <t>3ZweQAOsrsqgm28SCZF09Q</t>
  </si>
  <si>
    <t>2023-05-10T17:59:13.066Z</t>
  </si>
  <si>
    <t>topic-travel-fund</t>
  </si>
  <si>
    <t>goal-saving-for-travel</t>
  </si>
  <si>
    <t>collection-travel-fund</t>
  </si>
  <si>
    <t>2ActWmf1Hdnh80tgVgUiJ3</t>
  </si>
  <si>
    <t>2023-05-10T17:52:51.149Z</t>
  </si>
  <si>
    <t>3XIA1q18lV1NZXHVhmUVfV</t>
  </si>
  <si>
    <t>2023-05-10T16:37:05.317Z</t>
  </si>
  <si>
    <t>2YEbx95wNuqCh5IS2Z6Mi9</t>
  </si>
  <si>
    <t>2023-05-10T16:23:05.880Z</t>
  </si>
  <si>
    <t>7MiY8sNHiCZuc076FEazOe</t>
  </si>
  <si>
    <t>2023-05-10T14:56:33.446Z</t>
  </si>
  <si>
    <t>collection-balacing-goals</t>
  </si>
  <si>
    <t>ayHeah7fCUQWdWf5sONVQ</t>
  </si>
  <si>
    <t xml:space="preserve">HSA_1.4 </t>
  </si>
  <si>
    <t>2023-05-09T19:05:58.858Z</t>
  </si>
  <si>
    <t>7rHdxtIOKl9vahwgShViyP</t>
  </si>
  <si>
    <t>2023-05-08T01:15:16.951Z</t>
  </si>
  <si>
    <t>tqFTtOIQPrXOcvksLcj3B</t>
  </si>
  <si>
    <t>2023-05-05T19:59:18.128Z</t>
  </si>
  <si>
    <t>All about hidden mortgage fees</t>
  </si>
  <si>
    <t>3ItjYdwrHmUCGRlJUbQLLP</t>
  </si>
  <si>
    <t>BAH_1.12</t>
  </si>
  <si>
    <t>2023-05-05T19:52:35.510Z</t>
  </si>
  <si>
    <t>topic-mortgage</t>
  </si>
  <si>
    <t>Choosing your loan</t>
  </si>
  <si>
    <t>6XTp2t7IOtrIdmBKZnGGRL</t>
  </si>
  <si>
    <t>BAH_1.11</t>
  </si>
  <si>
    <t>2023-05-05T19:49:29.096Z</t>
  </si>
  <si>
    <t>Kid costs vs debt</t>
  </si>
  <si>
    <t>4VSAjivU2szW3SyExywFlH</t>
  </si>
  <si>
    <t>GYF_1.8</t>
  </si>
  <si>
    <t>2023-05-05T19:40:16.958Z</t>
  </si>
  <si>
    <t>Baby costs vs retirement?</t>
  </si>
  <si>
    <t>1JjEettM33ku180YSbbqIx</t>
  </si>
  <si>
    <t>GYF_1.7</t>
  </si>
  <si>
    <t>2023-05-05T19:37:36.381Z</t>
  </si>
  <si>
    <t>collection-growing-your-family</t>
  </si>
  <si>
    <t>Egg freezing &amp; IVF costs</t>
  </si>
  <si>
    <t>7pegEm7RLBnHDZTUcffUyT</t>
  </si>
  <si>
    <t>GYF_1.5</t>
  </si>
  <si>
    <t>2023-05-05T19:33:16.505Z</t>
  </si>
  <si>
    <t>benefit-family-care-support</t>
  </si>
  <si>
    <t>benefit-family-assistance</t>
  </si>
  <si>
    <t>Adoption costs</t>
  </si>
  <si>
    <t>27HwQxOelFmNU9Z9PlIi9t</t>
  </si>
  <si>
    <t>GYF_1.3</t>
  </si>
  <si>
    <t>2023-05-05T19:28:48.841Z</t>
  </si>
  <si>
    <t>7zTpUZJ7Ct0NdhwEfpjrcW</t>
  </si>
  <si>
    <t>2023-05-05T19:16:59.199Z</t>
  </si>
  <si>
    <t>Meta &amp; baby benefits</t>
  </si>
  <si>
    <t>4FHfNBt0AtjLx2IRkaJk0G</t>
  </si>
  <si>
    <t>GYF_1.12</t>
  </si>
  <si>
    <t>2023-05-05T19:12:20.071Z</t>
  </si>
  <si>
    <t>4Fi7sXj4Ct2JLJGacTZCvY</t>
  </si>
  <si>
    <t>2023-05-05T18:52:32.464Z</t>
  </si>
  <si>
    <t>3hojfRCz5EwIG4gmFoyjf7</t>
  </si>
  <si>
    <t>2023-05-05T18:44:28.703Z</t>
  </si>
  <si>
    <t xml:space="preserve">Defining your budget </t>
  </si>
  <si>
    <t>5m7zbYKNpNemoOdm3ZPkD</t>
  </si>
  <si>
    <t>HOME_1.1</t>
  </si>
  <si>
    <t>2023-05-05T18:28:35.128Z</t>
  </si>
  <si>
    <t>collection-get-started</t>
  </si>
  <si>
    <t>Your path to financial well-being</t>
  </si>
  <si>
    <t>45Ha7B6FGI6PtYJYOgNszp</t>
  </si>
  <si>
    <t>HOME_0.0</t>
  </si>
  <si>
    <t>2023-05-05T18:07:20.813Z</t>
  </si>
  <si>
    <t>Look at your Life Path</t>
  </si>
  <si>
    <t>2T75y0i1GYL1bNPtNd4vm</t>
  </si>
  <si>
    <t>HOME_1.2</t>
  </si>
  <si>
    <t>2023-05-05T18:01:13.941Z</t>
  </si>
  <si>
    <t>Learn about life moments</t>
  </si>
  <si>
    <t>7hSCdXiTHVGNWf5enWm5mG</t>
  </si>
  <si>
    <t>HOME_1.3</t>
  </si>
  <si>
    <t>2023-05-05T17:58:56.100Z</t>
  </si>
  <si>
    <t>Discussing debt with your partner</t>
  </si>
  <si>
    <t>79vPP4COjyo01YVYK0CMHl</t>
  </si>
  <si>
    <t>LM_COM_1.3</t>
  </si>
  <si>
    <t>2023-05-05T17:52:34.202Z</t>
  </si>
  <si>
    <t>4EdrGH95P0rcBrdli5jKXB</t>
  </si>
  <si>
    <t>2023-05-05T17:47:20.506Z</t>
  </si>
  <si>
    <t>1yTRmV6XUnKbF5FnFtGkG5</t>
  </si>
  <si>
    <t>2023-05-05T17:25:09.774Z</t>
  </si>
  <si>
    <t>Enhancing skills - topic</t>
  </si>
  <si>
    <t>Enhancing skills - collection</t>
  </si>
  <si>
    <t>Enhancing skills - story</t>
  </si>
  <si>
    <t>52rmUS8u4AdY94focFUpI9</t>
  </si>
  <si>
    <t>2023-05-05T17:19:57.146Z</t>
  </si>
  <si>
    <t>3rR1a97Fvy09ERBVsS2Thw</t>
  </si>
  <si>
    <t xml:space="preserve">SH_1.2 </t>
  </si>
  <si>
    <t>2023-05-05T16:26:31.522Z</t>
  </si>
  <si>
    <t>topic-starting-side-hustle</t>
  </si>
  <si>
    <t>collection-side-hustle</t>
  </si>
  <si>
    <t>6Qie4jKs1GkUWEqxd8Gtg2</t>
  </si>
  <si>
    <t>2023-05-05T16:24:52.034Z</t>
  </si>
  <si>
    <t>3w85EV7SQ3iBrfn4QyhizL</t>
  </si>
  <si>
    <t xml:space="preserve">SH_1.4 </t>
  </si>
  <si>
    <t>2023-05-05T16:22:27.144Z</t>
  </si>
  <si>
    <t>16ulTh3hdn7KndU6NnVaYJ</t>
  </si>
  <si>
    <t>2023-05-05T16:19:30.890Z</t>
  </si>
  <si>
    <t>6yUQLPT9Pjn1epVxxcTk4O</t>
  </si>
  <si>
    <t xml:space="preserve">SMINV_1.13 </t>
  </si>
  <si>
    <t>2023-05-05T16:14:48.306Z</t>
  </si>
  <si>
    <t xml:space="preserve">How to balance your assets </t>
  </si>
  <si>
    <t>3c09I1UZpgmQhHwpT0JSsr</t>
  </si>
  <si>
    <t>2023-05-05T16:09:20.066Z</t>
  </si>
  <si>
    <t>4NN8LJ6HdLbD3FhR6xH9hd</t>
  </si>
  <si>
    <t xml:space="preserve">SMINV_1.18 </t>
  </si>
  <si>
    <t>2023-05-05T15:53:18.824Z</t>
  </si>
  <si>
    <t>ZeG6EWxMCaO0YRYYfmnWq</t>
  </si>
  <si>
    <t>2023-05-05T15:50:39.248Z</t>
  </si>
  <si>
    <t>OlaJJkToPF2JodIaSd5OX</t>
  </si>
  <si>
    <t xml:space="preserve">SMINV_1.20 </t>
  </si>
  <si>
    <t>2023-05-05T15:47:14.322Z</t>
  </si>
  <si>
    <t>6ZgnRVrA2p72oVTFaNXnxc</t>
  </si>
  <si>
    <t>2023-05-05T15:38:56.582Z</t>
  </si>
  <si>
    <t>topic-optum</t>
  </si>
  <si>
    <t>78VlFut1ek7HEDcnMPxCFW</t>
  </si>
  <si>
    <t>2023-05-05T15:29:18.695Z</t>
  </si>
  <si>
    <t>4TXUb8E5YSXz5shgWmWpl</t>
  </si>
  <si>
    <t>EOY22_1.1</t>
  </si>
  <si>
    <t>2023-05-05T15:25:38.424Z</t>
  </si>
  <si>
    <t>Part 3: Tackling debt despite inflation</t>
  </si>
  <si>
    <t>3PDS3KiXZd3iH4L81CGmAE</t>
  </si>
  <si>
    <t>EOY22_1.3</t>
  </si>
  <si>
    <t>2023-05-05T15:13:56.400Z</t>
  </si>
  <si>
    <t>4bE3qo1XwVXkKKXwtyrWh2</t>
  </si>
  <si>
    <t xml:space="preserve">BEN23_1.2 </t>
  </si>
  <si>
    <t>2023-05-05T14:55:19.151Z</t>
  </si>
  <si>
    <t>7sGuAv9jvHEHcyChyPAr66</t>
  </si>
  <si>
    <t>2023-05-04T20:47:42.209Z</t>
  </si>
  <si>
    <t>topic-withdrawals</t>
  </si>
  <si>
    <t>50oWn84kkJSaZggoQnXRnf</t>
  </si>
  <si>
    <t>2023-05-04T20:42:40.033Z</t>
  </si>
  <si>
    <t>Stocks: what's the new playbook?</t>
  </si>
  <si>
    <t>3dlXPKKmTKQueFwvGPm5bU</t>
  </si>
  <si>
    <t>2023-05-02T22:53:51.644Z</t>
  </si>
  <si>
    <t>18eeWEl9E5yU3nSTmnirKy</t>
  </si>
  <si>
    <t>2023-04-28T22:52:01.939Z</t>
  </si>
  <si>
    <t>K8s9Xu6ZPHZPn2hwy1J2m</t>
  </si>
  <si>
    <t>2023-04-28T22:51:26.974Z</t>
  </si>
  <si>
    <t>3wVQBD9WjA6XENtpJCeDcH</t>
  </si>
  <si>
    <t>2023-04-28T22:44:51.095Z</t>
  </si>
  <si>
    <t>4fidwgcCBLhNbpfnNCmxOg</t>
  </si>
  <si>
    <t>2023-04-28T22:42:33.531Z</t>
  </si>
  <si>
    <t>7CyAK9Stc3Fne5WRF607Nh</t>
  </si>
  <si>
    <t>2023-04-28T22:42:08.913Z</t>
  </si>
  <si>
    <t>3LQ1XLLFVkN5IWkhXwvfiq</t>
  </si>
  <si>
    <t xml:space="preserve">SMINV_2.1 </t>
  </si>
  <si>
    <t>2023-04-28T22:41:42.853Z</t>
  </si>
  <si>
    <t>2k6Eyec0Fo5VaeSoRObjND</t>
  </si>
  <si>
    <t>2023-04-28T22:33:22.289Z</t>
  </si>
  <si>
    <t>Pregnancy costs</t>
  </si>
  <si>
    <t>2zcPdroT62S0UAPGCpuKJp</t>
  </si>
  <si>
    <t>GYF_1.2</t>
  </si>
  <si>
    <t>2023-04-27T03:22:42.864Z</t>
  </si>
  <si>
    <t>benefit-babycash</t>
  </si>
  <si>
    <t>5wxMC862ZgudsL0ci1yDQV</t>
  </si>
  <si>
    <t>2023-04-27T02:15:24.381Z</t>
  </si>
  <si>
    <t>74omo1S558IxKBOvxa3FOF</t>
  </si>
  <si>
    <t>2023-04-27T02:13:58.278Z</t>
  </si>
  <si>
    <t>6A6PR0ME903Lb3OPehOwwW</t>
  </si>
  <si>
    <t>2023-04-27T02:04:03.123Z</t>
  </si>
  <si>
    <t>5ec1eOLS5EBKWvZpMuyQmu</t>
  </si>
  <si>
    <t xml:space="preserve">TF_1.8 </t>
  </si>
  <si>
    <t>2023-04-27T02:03:25.530Z</t>
  </si>
  <si>
    <t>1PVeIS7NGs54PPOaefT47D</t>
  </si>
  <si>
    <t>2023-04-27T02:02:56.308Z</t>
  </si>
  <si>
    <t>1DmCiLW9zxoFOpqpA2J2Wd</t>
  </si>
  <si>
    <t>2023-04-27T02:02:00.694Z</t>
  </si>
  <si>
    <t>h1TiRXpgSLIIVAiNuVqjF</t>
  </si>
  <si>
    <t xml:space="preserve">TF_1.4 </t>
  </si>
  <si>
    <t>2023-04-27T02:01:16.771Z</t>
  </si>
  <si>
    <t>7jBOX3g5w5ONNw06nvapin</t>
  </si>
  <si>
    <t>2023-04-27T02:00:48.325Z</t>
  </si>
  <si>
    <t>Ways to grow your family</t>
  </si>
  <si>
    <t>6AO4Fo8wZRHMMcK9gewgPO</t>
  </si>
  <si>
    <t>GYF_1.11</t>
  </si>
  <si>
    <t>2023-04-27T01:55:07.028Z</t>
  </si>
  <si>
    <t>3k3qX1JmdxFxn6z0thDDgf</t>
  </si>
  <si>
    <t>GYF_1.6</t>
  </si>
  <si>
    <t>2023-04-27T01:51:51.127Z</t>
  </si>
  <si>
    <t>Surrogacy costs</t>
  </si>
  <si>
    <t>3S2RK9XTFbS1YvpKlRFJhu</t>
  </si>
  <si>
    <t>GYF_1.4</t>
  </si>
  <si>
    <t>2023-04-27T01:50:31.075Z</t>
  </si>
  <si>
    <t>benefit-fsa</t>
  </si>
  <si>
    <t>7xetvRhKmHMTYoRmZfgTa9</t>
  </si>
  <si>
    <t>2023-04-27T01:47:57.248Z</t>
  </si>
  <si>
    <t>Mortgage terms and interest rate types</t>
  </si>
  <si>
    <t>1qQzFbWtHPs6H7XRBvD7Yd</t>
  </si>
  <si>
    <t>BAH_1.15</t>
  </si>
  <si>
    <t>2023-04-27T01:43:58.507Z</t>
  </si>
  <si>
    <t>4vG7iuIiWd1VG5n01X2afX</t>
  </si>
  <si>
    <t>2023-04-27T01:41:05.110Z</t>
  </si>
  <si>
    <t>Take advantage of your FSA</t>
  </si>
  <si>
    <t>50m3KhtnF3LHOlU21Y9ovy</t>
  </si>
  <si>
    <t>EMF_1.4</t>
  </si>
  <si>
    <t>2023-04-27T01:36:50.926Z</t>
  </si>
  <si>
    <t>10BCj5GYLPT2pnrmRa8G01</t>
  </si>
  <si>
    <t>2023-04-27T01:36:16.420Z</t>
  </si>
  <si>
    <t>story-emergency-fund</t>
  </si>
  <si>
    <t>collection-quick-wins</t>
  </si>
  <si>
    <t xml:space="preserve">Save for retirement or send money home? </t>
  </si>
  <si>
    <t>6BSnt3S9Zwu74QHDX1PhsS</t>
  </si>
  <si>
    <t>2023-04-27T01:35:05.910Z</t>
  </si>
  <si>
    <t>4EDqrnZqjMVLUmpzRwSjk2</t>
  </si>
  <si>
    <t>2023-04-27T01:32:23.429Z</t>
  </si>
  <si>
    <t>story-relocation</t>
  </si>
  <si>
    <t>Home loan bargaining chips</t>
  </si>
  <si>
    <t>5LbVTteamYSUwipCks79ik</t>
  </si>
  <si>
    <t>BAH_1.6</t>
  </si>
  <si>
    <t>2023-04-26T17:29:12.171Z</t>
  </si>
  <si>
    <t>Why lenders care about debt</t>
  </si>
  <si>
    <t>65vizjSCadthiTNU9kCet5</t>
  </si>
  <si>
    <t xml:space="preserve">BAH_1.8 </t>
  </si>
  <si>
    <t>2023-04-26T17:27:31.146Z</t>
  </si>
  <si>
    <t>Why lenders care about credit score</t>
  </si>
  <si>
    <t>5ptdfgSrz5OaWKtpE4B8l0</t>
  </si>
  <si>
    <t>BAH_1.9</t>
  </si>
  <si>
    <t>2023-04-26T17:22:37.704Z</t>
  </si>
  <si>
    <t>How to get your best deal on a mortgage</t>
  </si>
  <si>
    <t>3OBCfmvgLXl9UCzHjin40h</t>
  </si>
  <si>
    <t xml:space="preserve">BAH_1.10 </t>
  </si>
  <si>
    <t>2023-04-26T17:21:04.752Z</t>
  </si>
  <si>
    <t>6gv070NnQa5J7NzYJ3gULg</t>
  </si>
  <si>
    <t>2023-04-26T17:17:02.448Z</t>
  </si>
  <si>
    <t>topic-cryptocurrency</t>
  </si>
  <si>
    <t>5xcJNCiEQbb4PJHJ6glj3c</t>
  </si>
  <si>
    <t>2023-04-26T17:12:29.590Z</t>
  </si>
  <si>
    <t>Part 2: Saving in the shadow of higher inflation</t>
  </si>
  <si>
    <t>5mfqS9Vfc864cqZOaxR0tM</t>
  </si>
  <si>
    <t>2023-04-26T17:07:57.690Z</t>
  </si>
  <si>
    <t>Mortgage types</t>
  </si>
  <si>
    <t>EZWwpiikTTnnrdDChoyBM</t>
  </si>
  <si>
    <t>BAH 1.14</t>
  </si>
  <si>
    <t>2023-04-26T17:06:29.016Z</t>
  </si>
  <si>
    <t>7uhXBF090dFidOiHYMXhU7</t>
  </si>
  <si>
    <t>2023-04-26T17:01:22.343Z</t>
  </si>
  <si>
    <t>What if I don’t have a 20% down payment?</t>
  </si>
  <si>
    <t>2o3xUUFEeRpcEWTI5skkK5</t>
  </si>
  <si>
    <t>BAH_1.4</t>
  </si>
  <si>
    <t>2023-04-26T16:53:47.013Z</t>
  </si>
  <si>
    <t>66VCctIqO7bnPrHKJUwcpF</t>
  </si>
  <si>
    <t>2023-04-26T16:45:25.227Z</t>
  </si>
  <si>
    <t>2CIso7UC3q3Kah6N4Wqk78</t>
  </si>
  <si>
    <t xml:space="preserve">ES_1.4 </t>
  </si>
  <si>
    <t>2023-04-26T16:44:27.413Z</t>
  </si>
  <si>
    <t>5YkoPnRVpjBLBo3WxrT37z</t>
  </si>
  <si>
    <t>2023-04-26T16:39:46.127Z</t>
  </si>
  <si>
    <t>2vcmDPcrP6hJEuqJ6Q086E</t>
  </si>
  <si>
    <t>2023-04-26T16:35:28.305Z</t>
  </si>
  <si>
    <t>Renting vs buying</t>
  </si>
  <si>
    <t>1V2wrfhywpxHFNBMTf21v6</t>
  </si>
  <si>
    <t>LM_COM_1.6</t>
  </si>
  <si>
    <t>2023-04-26T16:20:56.050Z</t>
  </si>
  <si>
    <t>topic-rent</t>
  </si>
  <si>
    <t>4nSvrbGNwIsXMZn53YloS2</t>
  </si>
  <si>
    <t xml:space="preserve">SMINV_1.1 </t>
  </si>
  <si>
    <t>2023-04-26T16:14:30.687Z</t>
  </si>
  <si>
    <t>How to discuss financial goals</t>
  </si>
  <si>
    <t>3mxny6587aajZEj2MPBzVX</t>
  </si>
  <si>
    <t>LM_COM_1.2</t>
  </si>
  <si>
    <t>2023-04-26T16:12:16.285Z</t>
  </si>
  <si>
    <t>1wYhYpXAR48Y8xrnbg8sZG</t>
  </si>
  <si>
    <t>2023-04-26T16:01:00.468Z</t>
  </si>
  <si>
    <t>6xmHo7bAgJ4twMxWcbmCw3</t>
  </si>
  <si>
    <t>2023-04-26T15:59:18.262Z</t>
  </si>
  <si>
    <t>3S7nyY4lreozOyIPFJSNwA</t>
  </si>
  <si>
    <t xml:space="preserve">SMINV_1.4 </t>
  </si>
  <si>
    <t>2023-04-26T15:56:59.496Z</t>
  </si>
  <si>
    <t>5U5ooQfYzyhvW8tjsb21zd</t>
  </si>
  <si>
    <t xml:space="preserve">SMINV_1.7 </t>
  </si>
  <si>
    <t>2023-04-26T15:53:11.545Z</t>
  </si>
  <si>
    <t>4cLNM7gf8dHQxcynhtkuDG</t>
  </si>
  <si>
    <t>2023-04-26T15:52:10.860Z</t>
  </si>
  <si>
    <t>43urikfZgzg2uJrCrawnP1</t>
  </si>
  <si>
    <t>2023-04-26T15:51:44.696Z</t>
  </si>
  <si>
    <t>1JW1sak5YCHIUTftlsnYyH</t>
  </si>
  <si>
    <t>2023-04-26T15:47:26.638Z</t>
  </si>
  <si>
    <t>4Ng2YvpV8LrMlFjsxVpeJU</t>
  </si>
  <si>
    <t xml:space="preserve">SMINV_1.17 </t>
  </si>
  <si>
    <t>2023-04-26T15:45:17.855Z</t>
  </si>
  <si>
    <t>6F1szxVu6HyWcclAgJPKcR</t>
  </si>
  <si>
    <t>2023-04-26T15:44:47.845Z</t>
  </si>
  <si>
    <t>zPwhNJAb2xzcoXu8wPxXR</t>
  </si>
  <si>
    <t>EOY22_1.4</t>
  </si>
  <si>
    <t>2023-04-26T15:10:03.072Z</t>
  </si>
  <si>
    <t xml:space="preserve">March: looking for the right home </t>
  </si>
  <si>
    <t>6sHwvmM1xUQL8BJ4t8MPqn</t>
  </si>
  <si>
    <t>2023-04-26T15:04:53.607Z</t>
  </si>
  <si>
    <t>3PKUvGhYtuKg8oMY8Pj1cx</t>
  </si>
  <si>
    <t>EOY22_1.5</t>
  </si>
  <si>
    <t>2023-04-26T14:56:50.766Z</t>
  </si>
  <si>
    <t>3B9ITWcDxmLWvqTO8zqncw</t>
  </si>
  <si>
    <t xml:space="preserve">BEN23_1.5 </t>
  </si>
  <si>
    <t>2023-04-26T14:52:14.426Z</t>
  </si>
  <si>
    <t>topic-bonus</t>
  </si>
  <si>
    <t>4ajSxk1tuH8e5xrcTIWYE3</t>
  </si>
  <si>
    <t>2023-04-26T14:50:32.037Z</t>
  </si>
  <si>
    <t>benefit-tax-consultation</t>
  </si>
  <si>
    <t>xkQal080XFEz669YXK0a6</t>
  </si>
  <si>
    <t>2023-04-26T14:41:38.725Z</t>
  </si>
  <si>
    <t>5MI8Ls8IGPcUt3AJFuIzMr</t>
  </si>
  <si>
    <t>2023-04-26T14:38:01.390Z</t>
  </si>
  <si>
    <t>6cb8X36mEqaO2iccglROHC</t>
  </si>
  <si>
    <t>2023-04-26T14:32:38.696Z</t>
  </si>
  <si>
    <t>benefit-charles-schwab</t>
  </si>
  <si>
    <t>62WsuLd8KT0agFH9E8uHyN</t>
  </si>
  <si>
    <t>2023-04-26T14:30:31.305Z</t>
  </si>
  <si>
    <t>6XIPFCiBIiiP5R95mOUjZW</t>
  </si>
  <si>
    <t xml:space="preserve">CRY_1.1 </t>
  </si>
  <si>
    <t>2023-04-26T14:21:44.949Z</t>
  </si>
  <si>
    <t>7ytYA6U1nLLJROygso7ygy</t>
  </si>
  <si>
    <t>2023-04-26T14:14:20.337Z</t>
  </si>
  <si>
    <t>1gd9ZmQkYFEtWHRWxNeOAb</t>
  </si>
  <si>
    <t>2023-03-29T23:28:22.125Z</t>
  </si>
  <si>
    <t>3BMy1Sz9edk5R9STChJbrl</t>
  </si>
  <si>
    <t>2023-01-24T20:36:04.410Z</t>
  </si>
  <si>
    <t>Collections</t>
  </si>
  <si>
    <t>68unLD4rvsuq370TxOb5N6</t>
  </si>
  <si>
    <t>null</t>
  </si>
  <si>
    <t>exploreCollectionCard</t>
  </si>
  <si>
    <t>2022-12-16T20:58:17.246Z</t>
  </si>
  <si>
    <t>collection-rsus-retirement</t>
  </si>
  <si>
    <t>collection-covid</t>
  </si>
  <si>
    <t>Overcome your debt</t>
  </si>
  <si>
    <t>5jOozhjZCKKw1hmEmx8g32</t>
  </si>
  <si>
    <t>Video Debt Trailer</t>
  </si>
  <si>
    <t>2022-10-26T15:00:06.687Z</t>
  </si>
  <si>
    <t>What investing means to me</t>
  </si>
  <si>
    <t>1ObmFmatQPscbMjRDoEMgc</t>
  </si>
  <si>
    <t>SMINV.video_1.1</t>
  </si>
  <si>
    <t>2022-10-26T14:59:12.151Z</t>
  </si>
  <si>
    <t>What a budget means to me</t>
  </si>
  <si>
    <t>4RNNoDKDRYouO4pFAmYrFK</t>
  </si>
  <si>
    <t>BUD.video_1.1</t>
  </si>
  <si>
    <t>2022-10-26T14:59:10.493Z</t>
  </si>
  <si>
    <t>calc-budgeting</t>
  </si>
  <si>
    <t>What retirement means to me</t>
  </si>
  <si>
    <t>4GQS3ej281e90YnpL2g2ts</t>
  </si>
  <si>
    <t>RET.video_1.1</t>
  </si>
  <si>
    <t>2022-10-26T14:59:08.738Z</t>
  </si>
  <si>
    <t>What debt management means to me</t>
  </si>
  <si>
    <t>6p3WRIcVMuul3zL4gftEn2</t>
  </si>
  <si>
    <t>DEB.video_1.1</t>
  </si>
  <si>
    <t>2022-10-26T14:57:59.456Z</t>
  </si>
  <si>
    <t>What an emergency fund means to me</t>
  </si>
  <si>
    <t>5IF7kT4n1IXck9Nd1VG97T</t>
  </si>
  <si>
    <t>EMF.video_1.1</t>
  </si>
  <si>
    <t>2022-10-26T14:57:57.857Z</t>
  </si>
  <si>
    <t>6JPHUAfF9TrK1IfGnXOu0i</t>
  </si>
  <si>
    <t>2022-10-10T22:08:35.343Z</t>
  </si>
  <si>
    <t>20OmH46TN5N7bpl5DNm6qO</t>
  </si>
  <si>
    <t>2022-05-27T14:38:03.072Z</t>
  </si>
  <si>
    <t>Why lenders care about income</t>
  </si>
  <si>
    <t>7vPcY4sNDyxqkBNtpM27S3</t>
  </si>
  <si>
    <t>BAH_1.7</t>
  </si>
  <si>
    <t>2022-05-27T13:16:20.666Z</t>
  </si>
  <si>
    <t xml:space="preserve">Timely topics </t>
  </si>
  <si>
    <t>bTUN2bICMaf6He4aAmVxc</t>
  </si>
  <si>
    <t>2022-03-17T20:54:49.382Z</t>
  </si>
  <si>
    <t>Debt</t>
  </si>
  <si>
    <t>Benefits</t>
  </si>
  <si>
    <t>duplicates</t>
  </si>
  <si>
    <t>Housing</t>
  </si>
  <si>
    <t>Emergency fund</t>
  </si>
  <si>
    <t>Markets</t>
  </si>
  <si>
    <t>Budget - Extras</t>
  </si>
  <si>
    <t>Kids Education</t>
  </si>
  <si>
    <t>App</t>
  </si>
  <si>
    <t>Loans</t>
  </si>
  <si>
    <t>Couples</t>
  </si>
  <si>
    <t>??</t>
  </si>
  <si>
    <t>Credit</t>
  </si>
  <si>
    <t>Health</t>
  </si>
  <si>
    <t>Income</t>
  </si>
  <si>
    <t>Budget</t>
  </si>
  <si>
    <t>Insurance</t>
  </si>
  <si>
    <t>better than RSUs?</t>
  </si>
  <si>
    <t>Care</t>
  </si>
  <si>
    <t>Inheritance</t>
  </si>
  <si>
    <t>Mental health</t>
  </si>
  <si>
    <t>What is this?</t>
  </si>
  <si>
    <t>Relocation</t>
  </si>
  <si>
    <t>Wealth strategies</t>
  </si>
  <si>
    <t>Security</t>
  </si>
  <si>
    <t>break up?</t>
  </si>
  <si>
    <t>Gratification</t>
  </si>
  <si>
    <t>break up - RSUs, bonus, side hustle</t>
  </si>
  <si>
    <t>Family?</t>
  </si>
  <si>
    <t>Estates?</t>
  </si>
  <si>
    <t>Housing?</t>
  </si>
  <si>
    <t>group-saving-how ... how (mindset/strategy for finding the money), 
group-account-types ... where (account types), 
group-priortiies ... why (motivation, goal priorities)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</si>
</sst>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Arial"/>
      <scheme val="minor"/>
    </font>
    <font>
      <sz val="10"/>
      <color theme="1"/>
      <name val="Arial"/>
      <scheme val="minor"/>
    </font>
    <font>
      <b/>
      <sz val="10"/>
      <color theme="1"/>
      <name val="Arial"/>
      <scheme val="minor"/>
    </font>
    <font>
      <sz val="10"/>
      <color theme="1"/>
      <name val="Arial"/>
    </font>
    <font>
      <b/>
      <sz val="10"/>
      <color rgb="FF000000"/>
      <name val="Arial"/>
      <scheme val="minor"/>
    </font>
    <font>
      <b/>
      <sz val="10"/>
      <color theme="1"/>
      <name val="Arial"/>
    </font>
    <font>
      <sz val="10"/>
      <color rgb="FFFF9900"/>
      <name val="Arial"/>
    </font>
    <font>
      <sz val="10"/>
      <color rgb="FF000000"/>
      <name val="Arial"/>
    </font>
    <font>
      <i/>
      <sz val="10"/>
      <color rgb="FF000000"/>
      <name val="Arial"/>
      <scheme val="minor"/>
    </font>
    <font>
      <sz val="9"/>
      <color rgb="FFD1D2D3"/>
      <name val="Arial"/>
    </font>
    <font>
      <strike/>
      <sz val="10"/>
      <color theme="1"/>
      <name val="Arial"/>
      <scheme val="minor"/>
    </font>
    <font>
      <b/>
      <sz val="10"/>
      <color rgb="FF000000"/>
      <name val="Arial"/>
    </font>
    <font>
      <sz val="10"/>
      <color rgb="FF000000"/>
      <name val="Arial"/>
      <charset val="1"/>
    </font>
    <font>
      <strike/>
      <sz val="10"/>
      <color rgb="FF000000"/>
      <name val="Arial"/>
      <scheme val="minor"/>
    </font>
    <font>
      <u/>
      <sz val="10"/>
      <color theme="10"/>
      <name val="Arial"/>
      <scheme val="minor"/>
    </font>
    <font>
      <sz val="11"/>
      <color rgb="FF242424"/>
      <name val="Aptos Narrow"/>
      <charset val="1"/>
    </font>
    <font>
      <sz val="10"/>
      <color rgb="FFFF0000"/>
      <name val="Arial"/>
      <scheme val="minor"/>
    </font>
    <font>
      <sz val="10"/>
      <color rgb="FF000000"/>
      <name val="Euclid_Square"/>
      <charset val="1"/>
    </font>
    <font>
      <b/>
      <sz val="14"/>
      <color rgb="FF000000"/>
      <name val="Arial"/>
      <scheme val="minor"/>
    </font>
    <font>
      <b/>
      <sz val="10"/>
      <color rgb="FF000000"/>
      <name val="Euclid_Square"/>
      <charset val="1"/>
    </font>
    <font>
      <sz val="10"/>
      <color rgb="FFFF0000"/>
      <name val="Arial"/>
    </font>
    <font>
      <strike/>
      <u/>
      <sz val="10"/>
      <color theme="10"/>
      <name val="Arial"/>
      <scheme val="minor"/>
    </font>
    <font>
      <sz val="11"/>
      <color theme="1"/>
      <name val="Arial"/>
      <scheme val="minor"/>
    </font>
    <font>
      <b/>
      <sz val="11"/>
      <color theme="1"/>
      <name val="Arial"/>
      <scheme val="minor"/>
    </font>
    <font>
      <sz val="11"/>
      <color rgb="FF000000"/>
      <name val="Arial"/>
      <scheme val="minor"/>
    </font>
    <font>
      <sz val="12"/>
      <color theme="1"/>
      <name val="Arial"/>
      <scheme val="minor"/>
    </font>
    <font>
      <sz val="12"/>
      <color rgb="FF000000"/>
      <name val="Arial"/>
      <scheme val="minor"/>
    </font>
    <font>
      <sz val="12"/>
      <color rgb="FF1F1F1F"/>
      <name val="Arial"/>
      <scheme val="minor"/>
    </font>
    <font>
      <u/>
      <sz val="10"/>
      <color theme="10"/>
      <name val="Arial"/>
    </font>
    <font>
      <u/>
      <sz val="10"/>
      <color theme="4" tint="-0.249977111117893"/>
      <name val="Arial"/>
    </font>
    <font>
      <u/>
      <sz val="10"/>
      <color rgb="FF000000"/>
      <name val="Arial"/>
    </font>
    <font>
      <b/>
      <sz val="9"/>
      <color theme="1"/>
      <name val="Arial"/>
    </font>
    <font>
      <b/>
      <sz val="9"/>
      <color rgb="FF000000"/>
      <name val="Arial"/>
    </font>
    <font>
      <sz val="9"/>
      <color rgb="FF000000"/>
      <name val="Arial"/>
    </font>
    <font>
      <sz val="12"/>
      <color theme="1"/>
      <name val="Arial"/>
    </font>
    <font>
      <sz val="12"/>
      <color rgb="FF000000"/>
      <name val="Arial"/>
    </font>
    <font>
      <sz val="12"/>
      <color rgb="FFFF0000"/>
      <name val="Arial"/>
    </font>
    <font>
      <sz val="12"/>
      <color rgb="FF242424"/>
      <name val="Arial"/>
    </font>
    <font>
      <sz val="12"/>
      <color rgb="FF1F1F1F"/>
      <name val="Arial"/>
    </font>
  </fonts>
  <fills count="52">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F4CCCC"/>
        <bgColor rgb="FFF4CCCC"/>
      </patternFill>
    </fill>
    <fill>
      <patternFill patternType="solid">
        <fgColor rgb="FFB0B3B2"/>
        <bgColor rgb="FFB0B3B2"/>
      </patternFill>
    </fill>
    <fill>
      <patternFill patternType="solid">
        <fgColor rgb="FFD4D4D4"/>
        <bgColor rgb="FFD4D4D4"/>
      </patternFill>
    </fill>
    <fill>
      <patternFill patternType="solid">
        <fgColor rgb="FFD9D9D9"/>
        <bgColor rgb="FFD9D9D9"/>
      </patternFill>
    </fill>
    <fill>
      <patternFill patternType="solid">
        <fgColor rgb="FF3C78D8"/>
        <bgColor rgb="FF3C78D8"/>
      </patternFill>
    </fill>
    <fill>
      <patternFill patternType="solid">
        <fgColor rgb="FF6D9EEB"/>
        <bgColor rgb="FF6D9EEB"/>
      </patternFill>
    </fill>
    <fill>
      <patternFill patternType="solid">
        <fgColor rgb="FFA4C2F4"/>
        <bgColor rgb="FFA4C2F4"/>
      </patternFill>
    </fill>
    <fill>
      <patternFill patternType="solid">
        <fgColor rgb="FFF6B26B"/>
        <bgColor rgb="FFF6B26B"/>
      </patternFill>
    </fill>
    <fill>
      <patternFill patternType="solid">
        <fgColor rgb="FFF3F3F3"/>
        <bgColor rgb="FFF3F3F3"/>
      </patternFill>
    </fill>
    <fill>
      <patternFill patternType="solid">
        <fgColor rgb="FFEA9999"/>
        <bgColor rgb="FFEA9999"/>
      </patternFill>
    </fill>
    <fill>
      <patternFill patternType="solid">
        <fgColor rgb="FFFF0000"/>
        <bgColor rgb="FFFF0000"/>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B4A7D6"/>
        <bgColor rgb="FFB4A7D6"/>
      </patternFill>
    </fill>
    <fill>
      <patternFill patternType="solid">
        <fgColor rgb="FFB7B7B7"/>
        <bgColor rgb="FFB7B7B7"/>
      </patternFill>
    </fill>
    <fill>
      <patternFill patternType="solid">
        <fgColor rgb="FFD5A6BD"/>
        <bgColor rgb="FFD5A6BD"/>
      </patternFill>
    </fill>
    <fill>
      <patternFill patternType="solid">
        <fgColor rgb="FFE8E8E8"/>
        <bgColor rgb="FFE8E8E8"/>
      </patternFill>
    </fill>
    <fill>
      <patternFill patternType="solid">
        <fgColor rgb="FFFCE5CD"/>
        <bgColor rgb="FFFCE5CD"/>
      </patternFill>
    </fill>
    <fill>
      <patternFill patternType="solid">
        <fgColor rgb="FFCFE2F3"/>
        <bgColor rgb="FFCFE2F3"/>
      </patternFill>
    </fill>
    <fill>
      <patternFill patternType="solid">
        <fgColor theme="0" tint="-4.9989318521683403E-2"/>
        <bgColor indexed="64"/>
      </patternFill>
    </fill>
    <fill>
      <patternFill patternType="solid">
        <fgColor rgb="FFB0B3B2"/>
        <bgColor indexed="64"/>
      </patternFill>
    </fill>
    <fill>
      <patternFill patternType="solid">
        <fgColor rgb="FFF4CCCC"/>
        <bgColor indexed="64"/>
      </patternFill>
    </fill>
    <fill>
      <patternFill patternType="solid">
        <fgColor rgb="FFD9EAD3"/>
        <bgColor indexed="64"/>
      </patternFill>
    </fill>
    <fill>
      <patternFill patternType="solid">
        <fgColor rgb="FFFFF2CC"/>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44FF00"/>
        <bgColor indexed="64"/>
      </patternFill>
    </fill>
    <fill>
      <patternFill patternType="solid">
        <fgColor theme="1" tint="0.499984740745262"/>
        <bgColor indexed="64"/>
      </patternFill>
    </fill>
    <fill>
      <patternFill patternType="solid">
        <fgColor rgb="FFFF0000"/>
        <bgColor indexed="64"/>
      </patternFill>
    </fill>
    <fill>
      <patternFill patternType="solid">
        <fgColor rgb="FFFA87F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style="thin">
        <color rgb="FFBDC1C6"/>
      </right>
      <top/>
      <bottom/>
      <diagonal/>
    </border>
    <border>
      <left/>
      <right style="thin">
        <color rgb="FFBDC1C6"/>
      </right>
      <top/>
      <bottom style="thin">
        <color rgb="FFBDC1C6"/>
      </bottom>
      <diagonal/>
    </border>
    <border>
      <left/>
      <right/>
      <top/>
      <bottom style="thin">
        <color rgb="FFBDC1C6"/>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CCCCCC"/>
      </top>
      <bottom/>
      <diagonal/>
    </border>
    <border>
      <left style="thin">
        <color rgb="FF000000"/>
      </left>
      <right style="thin">
        <color rgb="FFCCCCCC"/>
      </right>
      <top style="thin">
        <color rgb="FFCCCCCC"/>
      </top>
      <bottom/>
      <diagonal/>
    </border>
    <border>
      <left style="thin">
        <color rgb="FFCCCCCC"/>
      </left>
      <right style="thin">
        <color rgb="FF000000"/>
      </right>
      <top style="thin">
        <color rgb="FFCCCCCC"/>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CCCCCC"/>
      </bottom>
      <diagonal/>
    </border>
    <border>
      <left style="thin">
        <color rgb="FF000000"/>
      </left>
      <right style="thin">
        <color rgb="FFCCCCCC"/>
      </right>
      <top/>
      <bottom style="thin">
        <color rgb="FFCCCCCC"/>
      </bottom>
      <diagonal/>
    </border>
    <border>
      <left style="thin">
        <color rgb="FFCCCCCC"/>
      </left>
      <right style="thin">
        <color rgb="FF000000"/>
      </right>
      <top/>
      <bottom style="thin">
        <color rgb="FFCCCCCC"/>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0" fontId="14" fillId="0" borderId="0" applyNumberFormat="0" applyFill="0" applyBorder="0" applyAlignment="0" applyProtection="0"/>
  </cellStyleXfs>
  <cellXfs count="277">
    <xf numFmtId="0" fontId="0" fillId="0" borderId="0" xfId="0"/>
    <xf numFmtId="0" fontId="1" fillId="0" borderId="0" xfId="0" applyFont="1"/>
    <xf numFmtId="0" fontId="2" fillId="4" borderId="0" xfId="0" applyFont="1" applyFill="1" applyAlignment="1">
      <alignment vertical="top" wrapText="1"/>
    </xf>
    <xf numFmtId="0" fontId="1" fillId="5" borderId="0" xfId="0" applyFont="1" applyFill="1"/>
    <xf numFmtId="0" fontId="1" fillId="6" borderId="0" xfId="0" applyFont="1" applyFill="1"/>
    <xf numFmtId="0" fontId="3" fillId="0" borderId="0" xfId="0" applyFont="1"/>
    <xf numFmtId="0" fontId="2" fillId="9" borderId="0" xfId="0" applyFont="1" applyFill="1"/>
    <xf numFmtId="0" fontId="2" fillId="4" borderId="0" xfId="0" applyFont="1" applyFill="1" applyAlignment="1">
      <alignment vertical="top"/>
    </xf>
    <xf numFmtId="0" fontId="1" fillId="10" borderId="0" xfId="0" applyFont="1" applyFill="1" applyAlignment="1">
      <alignment vertical="top"/>
    </xf>
    <xf numFmtId="0" fontId="1" fillId="11" borderId="0" xfId="0" applyFont="1" applyFill="1" applyAlignment="1">
      <alignment vertical="top"/>
    </xf>
    <xf numFmtId="0" fontId="1" fillId="12" borderId="0" xfId="0" applyFont="1" applyFill="1" applyAlignment="1">
      <alignment vertical="top"/>
    </xf>
    <xf numFmtId="0" fontId="4" fillId="4" borderId="0" xfId="0" applyFont="1" applyFill="1" applyAlignment="1">
      <alignment vertical="top" wrapText="1"/>
    </xf>
    <xf numFmtId="0" fontId="4" fillId="13" borderId="0" xfId="0" applyFont="1" applyFill="1" applyAlignment="1">
      <alignment vertical="top"/>
    </xf>
    <xf numFmtId="0" fontId="4" fillId="14" borderId="0" xfId="0" applyFont="1" applyFill="1" applyAlignment="1">
      <alignment vertical="top"/>
    </xf>
    <xf numFmtId="0" fontId="1" fillId="14" borderId="0" xfId="0" applyFont="1" applyFill="1" applyAlignment="1">
      <alignment vertical="top"/>
    </xf>
    <xf numFmtId="0" fontId="2" fillId="14" borderId="0" xfId="0" applyFont="1" applyFill="1" applyAlignment="1">
      <alignment horizontal="center" vertical="top" wrapText="1"/>
    </xf>
    <xf numFmtId="0" fontId="2" fillId="14" borderId="0" xfId="0" applyFont="1" applyFill="1" applyAlignment="1">
      <alignment vertical="top" wrapText="1"/>
    </xf>
    <xf numFmtId="0" fontId="2" fillId="14" borderId="0" xfId="0" applyFont="1" applyFill="1" applyAlignment="1">
      <alignment vertical="top"/>
    </xf>
    <xf numFmtId="0" fontId="1" fillId="0" borderId="0" xfId="0" applyFont="1" applyAlignment="1">
      <alignment vertical="top"/>
    </xf>
    <xf numFmtId="0" fontId="2" fillId="0" borderId="0" xfId="0" applyFont="1" applyAlignment="1">
      <alignment vertical="top" wrapText="1"/>
    </xf>
    <xf numFmtId="0" fontId="5" fillId="15" borderId="0" xfId="0" applyFont="1" applyFill="1"/>
    <xf numFmtId="0" fontId="3" fillId="4" borderId="0" xfId="0" applyFont="1" applyFill="1" applyAlignment="1">
      <alignment wrapText="1"/>
    </xf>
    <xf numFmtId="0" fontId="6" fillId="10" borderId="0" xfId="0" applyFont="1" applyFill="1" applyAlignment="1">
      <alignment wrapText="1"/>
    </xf>
    <xf numFmtId="0" fontId="1" fillId="11" borderId="0" xfId="0" applyFont="1" applyFill="1" applyAlignment="1">
      <alignment wrapText="1"/>
    </xf>
    <xf numFmtId="0" fontId="1" fillId="12" borderId="0" xfId="0" applyFont="1" applyFill="1" applyAlignment="1">
      <alignment wrapText="1"/>
    </xf>
    <xf numFmtId="0" fontId="1" fillId="4" borderId="0" xfId="0" applyFont="1" applyFill="1" applyAlignment="1">
      <alignment wrapText="1"/>
    </xf>
    <xf numFmtId="0" fontId="1" fillId="4" borderId="0" xfId="0" applyFont="1" applyFill="1"/>
    <xf numFmtId="0" fontId="1" fillId="0" borderId="0" xfId="0" applyFont="1" applyAlignment="1">
      <alignment horizontal="center"/>
    </xf>
    <xf numFmtId="0" fontId="1" fillId="0" borderId="0" xfId="0" applyFont="1" applyAlignment="1">
      <alignment wrapText="1"/>
    </xf>
    <xf numFmtId="0" fontId="3" fillId="10" borderId="0" xfId="0" applyFont="1" applyFill="1" applyAlignment="1">
      <alignment wrapText="1"/>
    </xf>
    <xf numFmtId="0" fontId="7" fillId="4" borderId="0" xfId="0" applyFont="1" applyFill="1" applyAlignment="1">
      <alignment horizontal="left"/>
    </xf>
    <xf numFmtId="0" fontId="7" fillId="0" borderId="0" xfId="0" applyFont="1" applyAlignment="1">
      <alignment horizontal="left"/>
    </xf>
    <xf numFmtId="0" fontId="1" fillId="16" borderId="0" xfId="0" applyFont="1" applyFill="1"/>
    <xf numFmtId="0" fontId="3" fillId="0" borderId="0" xfId="0" applyFont="1" applyAlignment="1">
      <alignment wrapText="1"/>
    </xf>
    <xf numFmtId="0" fontId="7" fillId="10" borderId="0" xfId="0" applyFont="1" applyFill="1" applyAlignment="1">
      <alignment horizontal="left"/>
    </xf>
    <xf numFmtId="0" fontId="3" fillId="4" borderId="0" xfId="0" applyFont="1" applyFill="1"/>
    <xf numFmtId="0" fontId="7" fillId="11" borderId="0" xfId="0" applyFont="1" applyFill="1" applyAlignment="1">
      <alignment horizontal="left"/>
    </xf>
    <xf numFmtId="0" fontId="5" fillId="17" borderId="0" xfId="0" applyFont="1" applyFill="1" applyAlignment="1">
      <alignment wrapText="1"/>
    </xf>
    <xf numFmtId="0" fontId="3" fillId="11" borderId="0" xfId="0" applyFont="1" applyFill="1" applyAlignment="1">
      <alignment wrapText="1"/>
    </xf>
    <xf numFmtId="0" fontId="5" fillId="18" borderId="0" xfId="0" applyFont="1" applyFill="1" applyAlignment="1">
      <alignment wrapText="1"/>
    </xf>
    <xf numFmtId="0" fontId="5" fillId="19" borderId="0" xfId="0" applyFont="1" applyFill="1" applyAlignment="1">
      <alignment wrapText="1"/>
    </xf>
    <xf numFmtId="0" fontId="5" fillId="20" borderId="0" xfId="0" applyFont="1" applyFill="1" applyAlignment="1">
      <alignment wrapText="1"/>
    </xf>
    <xf numFmtId="0" fontId="5" fillId="21" borderId="0" xfId="0" applyFont="1" applyFill="1" applyAlignment="1">
      <alignment wrapText="1"/>
    </xf>
    <xf numFmtId="0" fontId="5" fillId="22" borderId="0" xfId="0" applyFont="1" applyFill="1" applyAlignment="1">
      <alignment wrapText="1"/>
    </xf>
    <xf numFmtId="0" fontId="5" fillId="23" borderId="0" xfId="0" applyFont="1" applyFill="1" applyAlignment="1">
      <alignment wrapText="1"/>
    </xf>
    <xf numFmtId="0" fontId="1" fillId="10" borderId="0" xfId="0" applyFont="1" applyFill="1" applyAlignment="1">
      <alignment wrapText="1"/>
    </xf>
    <xf numFmtId="0" fontId="3" fillId="10" borderId="0" xfId="0" applyFont="1" applyFill="1"/>
    <xf numFmtId="0" fontId="3" fillId="11" borderId="0" xfId="0" applyFont="1" applyFill="1"/>
    <xf numFmtId="0" fontId="3" fillId="12" borderId="0" xfId="0" applyFont="1" applyFill="1" applyAlignment="1">
      <alignment wrapText="1"/>
    </xf>
    <xf numFmtId="0" fontId="1" fillId="11" borderId="0" xfId="0" applyFont="1" applyFill="1"/>
    <xf numFmtId="0" fontId="1" fillId="12" borderId="0" xfId="0" applyFont="1" applyFill="1"/>
    <xf numFmtId="0" fontId="1" fillId="10" borderId="0" xfId="0" applyFont="1" applyFill="1"/>
    <xf numFmtId="0" fontId="3" fillId="0" borderId="0" xfId="0" applyFont="1" applyAlignment="1">
      <alignment horizontal="left"/>
    </xf>
    <xf numFmtId="0" fontId="8" fillId="4" borderId="0" xfId="0" applyFont="1" applyFill="1"/>
    <xf numFmtId="0" fontId="3" fillId="12" borderId="0" xfId="0" applyFont="1" applyFill="1"/>
    <xf numFmtId="0" fontId="5" fillId="4" borderId="0" xfId="0" applyFont="1" applyFill="1"/>
    <xf numFmtId="0" fontId="3" fillId="4" borderId="4" xfId="0" applyFont="1" applyFill="1" applyBorder="1" applyAlignment="1">
      <alignment wrapText="1"/>
    </xf>
    <xf numFmtId="0" fontId="9" fillId="24" borderId="0" xfId="0" applyFont="1" applyFill="1" applyAlignment="1">
      <alignment horizontal="left"/>
    </xf>
    <xf numFmtId="0" fontId="1" fillId="25" borderId="0" xfId="0" applyFont="1" applyFill="1"/>
    <xf numFmtId="0" fontId="1" fillId="26" borderId="0" xfId="0" applyFont="1" applyFill="1"/>
    <xf numFmtId="0" fontId="10" fillId="6" borderId="0" xfId="0" applyFont="1" applyFill="1"/>
    <xf numFmtId="0" fontId="10" fillId="0" borderId="0" xfId="0" applyFont="1"/>
    <xf numFmtId="0" fontId="3" fillId="4" borderId="2" xfId="0" applyFont="1" applyFill="1" applyBorder="1" applyAlignment="1">
      <alignment wrapText="1"/>
    </xf>
    <xf numFmtId="0" fontId="3" fillId="4" borderId="3" xfId="0" applyFont="1" applyFill="1" applyBorder="1" applyAlignment="1">
      <alignment wrapText="1"/>
    </xf>
    <xf numFmtId="0" fontId="13" fillId="0" borderId="0" xfId="0" applyFont="1"/>
    <xf numFmtId="0" fontId="0" fillId="32" borderId="0" xfId="0" applyFill="1"/>
    <xf numFmtId="0" fontId="0" fillId="33" borderId="0" xfId="0" applyFill="1"/>
    <xf numFmtId="0" fontId="0" fillId="0" borderId="0" xfId="0" applyAlignment="1">
      <alignment wrapText="1"/>
    </xf>
    <xf numFmtId="0" fontId="2" fillId="27" borderId="0" xfId="0" applyFont="1" applyFill="1"/>
    <xf numFmtId="0" fontId="12" fillId="0" borderId="0" xfId="0" applyFont="1"/>
    <xf numFmtId="0" fontId="15" fillId="0" borderId="0" xfId="0" applyFont="1"/>
    <xf numFmtId="0" fontId="14" fillId="0" borderId="0" xfId="1"/>
    <xf numFmtId="0" fontId="14" fillId="35" borderId="11" xfId="1" applyFill="1" applyBorder="1" applyAlignment="1"/>
    <xf numFmtId="0" fontId="16" fillId="33" borderId="0" xfId="0" applyFont="1" applyFill="1"/>
    <xf numFmtId="0" fontId="2" fillId="27" borderId="0" xfId="0" applyFont="1" applyFill="1" applyAlignment="1">
      <alignment wrapText="1"/>
    </xf>
    <xf numFmtId="0" fontId="14" fillId="0" borderId="0" xfId="1" applyAlignment="1">
      <alignment wrapText="1"/>
    </xf>
    <xf numFmtId="0" fontId="14" fillId="35" borderId="11" xfId="1" applyFill="1" applyBorder="1" applyAlignment="1">
      <alignment wrapText="1"/>
    </xf>
    <xf numFmtId="0" fontId="1" fillId="37" borderId="0" xfId="0" applyFont="1" applyFill="1"/>
    <xf numFmtId="0" fontId="1" fillId="34" borderId="0" xfId="0" applyFont="1" applyFill="1"/>
    <xf numFmtId="0" fontId="1" fillId="35" borderId="0" xfId="0" applyFont="1" applyFill="1"/>
    <xf numFmtId="0" fontId="14" fillId="0" borderId="0" xfId="1" applyAlignment="1"/>
    <xf numFmtId="0" fontId="13" fillId="33" borderId="0" xfId="0" applyFont="1" applyFill="1"/>
    <xf numFmtId="0" fontId="1" fillId="39" borderId="0" xfId="0" applyFont="1" applyFill="1"/>
    <xf numFmtId="0" fontId="17" fillId="0" borderId="0" xfId="0" applyFont="1"/>
    <xf numFmtId="0" fontId="4" fillId="0" borderId="0" xfId="0" applyFont="1"/>
    <xf numFmtId="0" fontId="1" fillId="40" borderId="0" xfId="0" applyFont="1" applyFill="1"/>
    <xf numFmtId="0" fontId="1" fillId="41" borderId="0" xfId="0" applyFont="1" applyFill="1"/>
    <xf numFmtId="0" fontId="0" fillId="42" borderId="0" xfId="0" applyFill="1"/>
    <xf numFmtId="0" fontId="17" fillId="42" borderId="0" xfId="0" applyFont="1" applyFill="1"/>
    <xf numFmtId="0" fontId="17" fillId="38" borderId="0" xfId="0" applyFont="1" applyFill="1"/>
    <xf numFmtId="0" fontId="0" fillId="43" borderId="0" xfId="0" applyFill="1"/>
    <xf numFmtId="0" fontId="17" fillId="43" borderId="0" xfId="0" applyFont="1" applyFill="1"/>
    <xf numFmtId="0" fontId="10" fillId="38" borderId="0" xfId="0" applyFont="1" applyFill="1"/>
    <xf numFmtId="0" fontId="14" fillId="0" borderId="0" xfId="1" applyFill="1" applyAlignment="1"/>
    <xf numFmtId="0" fontId="0" fillId="44" borderId="0" xfId="0" applyFill="1"/>
    <xf numFmtId="0" fontId="13" fillId="44" borderId="0" xfId="0" applyFont="1" applyFill="1"/>
    <xf numFmtId="0" fontId="1" fillId="44" borderId="0" xfId="0" applyFont="1" applyFill="1"/>
    <xf numFmtId="0" fontId="14" fillId="44" borderId="0" xfId="1" applyFill="1" applyAlignment="1"/>
    <xf numFmtId="0" fontId="0" fillId="44" borderId="0" xfId="0" applyFill="1" applyAlignment="1">
      <alignment wrapText="1"/>
    </xf>
    <xf numFmtId="0" fontId="18" fillId="44" borderId="0" xfId="0" applyFont="1" applyFill="1"/>
    <xf numFmtId="0" fontId="19" fillId="42" borderId="0" xfId="0" applyFont="1" applyFill="1"/>
    <xf numFmtId="0" fontId="17" fillId="45" borderId="0" xfId="0" applyFont="1" applyFill="1"/>
    <xf numFmtId="0" fontId="0" fillId="27" borderId="0" xfId="0" applyFill="1"/>
    <xf numFmtId="0" fontId="0" fillId="0" borderId="12" xfId="0" applyBorder="1"/>
    <xf numFmtId="0" fontId="14" fillId="0" borderId="0" xfId="1" applyBorder="1" applyAlignment="1">
      <alignment wrapText="1"/>
    </xf>
    <xf numFmtId="0" fontId="1" fillId="36" borderId="0" xfId="0" applyFont="1" applyFill="1"/>
    <xf numFmtId="0" fontId="0" fillId="0" borderId="13" xfId="0" applyBorder="1"/>
    <xf numFmtId="0" fontId="0" fillId="0" borderId="14" xfId="0" applyBorder="1"/>
    <xf numFmtId="0" fontId="1" fillId="36" borderId="14" xfId="0" applyFont="1" applyFill="1" applyBorder="1"/>
    <xf numFmtId="0" fontId="0" fillId="32" borderId="14" xfId="0" applyFill="1" applyBorder="1"/>
    <xf numFmtId="0" fontId="0" fillId="0" borderId="14" xfId="0" applyBorder="1" applyAlignment="1">
      <alignment wrapText="1"/>
    </xf>
    <xf numFmtId="0" fontId="14" fillId="0" borderId="14" xfId="1" applyBorder="1" applyAlignment="1">
      <alignment wrapText="1"/>
    </xf>
    <xf numFmtId="0" fontId="13" fillId="0" borderId="12" xfId="0" applyFont="1" applyBorder="1"/>
    <xf numFmtId="0" fontId="10" fillId="37" borderId="0" xfId="0" applyFont="1" applyFill="1"/>
    <xf numFmtId="0" fontId="10" fillId="46" borderId="0" xfId="0" applyFont="1" applyFill="1"/>
    <xf numFmtId="0" fontId="0" fillId="35" borderId="0" xfId="0" applyFill="1" applyAlignment="1">
      <alignment wrapText="1"/>
    </xf>
    <xf numFmtId="0" fontId="16" fillId="34" borderId="0" xfId="0" applyFont="1" applyFill="1" applyAlignment="1">
      <alignment wrapText="1"/>
    </xf>
    <xf numFmtId="0" fontId="0" fillId="43" borderId="0" xfId="0" applyFill="1" applyAlignment="1">
      <alignment wrapText="1"/>
    </xf>
    <xf numFmtId="0" fontId="1" fillId="43" borderId="0" xfId="0" applyFont="1" applyFill="1"/>
    <xf numFmtId="0" fontId="1" fillId="47" borderId="0" xfId="0" applyFont="1" applyFill="1" applyAlignment="1">
      <alignment wrapText="1"/>
    </xf>
    <xf numFmtId="0" fontId="1" fillId="35" borderId="0" xfId="0" applyFont="1" applyFill="1" applyAlignment="1">
      <alignment wrapText="1"/>
    </xf>
    <xf numFmtId="0" fontId="2" fillId="0" borderId="0" xfId="0" applyFont="1" applyAlignment="1">
      <alignment wrapText="1"/>
    </xf>
    <xf numFmtId="0" fontId="13" fillId="32" borderId="0" xfId="0" applyFont="1" applyFill="1"/>
    <xf numFmtId="0" fontId="21" fillId="0" borderId="0" xfId="1" applyFont="1" applyAlignment="1"/>
    <xf numFmtId="0" fontId="13" fillId="0" borderId="0" xfId="0" applyFont="1" applyAlignment="1">
      <alignment wrapText="1"/>
    </xf>
    <xf numFmtId="0" fontId="1" fillId="34" borderId="0" xfId="0" applyFont="1" applyFill="1" applyAlignment="1">
      <alignment wrapText="1"/>
    </xf>
    <xf numFmtId="0" fontId="1" fillId="33" borderId="0" xfId="0" applyFont="1" applyFill="1"/>
    <xf numFmtId="0" fontId="0" fillId="33" borderId="0" xfId="0" applyFill="1" applyAlignment="1">
      <alignment wrapText="1"/>
    </xf>
    <xf numFmtId="0" fontId="3" fillId="33" borderId="0" xfId="0" applyFont="1" applyFill="1"/>
    <xf numFmtId="0" fontId="10" fillId="33" borderId="0" xfId="0" applyFont="1" applyFill="1"/>
    <xf numFmtId="0" fontId="1" fillId="33" borderId="0" xfId="0" applyFont="1" applyFill="1" applyAlignment="1">
      <alignment wrapText="1"/>
    </xf>
    <xf numFmtId="0" fontId="16" fillId="45" borderId="0" xfId="0" applyFont="1" applyFill="1"/>
    <xf numFmtId="0" fontId="0" fillId="45" borderId="0" xfId="0" applyFill="1"/>
    <xf numFmtId="0" fontId="23" fillId="34" borderId="0" xfId="0" applyFont="1" applyFill="1" applyAlignment="1">
      <alignment vertical="top" wrapText="1"/>
    </xf>
    <xf numFmtId="0" fontId="23" fillId="3" borderId="0" xfId="0" applyFont="1" applyFill="1" applyAlignment="1">
      <alignment vertical="top" wrapText="1"/>
    </xf>
    <xf numFmtId="0" fontId="23" fillId="4" borderId="0" xfId="0" applyFont="1" applyFill="1" applyAlignment="1">
      <alignment vertical="top" wrapText="1"/>
    </xf>
    <xf numFmtId="0" fontId="23" fillId="35" borderId="0" xfId="0" applyFont="1" applyFill="1" applyAlignment="1">
      <alignment vertical="top" wrapText="1"/>
    </xf>
    <xf numFmtId="0" fontId="23" fillId="36" borderId="0" xfId="0" applyFont="1" applyFill="1" applyAlignment="1">
      <alignment vertical="top" wrapText="1"/>
    </xf>
    <xf numFmtId="0" fontId="22" fillId="5" borderId="0" xfId="0" applyFont="1" applyFill="1"/>
    <xf numFmtId="0" fontId="24" fillId="0" borderId="0" xfId="0" applyFont="1"/>
    <xf numFmtId="0" fontId="25" fillId="0" borderId="0" xfId="0" applyFont="1"/>
    <xf numFmtId="0" fontId="26" fillId="0" borderId="0" xfId="0" applyFont="1"/>
    <xf numFmtId="0" fontId="27" fillId="2" borderId="0" xfId="0" applyFont="1" applyFill="1"/>
    <xf numFmtId="0" fontId="27" fillId="2" borderId="0" xfId="0" applyFont="1" applyFill="1" applyAlignment="1">
      <alignment wrapText="1"/>
    </xf>
    <xf numFmtId="0" fontId="27" fillId="2" borderId="0" xfId="0" applyFont="1" applyFill="1" applyAlignment="1">
      <alignment horizontal="left"/>
    </xf>
    <xf numFmtId="0" fontId="7" fillId="0" borderId="0" xfId="0" applyFont="1"/>
    <xf numFmtId="0" fontId="7" fillId="0" borderId="7" xfId="0" applyFont="1" applyBorder="1" applyAlignment="1">
      <alignment wrapText="1" readingOrder="1"/>
    </xf>
    <xf numFmtId="0" fontId="7" fillId="0" borderId="8" xfId="0" applyFont="1" applyBorder="1" applyAlignment="1">
      <alignment readingOrder="1"/>
    </xf>
    <xf numFmtId="0" fontId="7" fillId="44" borderId="0" xfId="0" applyFont="1" applyFill="1"/>
    <xf numFmtId="0" fontId="7" fillId="27" borderId="0" xfId="0" applyFont="1" applyFill="1"/>
    <xf numFmtId="0" fontId="7" fillId="45" borderId="0" xfId="0" applyFont="1" applyFill="1"/>
    <xf numFmtId="0" fontId="7" fillId="0" borderId="5" xfId="0" applyFont="1" applyBorder="1" applyAlignment="1">
      <alignment readingOrder="1"/>
    </xf>
    <xf numFmtId="0" fontId="7" fillId="0" borderId="0" xfId="0" applyFont="1" applyAlignment="1">
      <alignment wrapText="1"/>
    </xf>
    <xf numFmtId="0" fontId="29" fillId="0" borderId="0" xfId="0" applyFont="1"/>
    <xf numFmtId="0" fontId="7" fillId="0" borderId="6" xfId="0" applyFont="1" applyBorder="1" applyAlignment="1">
      <alignment readingOrder="1"/>
    </xf>
    <xf numFmtId="0" fontId="7" fillId="0" borderId="9" xfId="0" applyFont="1" applyBorder="1" applyAlignment="1">
      <alignment wrapText="1" readingOrder="1"/>
    </xf>
    <xf numFmtId="0" fontId="7" fillId="0" borderId="10" xfId="0" applyFont="1" applyBorder="1" applyAlignment="1">
      <alignment readingOrder="1"/>
    </xf>
    <xf numFmtId="0" fontId="33" fillId="0" borderId="0" xfId="0" applyFont="1"/>
    <xf numFmtId="0" fontId="7" fillId="45" borderId="1" xfId="0" applyFont="1" applyFill="1" applyBorder="1"/>
    <xf numFmtId="0" fontId="34" fillId="0" borderId="0" xfId="0" applyFont="1"/>
    <xf numFmtId="0" fontId="34" fillId="6" borderId="0" xfId="0" applyFont="1" applyFill="1" applyAlignment="1">
      <alignment wrapText="1"/>
    </xf>
    <xf numFmtId="0" fontId="35" fillId="45" borderId="0" xfId="0" applyFont="1" applyFill="1"/>
    <xf numFmtId="0" fontId="35" fillId="0" borderId="0" xfId="0" applyFont="1"/>
    <xf numFmtId="0" fontId="35" fillId="0" borderId="0" xfId="0" applyFont="1" applyAlignment="1">
      <alignment wrapText="1"/>
    </xf>
    <xf numFmtId="0" fontId="35" fillId="48" borderId="0" xfId="0" applyFont="1" applyFill="1"/>
    <xf numFmtId="0" fontId="34" fillId="50" borderId="0" xfId="0" applyFont="1" applyFill="1"/>
    <xf numFmtId="0" fontId="36" fillId="33" borderId="0" xfId="0" applyFont="1" applyFill="1"/>
    <xf numFmtId="0" fontId="36" fillId="45" borderId="0" xfId="0" applyFont="1" applyFill="1"/>
    <xf numFmtId="0" fontId="37" fillId="45" borderId="0" xfId="0" applyFont="1" applyFill="1"/>
    <xf numFmtId="0" fontId="36" fillId="0" borderId="0" xfId="0" applyFont="1"/>
    <xf numFmtId="0" fontId="34" fillId="45" borderId="0" xfId="0" applyFont="1" applyFill="1"/>
    <xf numFmtId="0" fontId="38" fillId="2" borderId="0" xfId="0" applyFont="1" applyFill="1" applyAlignment="1">
      <alignment wrapText="1"/>
    </xf>
    <xf numFmtId="0" fontId="36" fillId="48" borderId="0" xfId="0" applyFont="1" applyFill="1"/>
    <xf numFmtId="0" fontId="36" fillId="33" borderId="0" xfId="0" applyFont="1" applyFill="1" applyAlignment="1">
      <alignment wrapText="1"/>
    </xf>
    <xf numFmtId="0" fontId="38" fillId="2" borderId="0" xfId="0" applyFont="1" applyFill="1"/>
    <xf numFmtId="0" fontId="5" fillId="7" borderId="1" xfId="0" applyFont="1" applyFill="1" applyBorder="1" applyAlignment="1">
      <alignment vertical="center" wrapText="1"/>
    </xf>
    <xf numFmtId="0" fontId="3" fillId="0" borderId="1" xfId="0" applyFont="1" applyBorder="1" applyAlignment="1">
      <alignment vertical="center" wrapText="1"/>
    </xf>
    <xf numFmtId="0" fontId="20" fillId="0" borderId="1" xfId="0" applyFont="1" applyBorder="1" applyAlignment="1">
      <alignment vertical="center" wrapText="1"/>
    </xf>
    <xf numFmtId="0" fontId="3" fillId="45" borderId="1" xfId="0" applyFont="1" applyFill="1" applyBorder="1" applyAlignment="1">
      <alignment vertical="center" wrapText="1"/>
    </xf>
    <xf numFmtId="0" fontId="7" fillId="0" borderId="7" xfId="0" applyFont="1" applyBorder="1" applyAlignment="1">
      <alignment vertical="center" wrapText="1" readingOrder="1"/>
    </xf>
    <xf numFmtId="0" fontId="3" fillId="0" borderId="24" xfId="0" applyFont="1" applyBorder="1" applyAlignment="1">
      <alignment vertical="center" wrapText="1"/>
    </xf>
    <xf numFmtId="0" fontId="3" fillId="44" borderId="1" xfId="0" applyFont="1" applyFill="1" applyBorder="1" applyAlignment="1">
      <alignment vertical="center" wrapText="1"/>
    </xf>
    <xf numFmtId="0" fontId="7" fillId="44" borderId="7" xfId="0" applyFont="1" applyFill="1" applyBorder="1" applyAlignment="1">
      <alignment vertical="center" wrapText="1" readingOrder="1"/>
    </xf>
    <xf numFmtId="0" fontId="7" fillId="29" borderId="8" xfId="0" applyFont="1" applyFill="1" applyBorder="1" applyAlignment="1">
      <alignment vertical="center" wrapText="1" readingOrder="1"/>
    </xf>
    <xf numFmtId="0" fontId="7" fillId="31" borderId="8" xfId="0" applyFont="1" applyFill="1" applyBorder="1" applyAlignment="1">
      <alignment vertical="center" wrapText="1" readingOrder="1"/>
    </xf>
    <xf numFmtId="0" fontId="7" fillId="30" borderId="8" xfId="0" applyFont="1" applyFill="1" applyBorder="1" applyAlignment="1">
      <alignment vertical="center" wrapText="1" readingOrder="1"/>
    </xf>
    <xf numFmtId="0" fontId="12" fillId="45" borderId="1" xfId="0" applyFont="1" applyFill="1" applyBorder="1" applyAlignment="1">
      <alignment vertical="center" wrapText="1"/>
    </xf>
    <xf numFmtId="0" fontId="15" fillId="45" borderId="1" xfId="0" applyFont="1" applyFill="1" applyBorder="1" applyAlignment="1">
      <alignment vertical="center" wrapText="1"/>
    </xf>
    <xf numFmtId="0" fontId="1" fillId="45" borderId="1" xfId="0" applyFont="1" applyFill="1" applyBorder="1" applyAlignment="1">
      <alignment vertical="center" wrapText="1"/>
    </xf>
    <xf numFmtId="0" fontId="7" fillId="27" borderId="1" xfId="0" applyFont="1" applyFill="1" applyBorder="1" applyAlignment="1">
      <alignment vertical="center" wrapText="1"/>
    </xf>
    <xf numFmtId="0" fontId="7" fillId="27" borderId="7" xfId="0" applyFont="1" applyFill="1" applyBorder="1" applyAlignment="1">
      <alignment vertical="center" wrapText="1" readingOrder="1"/>
    </xf>
    <xf numFmtId="0" fontId="3" fillId="27" borderId="1" xfId="0" applyFont="1" applyFill="1" applyBorder="1" applyAlignment="1">
      <alignment vertical="center" wrapText="1"/>
    </xf>
    <xf numFmtId="0" fontId="0" fillId="45" borderId="0" xfId="0" applyFill="1" applyAlignment="1">
      <alignment vertical="center" wrapText="1"/>
    </xf>
    <xf numFmtId="0" fontId="7" fillId="45" borderId="7" xfId="0" applyFont="1" applyFill="1" applyBorder="1" applyAlignment="1">
      <alignment vertical="center" wrapText="1" readingOrder="1"/>
    </xf>
    <xf numFmtId="0" fontId="12" fillId="0" borderId="0" xfId="0" applyFont="1" applyAlignment="1">
      <alignment vertical="center" wrapText="1"/>
    </xf>
    <xf numFmtId="0" fontId="3" fillId="0" borderId="16" xfId="0" applyFont="1" applyBorder="1" applyAlignment="1">
      <alignment vertical="center" wrapText="1"/>
    </xf>
    <xf numFmtId="0" fontId="7" fillId="0" borderId="18" xfId="0" applyFont="1" applyBorder="1" applyAlignment="1">
      <alignment vertical="center" wrapText="1" readingOrder="1"/>
    </xf>
    <xf numFmtId="0" fontId="7" fillId="45" borderId="1" xfId="0" applyFont="1" applyFill="1" applyBorder="1" applyAlignment="1">
      <alignment vertical="center" wrapText="1" readingOrder="1"/>
    </xf>
    <xf numFmtId="0" fontId="7" fillId="0" borderId="1" xfId="0" applyFont="1" applyBorder="1" applyAlignment="1">
      <alignment vertical="center" wrapText="1" readingOrder="1"/>
    </xf>
    <xf numFmtId="0" fontId="7" fillId="0" borderId="1" xfId="0" applyFont="1" applyBorder="1" applyAlignment="1">
      <alignment vertical="center" wrapText="1"/>
    </xf>
    <xf numFmtId="0" fontId="7" fillId="0" borderId="24" xfId="0" applyFont="1" applyBorder="1" applyAlignment="1">
      <alignment vertical="center" wrapText="1"/>
    </xf>
    <xf numFmtId="0" fontId="7" fillId="45" borderId="1" xfId="0" applyFont="1" applyFill="1" applyBorder="1" applyAlignment="1">
      <alignment vertical="center" wrapText="1"/>
    </xf>
    <xf numFmtId="0" fontId="7" fillId="0" borderId="0" xfId="0" applyFont="1" applyAlignment="1">
      <alignment vertical="center" wrapText="1"/>
    </xf>
    <xf numFmtId="0" fontId="7" fillId="0" borderId="22" xfId="0" applyFont="1" applyBorder="1" applyAlignment="1">
      <alignment vertical="center" wrapText="1" readingOrder="1"/>
    </xf>
    <xf numFmtId="0" fontId="31" fillId="7" borderId="1" xfId="0" applyFont="1" applyFill="1" applyBorder="1" applyAlignment="1">
      <alignment vertical="center" wrapText="1"/>
    </xf>
    <xf numFmtId="0" fontId="5" fillId="7" borderId="24" xfId="0" applyFont="1" applyFill="1" applyBorder="1" applyAlignment="1">
      <alignment vertical="center" wrapText="1"/>
    </xf>
    <xf numFmtId="0" fontId="5" fillId="45" borderId="1" xfId="0" applyFont="1" applyFill="1" applyBorder="1" applyAlignment="1">
      <alignment vertical="center" wrapText="1"/>
    </xf>
    <xf numFmtId="0" fontId="11" fillId="28" borderId="11" xfId="0" applyFont="1" applyFill="1" applyBorder="1" applyAlignment="1">
      <alignment vertical="center" wrapText="1" readingOrder="1"/>
    </xf>
    <xf numFmtId="0" fontId="11" fillId="28" borderId="1" xfId="0" applyFont="1" applyFill="1" applyBorder="1" applyAlignment="1">
      <alignment vertical="center" wrapText="1" readingOrder="1"/>
    </xf>
    <xf numFmtId="0" fontId="7" fillId="49" borderId="0" xfId="0" applyFont="1" applyFill="1" applyAlignment="1">
      <alignment vertical="center" wrapText="1"/>
    </xf>
    <xf numFmtId="0" fontId="31" fillId="8" borderId="1" xfId="0" applyFont="1" applyFill="1" applyBorder="1" applyAlignment="1">
      <alignment vertical="center" wrapText="1"/>
    </xf>
    <xf numFmtId="0" fontId="29" fillId="0" borderId="0" xfId="0" applyFont="1" applyAlignment="1">
      <alignment vertical="center" wrapText="1"/>
    </xf>
    <xf numFmtId="0" fontId="7" fillId="29" borderId="5" xfId="0" applyFont="1" applyFill="1" applyBorder="1" applyAlignment="1">
      <alignment vertical="center" wrapText="1" readingOrder="1"/>
    </xf>
    <xf numFmtId="0" fontId="7" fillId="0" borderId="8" xfId="0" applyFont="1" applyBorder="1" applyAlignment="1">
      <alignment vertical="center" wrapText="1" readingOrder="1"/>
    </xf>
    <xf numFmtId="0" fontId="28" fillId="0" borderId="0" xfId="1" applyFont="1" applyAlignment="1">
      <alignment vertical="center" wrapText="1"/>
    </xf>
    <xf numFmtId="0" fontId="31" fillId="44" borderId="1" xfId="0" applyFont="1" applyFill="1" applyBorder="1" applyAlignment="1">
      <alignment vertical="center" wrapText="1"/>
    </xf>
    <xf numFmtId="0" fontId="3" fillId="44" borderId="24" xfId="0" applyFont="1" applyFill="1" applyBorder="1" applyAlignment="1">
      <alignment vertical="center" wrapText="1"/>
    </xf>
    <xf numFmtId="0" fontId="29" fillId="44" borderId="0" xfId="0" applyFont="1" applyFill="1" applyAlignment="1">
      <alignment vertical="center" wrapText="1"/>
    </xf>
    <xf numFmtId="0" fontId="7" fillId="44" borderId="5" xfId="0" applyFont="1" applyFill="1" applyBorder="1" applyAlignment="1">
      <alignment vertical="center" wrapText="1" readingOrder="1"/>
    </xf>
    <xf numFmtId="0" fontId="7" fillId="44" borderId="8" xfId="0" applyFont="1" applyFill="1" applyBorder="1" applyAlignment="1">
      <alignment vertical="center" wrapText="1" readingOrder="1"/>
    </xf>
    <xf numFmtId="0" fontId="7" fillId="44" borderId="0" xfId="0" applyFont="1" applyFill="1" applyAlignment="1">
      <alignment vertical="center" wrapText="1"/>
    </xf>
    <xf numFmtId="0" fontId="7" fillId="31" borderId="5" xfId="0" applyFont="1" applyFill="1" applyBorder="1" applyAlignment="1">
      <alignment vertical="center" wrapText="1" readingOrder="1"/>
    </xf>
    <xf numFmtId="0" fontId="7" fillId="30" borderId="5" xfId="0" applyFont="1" applyFill="1" applyBorder="1" applyAlignment="1">
      <alignment vertical="center" wrapText="1" readingOrder="1"/>
    </xf>
    <xf numFmtId="0" fontId="0" fillId="45" borderId="1" xfId="0" applyFill="1" applyBorder="1" applyAlignment="1">
      <alignment vertical="center" wrapText="1"/>
    </xf>
    <xf numFmtId="0" fontId="1" fillId="0" borderId="0" xfId="0" applyFont="1" applyAlignment="1">
      <alignment vertical="center" wrapText="1"/>
    </xf>
    <xf numFmtId="0" fontId="28" fillId="44" borderId="0" xfId="1" applyFont="1" applyFill="1" applyAlignment="1">
      <alignment vertical="center" wrapText="1"/>
    </xf>
    <xf numFmtId="0" fontId="15" fillId="45" borderId="0" xfId="0" applyFont="1" applyFill="1" applyAlignment="1">
      <alignment vertical="center" wrapText="1"/>
    </xf>
    <xf numFmtId="0" fontId="32" fillId="27" borderId="1" xfId="0" applyFont="1" applyFill="1" applyBorder="1" applyAlignment="1">
      <alignment vertical="center" wrapText="1"/>
    </xf>
    <xf numFmtId="0" fontId="7" fillId="27" borderId="24" xfId="0" applyFont="1" applyFill="1" applyBorder="1" applyAlignment="1">
      <alignment vertical="center" wrapText="1"/>
    </xf>
    <xf numFmtId="0" fontId="30" fillId="27" borderId="0" xfId="0" applyFont="1" applyFill="1" applyAlignment="1">
      <alignment vertical="center" wrapText="1"/>
    </xf>
    <xf numFmtId="0" fontId="7" fillId="27" borderId="5" xfId="0" applyFont="1" applyFill="1" applyBorder="1" applyAlignment="1">
      <alignment vertical="center" wrapText="1" readingOrder="1"/>
    </xf>
    <xf numFmtId="0" fontId="7" fillId="27" borderId="8" xfId="0" applyFont="1" applyFill="1" applyBorder="1" applyAlignment="1">
      <alignment vertical="center" wrapText="1" readingOrder="1"/>
    </xf>
    <xf numFmtId="0" fontId="7" fillId="27" borderId="0" xfId="0" applyFont="1" applyFill="1" applyAlignment="1">
      <alignment vertical="center" wrapText="1"/>
    </xf>
    <xf numFmtId="0" fontId="12" fillId="45" borderId="0" xfId="0" applyFont="1" applyFill="1" applyAlignment="1">
      <alignment vertical="center" wrapText="1"/>
    </xf>
    <xf numFmtId="0" fontId="14" fillId="0" borderId="0" xfId="1" applyAlignment="1">
      <alignment vertical="center" wrapText="1"/>
    </xf>
    <xf numFmtId="0" fontId="31" fillId="27" borderId="1" xfId="0" applyFont="1" applyFill="1" applyBorder="1" applyAlignment="1">
      <alignment vertical="center" wrapText="1"/>
    </xf>
    <xf numFmtId="0" fontId="3" fillId="27" borderId="24" xfId="0" applyFont="1" applyFill="1" applyBorder="1" applyAlignment="1">
      <alignment vertical="center" wrapText="1"/>
    </xf>
    <xf numFmtId="0" fontId="29" fillId="27" borderId="0" xfId="0" applyFont="1" applyFill="1" applyAlignment="1">
      <alignment vertical="center" wrapText="1"/>
    </xf>
    <xf numFmtId="0" fontId="31" fillId="45" borderId="1" xfId="0" applyFont="1" applyFill="1" applyBorder="1" applyAlignment="1">
      <alignment vertical="center" wrapText="1"/>
    </xf>
    <xf numFmtId="0" fontId="3" fillId="45" borderId="24" xfId="0" applyFont="1" applyFill="1" applyBorder="1" applyAlignment="1">
      <alignment vertical="center" wrapText="1"/>
    </xf>
    <xf numFmtId="0" fontId="28" fillId="45" borderId="0" xfId="1" applyFont="1" applyFill="1" applyAlignment="1">
      <alignment vertical="center" wrapText="1"/>
    </xf>
    <xf numFmtId="0" fontId="7" fillId="45" borderId="5" xfId="0" applyFont="1" applyFill="1" applyBorder="1" applyAlignment="1">
      <alignment vertical="center" wrapText="1" readingOrder="1"/>
    </xf>
    <xf numFmtId="0" fontId="7" fillId="45" borderId="8" xfId="0" applyFont="1" applyFill="1" applyBorder="1" applyAlignment="1">
      <alignment vertical="center" wrapText="1" readingOrder="1"/>
    </xf>
    <xf numFmtId="0" fontId="7" fillId="45" borderId="0" xfId="0" applyFont="1" applyFill="1" applyAlignment="1">
      <alignment vertical="center" wrapText="1"/>
    </xf>
    <xf numFmtId="0" fontId="15"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14" fillId="44" borderId="0" xfId="1" applyFill="1" applyAlignment="1">
      <alignment vertical="center" wrapText="1"/>
    </xf>
    <xf numFmtId="0" fontId="29" fillId="0" borderId="11" xfId="0" applyFont="1" applyBorder="1" applyAlignment="1">
      <alignment vertical="center" wrapText="1"/>
    </xf>
    <xf numFmtId="0" fontId="29" fillId="0" borderId="15" xfId="0" applyFont="1" applyBorder="1" applyAlignment="1">
      <alignment vertical="center" wrapText="1"/>
    </xf>
    <xf numFmtId="0" fontId="14" fillId="45" borderId="0" xfId="1" applyFill="1" applyAlignment="1">
      <alignment vertical="center" wrapText="1"/>
    </xf>
    <xf numFmtId="0" fontId="29" fillId="44" borderId="11" xfId="0" applyFont="1" applyFill="1" applyBorder="1" applyAlignment="1">
      <alignment vertical="center" wrapText="1"/>
    </xf>
    <xf numFmtId="0" fontId="29" fillId="44" borderId="15" xfId="0" applyFont="1" applyFill="1" applyBorder="1" applyAlignment="1">
      <alignment vertical="center" wrapText="1"/>
    </xf>
    <xf numFmtId="0" fontId="14" fillId="0" borderId="11" xfId="1" applyBorder="1" applyAlignment="1">
      <alignment vertical="center" wrapText="1"/>
    </xf>
    <xf numFmtId="0" fontId="28" fillId="0" borderId="15" xfId="1" applyFont="1" applyBorder="1" applyAlignment="1">
      <alignment vertical="center" wrapText="1"/>
    </xf>
    <xf numFmtId="0" fontId="7" fillId="0" borderId="5" xfId="0" applyFont="1" applyBorder="1" applyAlignment="1">
      <alignment vertical="center" wrapText="1" readingOrder="1"/>
    </xf>
    <xf numFmtId="0" fontId="28" fillId="0" borderId="11" xfId="1" applyFont="1" applyBorder="1" applyAlignment="1">
      <alignment vertical="center" wrapText="1"/>
    </xf>
    <xf numFmtId="0" fontId="28" fillId="44" borderId="11" xfId="1" applyFont="1" applyFill="1" applyBorder="1" applyAlignment="1">
      <alignment vertical="center" wrapText="1"/>
    </xf>
    <xf numFmtId="0" fontId="28" fillId="44" borderId="15" xfId="1" applyFont="1" applyFill="1" applyBorder="1" applyAlignment="1">
      <alignment vertical="center" wrapText="1"/>
    </xf>
    <xf numFmtId="0" fontId="14" fillId="44" borderId="11" xfId="1" applyFill="1" applyBorder="1" applyAlignment="1">
      <alignment vertical="center" wrapText="1"/>
    </xf>
    <xf numFmtId="0" fontId="31" fillId="8" borderId="16" xfId="0" applyFont="1" applyFill="1" applyBorder="1" applyAlignment="1">
      <alignment vertical="center" wrapText="1"/>
    </xf>
    <xf numFmtId="0" fontId="3" fillId="45" borderId="16" xfId="0" applyFont="1" applyFill="1" applyBorder="1" applyAlignment="1">
      <alignment vertical="center" wrapText="1"/>
    </xf>
    <xf numFmtId="0" fontId="3" fillId="45" borderId="25" xfId="0" applyFont="1" applyFill="1" applyBorder="1" applyAlignment="1">
      <alignment vertical="center" wrapText="1"/>
    </xf>
    <xf numFmtId="0" fontId="29" fillId="0" borderId="26" xfId="0" applyFont="1" applyBorder="1" applyAlignment="1">
      <alignment vertical="center" wrapText="1"/>
    </xf>
    <xf numFmtId="0" fontId="7" fillId="0" borderId="17" xfId="0" applyFont="1" applyBorder="1" applyAlignment="1">
      <alignment vertical="center" wrapText="1" readingOrder="1"/>
    </xf>
    <xf numFmtId="0" fontId="7" fillId="0" borderId="19" xfId="0" applyFont="1" applyBorder="1" applyAlignment="1">
      <alignment vertical="center" wrapText="1" readingOrder="1"/>
    </xf>
    <xf numFmtId="0" fontId="1" fillId="45" borderId="24" xfId="0" applyFont="1" applyFill="1" applyBorder="1" applyAlignment="1">
      <alignment vertical="center" wrapText="1"/>
    </xf>
    <xf numFmtId="0" fontId="29" fillId="45" borderId="11" xfId="0" applyFont="1" applyFill="1" applyBorder="1" applyAlignment="1">
      <alignment vertical="center" wrapText="1"/>
    </xf>
    <xf numFmtId="0" fontId="29" fillId="45" borderId="1" xfId="0" applyFont="1" applyFill="1" applyBorder="1" applyAlignment="1">
      <alignment vertical="center" wrapText="1"/>
    </xf>
    <xf numFmtId="0" fontId="14" fillId="45" borderId="1" xfId="1" applyFill="1" applyBorder="1" applyAlignment="1">
      <alignment vertical="center" wrapText="1"/>
    </xf>
    <xf numFmtId="0" fontId="29" fillId="0" borderId="1" xfId="0" applyFont="1" applyBorder="1" applyAlignment="1">
      <alignment vertical="center" wrapText="1"/>
    </xf>
    <xf numFmtId="0" fontId="14" fillId="0" borderId="1" xfId="1" applyBorder="1" applyAlignment="1">
      <alignment vertical="center" wrapText="1"/>
    </xf>
    <xf numFmtId="0" fontId="31" fillId="8" borderId="20" xfId="0" applyFont="1" applyFill="1" applyBorder="1" applyAlignment="1">
      <alignment vertical="center" wrapText="1"/>
    </xf>
    <xf numFmtId="0" fontId="7" fillId="0" borderId="21" xfId="0" applyFont="1" applyBorder="1" applyAlignment="1">
      <alignment vertical="center" wrapText="1" readingOrder="1"/>
    </xf>
    <xf numFmtId="0" fontId="7" fillId="0" borderId="23" xfId="0" applyFont="1" applyBorder="1" applyAlignment="1">
      <alignment vertical="center" wrapText="1" readingOrder="1"/>
    </xf>
    <xf numFmtId="0" fontId="0" fillId="51" borderId="0" xfId="0" applyFill="1"/>
    <xf numFmtId="0" fontId="16"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FA87F6"/>
      <color rgb="FFF069FA"/>
      <color rgb="FFEE46FA"/>
      <color rgb="FF44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BCC2F641-414B-4ECA-A42E-49EBA1CC5BA8}">
    <Anchor>
      <Comment id="{F51C2CDB-16CA-44C8-9076-C4D17536E275}"/>
    </Anchor>
    <History>
      <Event time="2025-01-23T22:23:10.53" id="{352890D1-3DD7-43B5-B327-9023AF632259}">
        <Attribution userId="S::287055@ust.com::8c1cc25c-f17e-4a62-b68f-87edc12e4cd5" userName="Angela King(UST,US)" userProvider="AD"/>
        <Anchor>
          <Comment id="{F51C2CDB-16CA-44C8-9076-C4D17536E275}"/>
        </Anchor>
        <Create/>
      </Event>
      <Event time="2025-01-23T22:23:10.53" id="{F9224C10-1FDB-4F54-A676-F3BF8A3A4B73}">
        <Attribution userId="S::287055@ust.com::8c1cc25c-f17e-4a62-b68f-87edc12e4cd5" userName="Angela King(UST,US)" userProvider="AD"/>
        <Anchor>
          <Comment id="{F51C2CDB-16CA-44C8-9076-C4D17536E275}"/>
        </Anchor>
        <Assign userId="S::284109@ust.com::d02a3919-5f37-404a-b37b-818a4ee07da4" userName="Leif Drake(UST,US)" userProvider="AD"/>
      </Event>
      <Event time="2025-01-23T22:23:10.53" id="{273B93EE-AA5F-498A-810F-3A318C907C0B}">
        <Attribution userId="S::287055@ust.com::8c1cc25c-f17e-4a62-b68f-87edc12e4cd5" userName="Angela King(UST,US)" userProvider="AD"/>
        <Anchor>
          <Comment id="{F51C2CDB-16CA-44C8-9076-C4D17536E275}"/>
        </Anchor>
        <SetTitle title="@Leif Drake(UST,US) I'm curious about the reason for this group tag on these answers. Also, how can we conclude that someone interested in budgeting has the goal of emergency fund?"/>
      </Event>
    </History>
  </Task>
  <Task id="{5BE19D80-52E5-4359-9B9E-2061B4C6EAE2}">
    <Anchor>
      <Comment id="{D39480DC-62BE-4C36-A4BE-51233F7F00DF}"/>
    </Anchor>
    <History>
      <Event time="2025-01-22T01:32:44.60" id="{2E935C72-4737-4DD9-8931-69D06AB7C969}">
        <Attribution userId="S::284109@ust.com::d02a3919-5f37-404a-b37b-818a4ee07da4" userName="Leif Drake(UST,US)" userProvider="AD"/>
        <Anchor>
          <Comment id="{D39480DC-62BE-4C36-A4BE-51233F7F00DF}"/>
        </Anchor>
        <Create/>
      </Event>
      <Event time="2025-01-22T01:32:44.60" id="{3B198B9D-0584-4229-819C-EF51E0A36E50}">
        <Attribution userId="S::284109@ust.com::d02a3919-5f37-404a-b37b-818a4ee07da4" userName="Leif Drake(UST,US)" userProvider="AD"/>
        <Anchor>
          <Comment id="{D39480DC-62BE-4C36-A4BE-51233F7F00DF}"/>
        </Anchor>
        <Assign userId="S::287055@ust.com::8c1cc25c-f17e-4a62-b68f-87edc12e4cd5" userName="Angela King(UST,US)" userProvider="AD"/>
      </Event>
      <Event time="2025-01-22T01:32:44.60" id="{E8EBD63C-A9A8-4503-A62E-94CF66B23B63}">
        <Attribution userId="S::284109@ust.com::d02a3919-5f37-404a-b37b-818a4ee07da4" userName="Leif Drake(UST,US)" userProvider="AD"/>
        <Anchor>
          <Comment id="{D39480DC-62BE-4C36-A4BE-51233F7F00DF}"/>
        </Anchor>
        <SetTitle title="@Angela King(UST,US) @Michael Stephenson(UST,US) We filled in a few new tags to cover these areas (in red). Let us know what you think, or if you'd like to handle it differently?"/>
      </Event>
    </History>
  </Task>
</Tasks>
</file>

<file path=xl/persons/person.xml><?xml version="1.0" encoding="utf-8"?>
<personList xmlns="http://schemas.microsoft.com/office/spreadsheetml/2018/threadedcomments" xmlns:x="http://schemas.openxmlformats.org/spreadsheetml/2006/main">
  <person displayName="Leif Drake(UST,US)" id="{0411C380-DE71-47CA-A9A2-36D861686066}" userId="284109@ust.com" providerId="PeoplePicker"/>
  <person displayName="Michael Stephenson(UST,US)" id="{666D6934-62FB-4A6D-8090-03C56468D9BC}" userId="284164@ust.com" providerId="PeoplePicker"/>
  <person displayName="Angela King(UST,US)" id="{ACA8BEAC-A2D4-4919-A310-070559AAE3D1}" userId="287055@ust.com" providerId="PeoplePicker"/>
  <person displayName="Mariano Coni(UST,AR)" id="{D2F46854-4830-45E1-8590-C03017E4B7BD}" userId="287348@ust.com" providerId="PeoplePicker"/>
  <person displayName="Leif Drake(UST,US)" id="{60E0F884-BCAB-42F6-8BB6-620AA56A57E1}" userId="S::284109@ust.com::d02a3919-5f37-404a-b37b-818a4ee07da4" providerId="AD"/>
  <person displayName="Angela King(UST,US)" id="{FF315865-9281-4F7C-90D7-02761F9F812B}" userId="S::287055@ust.com::8c1cc25c-f17e-4a62-b68f-87edc12e4cd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8" dT="2025-01-22T01:32:44.74" personId="{60E0F884-BCAB-42F6-8BB6-620AA56A57E1}" id="{D39480DC-62BE-4C36-A4BE-51233F7F00DF}">
    <text>@Angela King(UST,US) @Michael Stephenson(UST,US) We filled in a few new tags to cover these areas (in red).  Let us know what you think, or if you'd like to handle it differently?</text>
    <mentions>
      <mention mentionpersonId="{ACA8BEAC-A2D4-4919-A310-070559AAE3D1}" mentionId="{4624369B-4967-4EF7-BF82-3F2D319F5854}" startIndex="0" length="20"/>
      <mention mentionpersonId="{666D6934-62FB-4A6D-8090-03C56468D9BC}" mentionId="{AE6A5766-C21D-481A-9A65-22297B401856}" startIndex="21" length="27"/>
    </mentions>
  </threadedComment>
  <threadedComment ref="H8" dT="2025-01-23T22:20:15.61" personId="{FF315865-9281-4F7C-90D7-02761F9F812B}" id="{83F88951-56A4-462E-8BCA-8D892B5134EB}" parentId="{D39480DC-62BE-4C36-A4BE-51233F7F00DF}">
    <text>The new tags look good to me!</text>
  </threadedComment>
  <threadedComment ref="I11" dT="2025-01-23T22:23:10.66" personId="{FF315865-9281-4F7C-90D7-02761F9F812B}" id="{F51C2CDB-16CA-44C8-9076-C4D17536E275}">
    <text>@Leif Drake(UST,US) I'm curious about the reason for this group tag on these answers. Also, how can we conclude that someone interested in budgeting has the goal of emergency fund?</text>
    <mentions>
      <mention mentionpersonId="{0411C380-DE71-47CA-A9A2-36D861686066}" mentionId="{07F15473-1392-4740-8E19-8880A405A486}" startIndex="0" length="19"/>
    </mentions>
  </threadedComment>
  <threadedComment ref="I11" dT="2025-01-24T18:49:22.19" personId="{60E0F884-BCAB-42F6-8BB6-620AA56A57E1}" id="{1EEA8505-DAB2-4473-982E-886D4F8086D3}" parentId="{F51C2CDB-16CA-44C8-9076-C4D17536E275}">
    <text xml:space="preserve">this seemed like the best of the existing 'Group' tag, but it is not perfect.  We can rework the group tags as we run into clear limitations.
EMF and Budget are very closely linked.  EMF is usually measured as a multiple of your budget, like 3 or 6months of expenses.  So you need a Budget to get EMF magic number, and if you're interested in Budgeting, we'll suggest you track and your EMF goal
</text>
  </threadedComment>
  <threadedComment ref="A22" dT="2025-03-31T17:24:50.48" personId="{FF315865-9281-4F7C-90D7-02761F9F812B}" id="{213791E4-7F70-4547-9CCF-47F95EE08891}">
    <text>@Mariano Coni(UST,AR) @Leif Drake(UST,US) new questions/answers to help with char count!</text>
    <mentions>
      <mention mentionpersonId="{D2F46854-4830-45E1-8590-C03017E4B7BD}" mentionId="{1CAB8B7E-3865-4D9B-BA4D-470CA5EBD34E}" startIndex="0" length="21"/>
      <mention mentionpersonId="{0411C380-DE71-47CA-A9A2-36D861686066}" mentionId="{CCF98C4F-1CDA-4771-B17A-50776BB4EAA0}" startIndex="22" length="19"/>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videos.ctfassets.net/pmoql4aw53io/fLHvCorN4uCZI7vL13FNe/fe0f5f334c47343d9ab3728401d69eee/onb_web_benefits.mp4" TargetMode="External"/><Relationship Id="rId13" Type="http://schemas.openxmlformats.org/officeDocument/2006/relationships/vmlDrawing" Target="../drawings/vmlDrawing1.vml"/><Relationship Id="rId3" Type="http://schemas.openxmlformats.org/officeDocument/2006/relationships/hyperlink" Target="https://videos.ctfassets.net/pmoql4aw53io/fLHvCorN4uCZI7vL13FNe/fe0f5f334c47343d9ab3728401d69eee/onb_web_benefits.mp4" TargetMode="External"/><Relationship Id="rId7" Type="http://schemas.openxmlformats.org/officeDocument/2006/relationships/hyperlink" Target="https://videos.ctfassets.net/pmoql4aw53io/MuB3xyTncjpeIG3yDGXMN/c87d6d0b6fdd052f55bfabdb4b011cf1/onb_web_budged.mp4" TargetMode="External"/><Relationship Id="rId12" Type="http://schemas.openxmlformats.org/officeDocument/2006/relationships/hyperlink" Target="https://videos.ctfassets.net/pmoql4aw53io/fLHvCorN4uCZI7vL13FNe/fe0f5f334c47343d9ab3728401d69eee/onb_web_benefits.mp4" TargetMode="External"/><Relationship Id="rId2" Type="http://schemas.openxmlformats.org/officeDocument/2006/relationships/hyperlink" Target="https://videos.ctfassets.net/pmoql4aw53io/6Q4vuk0UDEcJgjVrcsscBF/242e3d1465526dad0ab5cc13ba27d545/onb_web_debt.mp4" TargetMode="External"/><Relationship Id="rId16" Type="http://schemas.microsoft.com/office/2019/04/relationships/documenttask" Target="../documenttasks/documenttask1.xml"/><Relationship Id="rId1" Type="http://schemas.openxmlformats.org/officeDocument/2006/relationships/hyperlink" Target="https://videos.ctfassets.net/pmoql4aw53io/MuB3xyTncjpeIG3yDGXMN/c87d6d0b6fdd052f55bfabdb4b011cf1/onb_web_budged.mp4" TargetMode="External"/><Relationship Id="rId6" Type="http://schemas.openxmlformats.org/officeDocument/2006/relationships/hyperlink" Target="https://videos.ctfassets.net/pmoql4aw53io/XUE1VbhOE88IWPWawhLxZ/20f0337d8957ddadfdd028699e7b66f8/onb_web_buy_home.mp4" TargetMode="External"/><Relationship Id="rId11" Type="http://schemas.openxmlformats.org/officeDocument/2006/relationships/hyperlink" Target="https://videos.ctfassets.net/pmoql4aw53io/4nSxcJwGTfzy1PfjnZM4FB/9c1b4067e968ad1960ea46cd7cce7eb2/onb_web_occams.mp4" TargetMode="External"/><Relationship Id="rId5" Type="http://schemas.openxmlformats.org/officeDocument/2006/relationships/hyperlink" Target="https://videos.ctfassets.net/pmoql4aw53io/4nSxcJwGTfzy1PfjnZM4FB/9c1b4067e968ad1960ea46cd7cce7eb2/onb_web_occams.mp4" TargetMode="External"/><Relationship Id="rId15" Type="http://schemas.microsoft.com/office/2017/10/relationships/threadedComment" Target="../threadedComments/threadedComment1.xml"/><Relationship Id="rId10" Type="http://schemas.openxmlformats.org/officeDocument/2006/relationships/hyperlink" Target="https://videos.ctfassets.net/pmoql4aw53io/fLHvCorN4uCZI7vL13FNe/fe0f5f334c47343d9ab3728401d69eee/onb_web_benefits.mp4" TargetMode="External"/><Relationship Id="rId4" Type="http://schemas.openxmlformats.org/officeDocument/2006/relationships/hyperlink" Target="https://videos.ctfassets.net/pmoql4aw53io/fLHvCorN4uCZI7vL13FNe/fe0f5f334c47343d9ab3728401d69eee/onb_web_benefits.mp4" TargetMode="External"/><Relationship Id="rId9" Type="http://schemas.openxmlformats.org/officeDocument/2006/relationships/hyperlink" Target="https://videos.ctfassets.net/pmoql4aw53io/fLHvCorN4uCZI7vL13FNe/fe0f5f334c47343d9ab3728401d69eee/onb_web_benefits.mp4" TargetMode="External"/><Relationship Id="rId1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figma.com/design/i47pYiJ10vqlvx0co3h46m/Q4-2022---Q1-2023-Content-Articles-(batch-16-23)?node-id=463-27291&amp;t=QfOhOC59Yq3Jb2Zy-1" TargetMode="External"/><Relationship Id="rId299" Type="http://schemas.openxmlformats.org/officeDocument/2006/relationships/hyperlink" Target="https://paven.io/content/article/5DGeQhtHFhCimJgO58Iczf" TargetMode="External"/><Relationship Id="rId21" Type="http://schemas.openxmlformats.org/officeDocument/2006/relationships/hyperlink" Target="https://www.figma.com/design/i47pYiJ10vqlvx0co3h46m/Q4-2022---Q1-2023-Content-Articles-(batch-16-23)?node-id=456-25464&amp;t=iqjB7zm9AtdsPASK-1" TargetMode="External"/><Relationship Id="rId63" Type="http://schemas.openxmlformats.org/officeDocument/2006/relationships/hyperlink" Target="https://www.figma.com/design/i47pYiJ10vqlvx0co3h46m/Q4-2022---Q1-2023-Content-Articles-(batch-16-23)?node-id=456-39142&amp;t=ylcRdbapROHtfQrj-1" TargetMode="External"/><Relationship Id="rId159" Type="http://schemas.openxmlformats.org/officeDocument/2006/relationships/hyperlink" Target="https://paven.io/content/article/CZcZvvvFjtJcHiHM3DzN8" TargetMode="External"/><Relationship Id="rId324" Type="http://schemas.openxmlformats.org/officeDocument/2006/relationships/hyperlink" Target="https://paven.io/content/article/7lFtpVjgylBO9lWx6xsLkf" TargetMode="External"/><Relationship Id="rId366" Type="http://schemas.openxmlformats.org/officeDocument/2006/relationships/hyperlink" Target="https://paven.io/content/article/5sfGe7uhXm82Iuv7r3YOwf" TargetMode="External"/><Relationship Id="rId170" Type="http://schemas.openxmlformats.org/officeDocument/2006/relationships/hyperlink" Target="https://paven.io/content/article/lwALm8GoRRB2UNy66fjhy" TargetMode="External"/><Relationship Id="rId226" Type="http://schemas.openxmlformats.org/officeDocument/2006/relationships/hyperlink" Target="https://www.figma.com/design/i47pYiJ10vqlvx0co3h46m/Q4-2022---Q1-2023-Content-Articles--batch-16-23-?node-id=459-82421&amp;t=i5sisu6XWF9VA7BU-0" TargetMode="External"/><Relationship Id="rId433" Type="http://schemas.openxmlformats.org/officeDocument/2006/relationships/hyperlink" Target="https://www.figma.com/design/uZMJGIEDq3IFjseOrDLe7j/Q3-2023-Content-Articles?node-id=3683-5635&amp;t=RjSzlPHx8wGfbUcK-1" TargetMode="External"/><Relationship Id="rId268" Type="http://schemas.openxmlformats.org/officeDocument/2006/relationships/hyperlink" Target="https://paven.io/content/article/7rHdxtIOKl9vahwgShViyP" TargetMode="External"/><Relationship Id="rId475" Type="http://schemas.openxmlformats.org/officeDocument/2006/relationships/hyperlink" Target="https://www.figma.com/design/UOXktKMNWVxBSuZJhNGdyu/Goals?node-id=3506-15659&amp;t=d6MHhwFJ4Ajl1iXH-1" TargetMode="External"/><Relationship Id="rId32" Type="http://schemas.openxmlformats.org/officeDocument/2006/relationships/hyperlink" Target="https://www.figma.com/design/aSTWrOeNiAFlD09ABian5K/Q3-2024-Content-Articles?node-id=5456-71362&amp;t=zVi6fJuH8A3kyTdv-1" TargetMode="External"/><Relationship Id="rId74" Type="http://schemas.openxmlformats.org/officeDocument/2006/relationships/hyperlink" Target="https://www.figma.com/design/i47pYiJ10vqlvx0co3h46m/Q4-2022---Q1-2023-Content-Articles-(batch-16-23)?node-id=459-43485&amp;t=V1quavg1MmDh9NVO-1" TargetMode="External"/><Relationship Id="rId128" Type="http://schemas.openxmlformats.org/officeDocument/2006/relationships/hyperlink" Target="https://www.figma.com/design/m69lHYikNQaP9uHS0HOTS0/Q1-2024-Content-Articles?node-id=3380-438144&amp;t=pYNmmGOBJVcmM98o-1" TargetMode="External"/><Relationship Id="rId335" Type="http://schemas.openxmlformats.org/officeDocument/2006/relationships/hyperlink" Target="https://paven.io/content/article/6ax6mGZEAkzbPF8W8yxwtI" TargetMode="External"/><Relationship Id="rId377" Type="http://schemas.openxmlformats.org/officeDocument/2006/relationships/hyperlink" Target="https://paven.io/benefits/article/3xFrNb6oN95ndELeTISCZm" TargetMode="External"/><Relationship Id="rId500" Type="http://schemas.openxmlformats.org/officeDocument/2006/relationships/hyperlink" Target="https://www.figma.com/design/W6E6iz9oGIXW7Sso0rxbIs/Q2-2025-Content-Articles?node-id=4117-2102&amp;t=XjeBpdKIVK084eQs-1" TargetMode="External"/><Relationship Id="rId5" Type="http://schemas.openxmlformats.org/officeDocument/2006/relationships/hyperlink" Target="https://www.figma.com/design/HKyVNfdIqnvNaKD4K8Iomr/Q4-2024-Content-Articles?node-id=0-1&amp;t=AqgdEqfLl4OMOSTi-1" TargetMode="External"/><Relationship Id="rId181" Type="http://schemas.openxmlformats.org/officeDocument/2006/relationships/hyperlink" Target="https://paven.io/content/article/4vG7iuIiWd1VG5n01X2afX" TargetMode="External"/><Relationship Id="rId237" Type="http://schemas.openxmlformats.org/officeDocument/2006/relationships/hyperlink" Target="https://paven.io/benefits/article/34nlgdxtAqTq2Z8Z3WDxBh" TargetMode="External"/><Relationship Id="rId402" Type="http://schemas.openxmlformats.org/officeDocument/2006/relationships/hyperlink" Target="https://www.figma.com/design/4zIxPm1xJMXTzmg2RSOzMH/Q2-2023-Content-Articles?node-id=3729-23197&amp;t=fe1fCl3NIF7BLK6G-1" TargetMode="External"/><Relationship Id="rId279" Type="http://schemas.openxmlformats.org/officeDocument/2006/relationships/hyperlink" Target="https://paven.io/content/article/6LItN1K4USGOcLBAoJkV1K" TargetMode="External"/><Relationship Id="rId444" Type="http://schemas.openxmlformats.org/officeDocument/2006/relationships/hyperlink" Target="https://www.figma.com/design/gz3fc7somKwSzVzDbmgdM4/Q4-2023-Content-Articles?node-id=3077-15221&amp;t=fE9pUkwvfnUKyH7f-1" TargetMode="External"/><Relationship Id="rId486" Type="http://schemas.openxmlformats.org/officeDocument/2006/relationships/hyperlink" Target="https://www.figma.com/design/UOXktKMNWVxBSuZJhNGdyu/Goals?node-id=3508-49766&amp;t=d6MHhwFJ4Ajl1iXH-1" TargetMode="External"/><Relationship Id="rId43" Type="http://schemas.openxmlformats.org/officeDocument/2006/relationships/hyperlink" Target="https://www.figma.com/design/Pb5fwUNVNDCjWaQ8QVAihm/Q2-2024-Content-Articles?node-id=1614-113286&amp;t=rz4v3A4dHAOgTO1E-1" TargetMode="External"/><Relationship Id="rId139" Type="http://schemas.openxmlformats.org/officeDocument/2006/relationships/hyperlink" Target="https://www.figma.com/design/m69lHYikNQaP9uHS0HOTS0/Q1-2024-Content-Articles?node-id=3378-2878&amp;t=pYNmmGOBJVcmM98o-1" TargetMode="External"/><Relationship Id="rId290" Type="http://schemas.openxmlformats.org/officeDocument/2006/relationships/hyperlink" Target="https://paven.io/content/article/5i9cosAfHxAXEfBxaIez5m" TargetMode="External"/><Relationship Id="rId304" Type="http://schemas.openxmlformats.org/officeDocument/2006/relationships/hyperlink" Target="https://paven.io/content/article/30eYD7XlZWOBONGOLFmqXe" TargetMode="External"/><Relationship Id="rId346" Type="http://schemas.openxmlformats.org/officeDocument/2006/relationships/hyperlink" Target="https://paven.io/content/article/2Eh4b8U1rjfHPY4N2MxEW6" TargetMode="External"/><Relationship Id="rId388" Type="http://schemas.openxmlformats.org/officeDocument/2006/relationships/hyperlink" Target="https://paven.io/benefits/article/37K6qv3YXJWe5lc4geHKqv" TargetMode="External"/><Relationship Id="rId85" Type="http://schemas.openxmlformats.org/officeDocument/2006/relationships/hyperlink" Target="https://www.figma.com/design/i47pYiJ10vqlvx0co3h46m/Q4-2022---Q1-2023-Content-Articles-(batch-16-23)?node-id=374-36560&amp;t=V1quavg1MmDh9NVO-1" TargetMode="External"/><Relationship Id="rId150" Type="http://schemas.openxmlformats.org/officeDocument/2006/relationships/hyperlink" Target="https://paven.io/content/article/7MiY8sNHiCZuc076FEazOe" TargetMode="External"/><Relationship Id="rId192" Type="http://schemas.openxmlformats.org/officeDocument/2006/relationships/hyperlink" Target="https://paven.io/content/article/1PVeIS7NGs54PPOaefT47D" TargetMode="External"/><Relationship Id="rId206" Type="http://schemas.openxmlformats.org/officeDocument/2006/relationships/hyperlink" Target="https://paven.io/content/article/10hEZDS9HPFQI88Dy49DTh" TargetMode="External"/><Relationship Id="rId413" Type="http://schemas.openxmlformats.org/officeDocument/2006/relationships/hyperlink" Target="https://www.figma.com/design/uZMJGIEDq3IFjseOrDLe7j/Q3-2023-Content-Articles?node-id=3684-17931&amp;t=RjSzlPHx8wGfbUcK-1" TargetMode="External"/><Relationship Id="rId248" Type="http://schemas.openxmlformats.org/officeDocument/2006/relationships/hyperlink" Target="https://paven.io/content/article/4fidwgcCBLhNbpfnNCmxOg" TargetMode="External"/><Relationship Id="rId455" Type="http://schemas.openxmlformats.org/officeDocument/2006/relationships/hyperlink" Target="https://www.figma.com/design/UOXktKMNWVxBSuZJhNGdyu/Goals?node-id=3496-10080&amp;t=d6MHhwFJ4Ajl1iXH-1" TargetMode="External"/><Relationship Id="rId497" Type="http://schemas.openxmlformats.org/officeDocument/2006/relationships/hyperlink" Target="https://www.figma.com/design/W6E6iz9oGIXW7Sso0rxbIs/Q2-2025-Content-Articles?node-id=3745-6305&amp;t=XjeBpdKIVK084eQs-1" TargetMode="External"/><Relationship Id="rId12" Type="http://schemas.openxmlformats.org/officeDocument/2006/relationships/hyperlink" Target="https://www.figma.com/design/UY5lho3pQ9DqMFgAyaZsmB/Q1-2025-Content-Articles?node-id=465-2030&amp;t=5scixHHFIkKQm9XJ-1" TargetMode="External"/><Relationship Id="rId108" Type="http://schemas.openxmlformats.org/officeDocument/2006/relationships/hyperlink" Target="https://www.figma.com/design/i47pYiJ10vqlvx0co3h46m/Q4-2022---Q1-2023-Content-Articles-(batch-16-23)?node-id=462-22085&amp;t=QfOhOC59Yq3Jb2Zy-1" TargetMode="External"/><Relationship Id="rId315" Type="http://schemas.openxmlformats.org/officeDocument/2006/relationships/hyperlink" Target="https://paven.io/content/article/4h0YqeMkXe0K25pSD5ldlq" TargetMode="External"/><Relationship Id="rId357" Type="http://schemas.openxmlformats.org/officeDocument/2006/relationships/hyperlink" Target="https://paven.io/content/article/3XqFf1ZUg5WbOKoEFksZ5Z" TargetMode="External"/><Relationship Id="rId54" Type="http://schemas.openxmlformats.org/officeDocument/2006/relationships/hyperlink" Target="https://www.figma.com/design/Pb5fwUNVNDCjWaQ8QVAihm/Q2-2024-Content-Articles?node-id=1874-4414&amp;t=rz4v3A4dHAOgTO1E-1" TargetMode="External"/><Relationship Id="rId96" Type="http://schemas.openxmlformats.org/officeDocument/2006/relationships/hyperlink" Target="https://www.figma.com/design/i47pYiJ10vqlvx0co3h46m/Q4-2022---Q1-2023-Content-Articles-(batch-16-23)?node-id=459-82419&amp;t=V1quavg1MmDh9NVO-1" TargetMode="External"/><Relationship Id="rId161" Type="http://schemas.openxmlformats.org/officeDocument/2006/relationships/hyperlink" Target="https://paven.io/content/article/5hayL3vE1ypoDE8ELKcbtJ" TargetMode="External"/><Relationship Id="rId217" Type="http://schemas.openxmlformats.org/officeDocument/2006/relationships/hyperlink" Target="https://paven.io/content/article/43urikfZgzg2uJrCrawnP1" TargetMode="External"/><Relationship Id="rId399" Type="http://schemas.openxmlformats.org/officeDocument/2006/relationships/hyperlink" Target="https://www.figma.com/design/4zIxPm1xJMXTzmg2RSOzMH/Q2-2023-Content-Articles?node-id=3704-17750&amp;t=fe1fCl3NIF7BLK6G-1" TargetMode="External"/><Relationship Id="rId259" Type="http://schemas.openxmlformats.org/officeDocument/2006/relationships/hyperlink" Target="https://paven.io/benefits/article/2GsW4fbTdPK4dUzW0i2d7o" TargetMode="External"/><Relationship Id="rId424" Type="http://schemas.openxmlformats.org/officeDocument/2006/relationships/hyperlink" Target="https://www.figma.com/design/uZMJGIEDq3IFjseOrDLe7j/Q3-2023-Content-Articles?node-id=3683-13248&amp;t=RjSzlPHx8wGfbUcK-1" TargetMode="External"/><Relationship Id="rId466" Type="http://schemas.openxmlformats.org/officeDocument/2006/relationships/hyperlink" Target="https://www.figma.com/design/UOXktKMNWVxBSuZJhNGdyu/Goals?node-id=3498-37136&amp;t=d6MHhwFJ4Ajl1iXH-1" TargetMode="External"/><Relationship Id="rId23" Type="http://schemas.openxmlformats.org/officeDocument/2006/relationships/hyperlink" Target="https://www.figma.com/design/i47pYiJ10vqlvx0co3h46m/Q4-2022---Q1-2023-Content-Articles-(batch-16-23)?node-id=456-25466&amp;t=iqjB7zm9AtdsPASK-1" TargetMode="External"/><Relationship Id="rId119" Type="http://schemas.openxmlformats.org/officeDocument/2006/relationships/hyperlink" Target="https://www.figma.com/design/i47pYiJ10vqlvx0co3h46m/Q4-2022---Q1-2023-Content-Articles-(batch-16-23)?node-id=463-27293&amp;t=QfOhOC59Yq3Jb2Zy-1" TargetMode="External"/><Relationship Id="rId270" Type="http://schemas.openxmlformats.org/officeDocument/2006/relationships/hyperlink" Target="https://paven.io/benefits/article/ayHeah7fCUQWdWf5sONVQ" TargetMode="External"/><Relationship Id="rId326" Type="http://schemas.openxmlformats.org/officeDocument/2006/relationships/hyperlink" Target="https://paven.io/content/article/3B9ITWcDxmLWvqTO8zqncw" TargetMode="External"/><Relationship Id="rId65" Type="http://schemas.openxmlformats.org/officeDocument/2006/relationships/hyperlink" Target="https://www.figma.com/design/i47pYiJ10vqlvx0co3h46m/Q4-2022---Q1-2023-Content-Articles-(batch-16-23)?node-id=456-39140&amp;t=V1quavg1MmDh9NVO-1" TargetMode="External"/><Relationship Id="rId130" Type="http://schemas.openxmlformats.org/officeDocument/2006/relationships/hyperlink" Target="https://www.figma.com/design/m69lHYikNQaP9uHS0HOTS0/Q1-2024-Content-Articles?node-id=3380-465585&amp;t=pYNmmGOBJVcmM98o-1" TargetMode="External"/><Relationship Id="rId368" Type="http://schemas.openxmlformats.org/officeDocument/2006/relationships/hyperlink" Target="https://paven.io/content/article/1iAG8ffGoj4vdRGfvKODiD" TargetMode="External"/><Relationship Id="rId172" Type="http://schemas.openxmlformats.org/officeDocument/2006/relationships/hyperlink" Target="https://paven.io/content/article/4EdrGH95P0rcBrdli5jKXB" TargetMode="External"/><Relationship Id="rId228" Type="http://schemas.openxmlformats.org/officeDocument/2006/relationships/hyperlink" Target="https://paven.io/simulator/article/4m9ObHleGYAHetpJwNzLRF" TargetMode="External"/><Relationship Id="rId435" Type="http://schemas.openxmlformats.org/officeDocument/2006/relationships/hyperlink" Target="https://www.figma.com/design/uZMJGIEDq3IFjseOrDLe7j/Q3-2023-Content-Articles?node-id=3683-5636&amp;t=RjSzlPHx8wGfbUcK-1" TargetMode="External"/><Relationship Id="rId477" Type="http://schemas.openxmlformats.org/officeDocument/2006/relationships/hyperlink" Target="https://www.figma.com/design/UOXktKMNWVxBSuZJhNGdyu/Goals?node-id=3506-7718&amp;t=d6MHhwFJ4Ajl1iXH-1" TargetMode="External"/><Relationship Id="rId281" Type="http://schemas.openxmlformats.org/officeDocument/2006/relationships/hyperlink" Target="https://paven.io/benefits/article/2n6ebhc1JmSHRjq1hlqEAc" TargetMode="External"/><Relationship Id="rId337" Type="http://schemas.openxmlformats.org/officeDocument/2006/relationships/hyperlink" Target="https://paven.io/content/article/1jCgND4BcVJdagrJK9uKW8" TargetMode="External"/><Relationship Id="rId502" Type="http://schemas.openxmlformats.org/officeDocument/2006/relationships/hyperlink" Target="https://www.figma.com/design/W6E6iz9oGIXW7Sso0rxbIs/Q2-2025-Content-Articles?node-id=4363-5177&amp;t=XjeBpdKIVK084eQs-1" TargetMode="External"/><Relationship Id="rId34" Type="http://schemas.openxmlformats.org/officeDocument/2006/relationships/hyperlink" Target="https://www.figma.com/design/aSTWrOeNiAFlD09ABian5K/Q3-2024-Content-Articles?node-id=5001-20714&amp;t=zVi6fJuH8A3kyTdv-1" TargetMode="External"/><Relationship Id="rId76" Type="http://schemas.openxmlformats.org/officeDocument/2006/relationships/hyperlink" Target="https://www.figma.com/design/i47pYiJ10vqlvx0co3h46m/Q4-2022---Q1-2023-Content-Articles-(batch-16-23)?node-id=364-20934&amp;t=V1quavg1MmDh9NVO-1" TargetMode="External"/><Relationship Id="rId141" Type="http://schemas.openxmlformats.org/officeDocument/2006/relationships/hyperlink" Target="https://www.figma.com/design/m69lHYikNQaP9uHS0HOTS0/Q1-2024-Content-Articles?node-id=3378-39941&amp;t=pYNmmGOBJVcmM98o-1" TargetMode="External"/><Relationship Id="rId379" Type="http://schemas.openxmlformats.org/officeDocument/2006/relationships/hyperlink" Target="https://paven.io/benefits/article/1L6cNuSBWbV4DYnL6QyF12" TargetMode="External"/><Relationship Id="rId7" Type="http://schemas.openxmlformats.org/officeDocument/2006/relationships/hyperlink" Target="https://www.figma.com/design/HKyVNfdIqnvNaKD4K8Iomr/Q4-2024-Content-Articles?node-id=7-2&amp;t=AqgdEqfLl4OMOSTi-1" TargetMode="External"/><Relationship Id="rId183" Type="http://schemas.openxmlformats.org/officeDocument/2006/relationships/hyperlink" Target="https://paven.io/benefits/article/3iNseJtkBv6m5HNQV8QjDC" TargetMode="External"/><Relationship Id="rId239" Type="http://schemas.openxmlformats.org/officeDocument/2006/relationships/hyperlink" Target="https://paven.io/benefits/article/KqhuSFoODJlrEVoBt3Eqa" TargetMode="External"/><Relationship Id="rId390" Type="http://schemas.openxmlformats.org/officeDocument/2006/relationships/hyperlink" Target="https://paven.io/benefits/article/7ytYA6U1nLLJROygso7ygy" TargetMode="External"/><Relationship Id="rId404" Type="http://schemas.openxmlformats.org/officeDocument/2006/relationships/hyperlink" Target="https://www.figma.com/design/4zIxPm1xJMXTzmg2RSOzMH/Q2-2023-Content-Articles?node-id=3729-23195&amp;t=fe1fCl3NIF7BLK6G-1" TargetMode="External"/><Relationship Id="rId446" Type="http://schemas.openxmlformats.org/officeDocument/2006/relationships/hyperlink" Target="https://www.figma.com/design/gz3fc7somKwSzVzDbmgdM4/Q4-2023-Content-Articles?node-id=3078-15226&amp;t=fE9pUkwvfnUKyH7f-1" TargetMode="External"/><Relationship Id="rId250" Type="http://schemas.openxmlformats.org/officeDocument/2006/relationships/hyperlink" Target="https://paven.io/content/article/62WsuLd8KT0agFH9E8uHyN" TargetMode="External"/><Relationship Id="rId292" Type="http://schemas.openxmlformats.org/officeDocument/2006/relationships/hyperlink" Target="https://paven.io/content/article/1IqFt8WpM4uacZfsTcGUiz" TargetMode="External"/><Relationship Id="rId306" Type="http://schemas.openxmlformats.org/officeDocument/2006/relationships/hyperlink" Target="https://paven.io/content/article/6bdjgAZq6ysvJBo4f3BaBL" TargetMode="External"/><Relationship Id="rId488" Type="http://schemas.openxmlformats.org/officeDocument/2006/relationships/hyperlink" Target="https://www.figma.com/design/UOXktKMNWVxBSuZJhNGdyu/Goals?node-id=3508-51036&amp;t=d6MHhwFJ4Ajl1iXH-1" TargetMode="External"/><Relationship Id="rId45" Type="http://schemas.openxmlformats.org/officeDocument/2006/relationships/hyperlink" Target="https://www.figma.com/design/Pb5fwUNVNDCjWaQ8QVAihm/Q2-2024-Content-Articles?node-id=1614-69791&amp;t=rz4v3A4dHAOgTO1E-1" TargetMode="External"/><Relationship Id="rId87" Type="http://schemas.openxmlformats.org/officeDocument/2006/relationships/hyperlink" Target="https://www.figma.com/design/i47pYiJ10vqlvx0co3h46m/Q4-2022---Q1-2023-Content-Articles-(batch-16-23)?node-id=377-41082&amp;t=V1quavg1MmDh9NVO-1" TargetMode="External"/><Relationship Id="rId110" Type="http://schemas.openxmlformats.org/officeDocument/2006/relationships/hyperlink" Target="https://www.figma.com/design/i47pYiJ10vqlvx0co3h46m/Q4-2022---Q1-2023-Content-Articles-(batch-16-23)?node-id=462-22087&amp;t=QfOhOC59Yq3Jb2Zy-1" TargetMode="External"/><Relationship Id="rId348" Type="http://schemas.openxmlformats.org/officeDocument/2006/relationships/hyperlink" Target="https://paven.io/content/article/3Q0zXwmtXrfHBEC8phxJZM" TargetMode="External"/><Relationship Id="rId152" Type="http://schemas.openxmlformats.org/officeDocument/2006/relationships/hyperlink" Target="https://paven.io/content/article/5lKy8OxVNCgejG7EfH3fKD" TargetMode="External"/><Relationship Id="rId194" Type="http://schemas.openxmlformats.org/officeDocument/2006/relationships/hyperlink" Target="https://paven.io/content/article/74omo1S558IxKBOvxa3FOF" TargetMode="External"/><Relationship Id="rId208" Type="http://schemas.openxmlformats.org/officeDocument/2006/relationships/hyperlink" Target="https://paven.io/content/article/27qsF992ZH4QiAcAhG2dOB" TargetMode="External"/><Relationship Id="rId415" Type="http://schemas.openxmlformats.org/officeDocument/2006/relationships/hyperlink" Target="https://www.figma.com/design/uZMJGIEDq3IFjseOrDLe7j/Q3-2023-Content-Articles?node-id=3644-4721&amp;t=RjSzlPHx8wGfbUcK-1" TargetMode="External"/><Relationship Id="rId457" Type="http://schemas.openxmlformats.org/officeDocument/2006/relationships/hyperlink" Target="https://www.figma.com/design/UOXktKMNWVxBSuZJhNGdyu/Goals?node-id=3496-5926&amp;t=d6MHhwFJ4Ajl1iXH-1" TargetMode="External"/><Relationship Id="rId261" Type="http://schemas.openxmlformats.org/officeDocument/2006/relationships/hyperlink" Target="https://paven.io/benefits/article/3oGUJCzpqo1VJHViXAXikB" TargetMode="External"/><Relationship Id="rId499" Type="http://schemas.openxmlformats.org/officeDocument/2006/relationships/hyperlink" Target="https://www.figma.com/design/W6E6iz9oGIXW7Sso0rxbIs/Q2-2025-Content-Articles?node-id=3870-2975&amp;t=XjeBpdKIVK084eQs-1" TargetMode="External"/><Relationship Id="rId14" Type="http://schemas.openxmlformats.org/officeDocument/2006/relationships/hyperlink" Target="https://www.figma.com/design/UY5lho3pQ9DqMFgAyaZsmB/Q1-2025-Content-Articles?node-id=647-2859&amp;t=5scixHHFIkKQm9XJ-1" TargetMode="External"/><Relationship Id="rId56" Type="http://schemas.openxmlformats.org/officeDocument/2006/relationships/hyperlink" Target="https://www.figma.com/design/Pb5fwUNVNDCjWaQ8QVAihm/Q2-2024-Content-Articles?node-id=2094-5050&amp;t=rz4v3A4dHAOgTO1E-1" TargetMode="External"/><Relationship Id="rId317" Type="http://schemas.openxmlformats.org/officeDocument/2006/relationships/hyperlink" Target="https://paven.io/content/article/3NgcOMUKLm38mDzlmYLwF1" TargetMode="External"/><Relationship Id="rId359" Type="http://schemas.openxmlformats.org/officeDocument/2006/relationships/hyperlink" Target="https://paven.io/content/article/ZPs1gUQP8UNLdfOcd63Xm" TargetMode="External"/><Relationship Id="rId98" Type="http://schemas.openxmlformats.org/officeDocument/2006/relationships/hyperlink" Target="https://www.figma.com/design/i47pYiJ10vqlvx0co3h46m/Q4-2022---Q1-2023-Content-Articles-(batch-16-23)?node-id=459-82425&amp;t=V1quavg1MmDh9NVO-1" TargetMode="External"/><Relationship Id="rId121" Type="http://schemas.openxmlformats.org/officeDocument/2006/relationships/hyperlink" Target="https://www.figma.com/design/i47pYiJ10vqlvx0co3h46m/Q4-2022---Q1-2023-Content-Articles-(batch-16-23)?node-id=463-29863&amp;t=QfOhOC59Yq3Jb2Zy-1" TargetMode="External"/><Relationship Id="rId163" Type="http://schemas.openxmlformats.org/officeDocument/2006/relationships/hyperlink" Target="https://paven.io/content/article/6T84VV9e9fDftdKikDRksz" TargetMode="External"/><Relationship Id="rId219" Type="http://schemas.openxmlformats.org/officeDocument/2006/relationships/hyperlink" Target="https://paven.io/content/article/OlaJJkToPF2JodIaSd5OX" TargetMode="External"/><Relationship Id="rId370" Type="http://schemas.openxmlformats.org/officeDocument/2006/relationships/hyperlink" Target="https://paven.io/content/article/2ZxsDodiGKqrirk8b0Ayl7" TargetMode="External"/><Relationship Id="rId426" Type="http://schemas.openxmlformats.org/officeDocument/2006/relationships/hyperlink" Target="https://www.figma.com/design/uZMJGIEDq3IFjseOrDLe7j/Q3-2023-Content-Articles?node-id=3683-13249&amp;t=RjSzlPHx8wGfbUcK-1" TargetMode="External"/><Relationship Id="rId230" Type="http://schemas.openxmlformats.org/officeDocument/2006/relationships/hyperlink" Target="https://paven.io/content/article/5xjza1fH94s5LckPzkl6VD" TargetMode="External"/><Relationship Id="rId468" Type="http://schemas.openxmlformats.org/officeDocument/2006/relationships/hyperlink" Target="https://www.figma.com/design/UOXktKMNWVxBSuZJhNGdyu/Goals?node-id=3500-67988&amp;t=d6MHhwFJ4Ajl1iXH-1" TargetMode="External"/><Relationship Id="rId25" Type="http://schemas.openxmlformats.org/officeDocument/2006/relationships/hyperlink" Target="https://www.figma.com/design/i47pYiJ10vqlvx0co3h46m/Q4-2022---Q1-2023-Content-Articles-(batch-16-23)?node-id=456-39136&amp;t=Q2DHer4p4jJQ3cc5-1" TargetMode="External"/><Relationship Id="rId67" Type="http://schemas.openxmlformats.org/officeDocument/2006/relationships/hyperlink" Target="https://www.figma.com/design/i47pYiJ10vqlvx0co3h46m/Q4-2022---Q1-2023-Content-Articles-(batch-16-23)?node-id=456-39143&amp;t=V1quavg1MmDh9NVO-1" TargetMode="External"/><Relationship Id="rId272" Type="http://schemas.openxmlformats.org/officeDocument/2006/relationships/hyperlink" Target="https://paven.io/content/article/7JR0r8UbRsSnOzjVrIFRco" TargetMode="External"/><Relationship Id="rId328" Type="http://schemas.openxmlformats.org/officeDocument/2006/relationships/hyperlink" Target="https://paven.io/benefits/article/5BoGLnjCZiOA8kMCEVkPE6" TargetMode="External"/><Relationship Id="rId132" Type="http://schemas.openxmlformats.org/officeDocument/2006/relationships/hyperlink" Target="https://www.figma.com/design/m69lHYikNQaP9uHS0HOTS0/Q1-2024-Content-Articles?node-id=3378-200746&amp;t=pYNmmGOBJVcmM98o-1" TargetMode="External"/><Relationship Id="rId174" Type="http://schemas.openxmlformats.org/officeDocument/2006/relationships/hyperlink" Target="https://paven.io/content/article/7jBOX3g5w5ONNw06nvapin" TargetMode="External"/><Relationship Id="rId381" Type="http://schemas.openxmlformats.org/officeDocument/2006/relationships/hyperlink" Target="https://paven.io/benefits/article/uIVmIlKiNeDGPPJZgv9Sk" TargetMode="External"/><Relationship Id="rId241" Type="http://schemas.openxmlformats.org/officeDocument/2006/relationships/hyperlink" Target="https://paven.io/benefits/article/6cb8X36mEqaO2iccglROHC" TargetMode="External"/><Relationship Id="rId437" Type="http://schemas.openxmlformats.org/officeDocument/2006/relationships/hyperlink" Target="https://www.figma.com/design/gz3fc7somKwSzVzDbmgdM4/Q4-2023-Content-Articles?node-id=3080-15230&amp;t=fE9pUkwvfnUKyH7f-1" TargetMode="External"/><Relationship Id="rId479" Type="http://schemas.openxmlformats.org/officeDocument/2006/relationships/hyperlink" Target="https://www.figma.com/design/UOXktKMNWVxBSuZJhNGdyu/Goals?node-id=3506-15653&amp;t=d6MHhwFJ4Ajl1iXH-1" TargetMode="External"/><Relationship Id="rId36" Type="http://schemas.openxmlformats.org/officeDocument/2006/relationships/hyperlink" Target="https://www.figma.com/design/aSTWrOeNiAFlD09ABian5K/Q3-2024-Content-Articles?node-id=6157-7964&amp;t=zVi6fJuH8A3kyTdv-1" TargetMode="External"/><Relationship Id="rId283" Type="http://schemas.openxmlformats.org/officeDocument/2006/relationships/hyperlink" Target="https://paven.io/content/article/5ubss1n8Gur0R55hMiXIfS" TargetMode="External"/><Relationship Id="rId339" Type="http://schemas.openxmlformats.org/officeDocument/2006/relationships/hyperlink" Target="https://paven.io/content/article/50oWn84kkJSaZggoQnXRnf" TargetMode="External"/><Relationship Id="rId490" Type="http://schemas.openxmlformats.org/officeDocument/2006/relationships/hyperlink" Target="https://www.figma.com/design/UOXktKMNWVxBSuZJhNGdyu/Goals?node-id=3540-44300&amp;t=d6MHhwFJ4Ajl1iXH-1" TargetMode="External"/><Relationship Id="rId78" Type="http://schemas.openxmlformats.org/officeDocument/2006/relationships/hyperlink" Target="https://www.figma.com/design/i47pYiJ10vqlvx0co3h46m/Q4-2022---Q1-2023-Content-Articles-(batch-16-23)?node-id=364-20937&amp;t=V1quavg1MmDh9NVO-1" TargetMode="External"/><Relationship Id="rId101" Type="http://schemas.openxmlformats.org/officeDocument/2006/relationships/hyperlink" Target="https://www.figma.com/design/i47pYiJ10vqlvx0co3h46m/Q4-2022---Q1-2023-Content-Articles-(batch-16-23)?node-id=461-33993&amp;t=V1quavg1MmDh9NVO-1" TargetMode="External"/><Relationship Id="rId143" Type="http://schemas.openxmlformats.org/officeDocument/2006/relationships/hyperlink" Target="https://www.figma.com/design/m69lHYikNQaP9uHS0HOTS0/Q1-2024-Content-Articles?node-id=3378-52231&amp;t=pYNmmGOBJVcmM98o-1" TargetMode="External"/><Relationship Id="rId185" Type="http://schemas.openxmlformats.org/officeDocument/2006/relationships/hyperlink" Target="https://paven.io/content/article/2CIso7UC3q3Kah6N4Wqk78" TargetMode="External"/><Relationship Id="rId350" Type="http://schemas.openxmlformats.org/officeDocument/2006/relationships/hyperlink" Target="https://paven.io/content/article/7berFEJi3LL00TXFsghZKZ" TargetMode="External"/><Relationship Id="rId406" Type="http://schemas.openxmlformats.org/officeDocument/2006/relationships/hyperlink" Target="https://www.figma.com/design/4zIxPm1xJMXTzmg2RSOzMH/Q2-2023-Content-Articles?node-id=3728-22533&amp;t=fe1fCl3NIF7BLK6G-1" TargetMode="External"/><Relationship Id="rId9" Type="http://schemas.openxmlformats.org/officeDocument/2006/relationships/hyperlink" Target="https://www.figma.com/design/UY5lho3pQ9DqMFgAyaZsmB/Q1-2025-Content-Articles?node-id=137-1803&amp;t=5scixHHFIkKQm9XJ-1" TargetMode="External"/><Relationship Id="rId210" Type="http://schemas.openxmlformats.org/officeDocument/2006/relationships/hyperlink" Target="https://paven.io/content/article/3w85EV7SQ3iBrfn4QyhizL" TargetMode="External"/><Relationship Id="rId392" Type="http://schemas.openxmlformats.org/officeDocument/2006/relationships/hyperlink" Target="https://www.figma.com/design/4zIxPm1xJMXTzmg2RSOzMH/Q2-2023-Content-Articles?node-id=3729-23201&amp;t=fe1fCl3NIF7BLK6G-1" TargetMode="External"/><Relationship Id="rId448" Type="http://schemas.openxmlformats.org/officeDocument/2006/relationships/hyperlink" Target="https://www.figma.com/design/gz3fc7somKwSzVzDbmgdM4/Q4-2023-Content-Articles?node-id=3077-15214&amp;t=fE9pUkwvfnUKyH7f-1" TargetMode="External"/><Relationship Id="rId252" Type="http://schemas.openxmlformats.org/officeDocument/2006/relationships/hyperlink" Target="https://paven.io/content/article/6sHwvmM1xUQL8BJ4t8MPqn" TargetMode="External"/><Relationship Id="rId294" Type="http://schemas.openxmlformats.org/officeDocument/2006/relationships/hyperlink" Target="https://paven.io/content/article/2uVkUsniZpnSL93XUw7D3N" TargetMode="External"/><Relationship Id="rId308" Type="http://schemas.openxmlformats.org/officeDocument/2006/relationships/hyperlink" Target="https://paven.io/content/article/6Kg8c6DAxy9XRvvHb2djs7" TargetMode="External"/><Relationship Id="rId47" Type="http://schemas.openxmlformats.org/officeDocument/2006/relationships/hyperlink" Target="https://www.figma.com/design/Pb5fwUNVNDCjWaQ8QVAihm/Q2-2024-Content-Articles?node-id=1601-123049&amp;t=rz4v3A4dHAOgTO1E-1" TargetMode="External"/><Relationship Id="rId89" Type="http://schemas.openxmlformats.org/officeDocument/2006/relationships/hyperlink" Target="https://www.figma.com/design/i47pYiJ10vqlvx0co3h46m/Q4-2022---Q1-2023-Content-Articles-(batch-16-23)?node-id=377-41084&amp;t=V1quavg1MmDh9NVO-1" TargetMode="External"/><Relationship Id="rId112" Type="http://schemas.openxmlformats.org/officeDocument/2006/relationships/hyperlink" Target="https://www.figma.com/design/i47pYiJ10vqlvx0co3h46m/Q4-2022---Q1-2023-Content-Articles-(batch-16-23)?node-id=463-22206&amp;t=QfOhOC59Yq3Jb2Zy-1" TargetMode="External"/><Relationship Id="rId154" Type="http://schemas.openxmlformats.org/officeDocument/2006/relationships/hyperlink" Target="https://paven.io/content/article/7qXkRnZzobZjwtH2EMEerV" TargetMode="External"/><Relationship Id="rId361" Type="http://schemas.openxmlformats.org/officeDocument/2006/relationships/hyperlink" Target="https://paven.io/content/article/53LdBP0TB56I0LSghv9M9C" TargetMode="External"/><Relationship Id="rId196" Type="http://schemas.openxmlformats.org/officeDocument/2006/relationships/hyperlink" Target="https://paven.io/content/article/5wxMC862ZgudsL0ci1yDQV" TargetMode="External"/><Relationship Id="rId417" Type="http://schemas.openxmlformats.org/officeDocument/2006/relationships/hyperlink" Target="https://www.figma.com/design/uZMJGIEDq3IFjseOrDLe7j/Q3-2023-Content-Articles?node-id=3684-17929&amp;t=RjSzlPHx8wGfbUcK-1" TargetMode="External"/><Relationship Id="rId459" Type="http://schemas.openxmlformats.org/officeDocument/2006/relationships/hyperlink" Target="https://www.figma.com/design/UOXktKMNWVxBSuZJhNGdyu/Goals?node-id=3496-10082&amp;t=d6MHhwFJ4Ajl1iXH-1" TargetMode="External"/><Relationship Id="rId16" Type="http://schemas.openxmlformats.org/officeDocument/2006/relationships/hyperlink" Target="https://www.figma.com/design/UY5lho3pQ9DqMFgAyaZsmB/Q1-2025-Content-Articles?node-id=1056-2425&amp;t=5scixHHFIkKQm9XJ-1" TargetMode="External"/><Relationship Id="rId221" Type="http://schemas.openxmlformats.org/officeDocument/2006/relationships/hyperlink" Target="https://paven.io/content/article/ZeG6EWxMCaO0YRYYfmnWq" TargetMode="External"/><Relationship Id="rId263" Type="http://schemas.openxmlformats.org/officeDocument/2006/relationships/hyperlink" Target="https://paven.io/benefits/article/7ytYA6U1nLLJROygso7ygy" TargetMode="External"/><Relationship Id="rId319" Type="http://schemas.openxmlformats.org/officeDocument/2006/relationships/hyperlink" Target="https://paven.io/content/article/4bE3qo1XwVXkKKXwtyrWh2" TargetMode="External"/><Relationship Id="rId470" Type="http://schemas.openxmlformats.org/officeDocument/2006/relationships/hyperlink" Target="https://www.figma.com/design/UOXktKMNWVxBSuZJhNGdyu/Goals?node-id=3500-67991&amp;t=d6MHhwFJ4Ajl1iXH-1" TargetMode="External"/><Relationship Id="rId58" Type="http://schemas.openxmlformats.org/officeDocument/2006/relationships/hyperlink" Target="https://www.figma.com/design/Pb5fwUNVNDCjWaQ8QVAihm/Q2-2024-Content-Articles?node-id=2481-50257&amp;t=rz4v3A4dHAOgTO1E-1" TargetMode="External"/><Relationship Id="rId123" Type="http://schemas.openxmlformats.org/officeDocument/2006/relationships/hyperlink" Target="https://www.figma.com/design/m69lHYikNQaP9uHS0HOTS0/Q1-2024-Content-Articles?node-id=3378-306914&amp;t=pYNmmGOBJVcmM98o-1" TargetMode="External"/><Relationship Id="rId330" Type="http://schemas.openxmlformats.org/officeDocument/2006/relationships/hyperlink" Target="https://paven.io/benefits/article/5v52NmnUOnHSA224VEDJqN" TargetMode="External"/><Relationship Id="rId165" Type="http://schemas.openxmlformats.org/officeDocument/2006/relationships/hyperlink" Target="https://paven.io/content/article/btv3P3YdkxNf0zqcwEAH4" TargetMode="External"/><Relationship Id="rId372" Type="http://schemas.openxmlformats.org/officeDocument/2006/relationships/hyperlink" Target="https://paven.io/benefits/article/6VnrQJvBoulmzQU6vJgfCH" TargetMode="External"/><Relationship Id="rId428" Type="http://schemas.openxmlformats.org/officeDocument/2006/relationships/hyperlink" Target="https://www.figma.com/design/uZMJGIEDq3IFjseOrDLe7j/Q3-2023-Content-Articles?node-id=3644-17484&amp;t=RjSzlPHx8wGfbUcK-1" TargetMode="External"/><Relationship Id="rId232" Type="http://schemas.openxmlformats.org/officeDocument/2006/relationships/hyperlink" Target="https://paven.io/content/article/6ZgnRVrA2p72oVTFaNXnxc" TargetMode="External"/><Relationship Id="rId274" Type="http://schemas.openxmlformats.org/officeDocument/2006/relationships/hyperlink" Target="https://paven.io/content/article/7v5rl31FZ0PsuMYNzrMbk" TargetMode="External"/><Relationship Id="rId481" Type="http://schemas.openxmlformats.org/officeDocument/2006/relationships/hyperlink" Target="https://www.figma.com/design/UOXktKMNWVxBSuZJhNGdyu/Goals?node-id=3506-15657&amp;t=d6MHhwFJ4Ajl1iXH-1" TargetMode="External"/><Relationship Id="rId27" Type="http://schemas.openxmlformats.org/officeDocument/2006/relationships/hyperlink" Target="https://www.figma.com/design/i47pYiJ10vqlvx0co3h46m/Q4-2022---Q1-2023-Content-Articles-(batch-16-23)?node-id=456-39138&amp;t=Q2DHer4p4jJQ3cc5-1" TargetMode="External"/><Relationship Id="rId69" Type="http://schemas.openxmlformats.org/officeDocument/2006/relationships/hyperlink" Target="https://www.figma.com/design/i47pYiJ10vqlvx0co3h46m/Q4-2022---Q1-2023-Content-Articles-(batch-16-23)?node-id=456-39144&amp;t=V1quavg1MmDh9NVO-1" TargetMode="External"/><Relationship Id="rId134" Type="http://schemas.openxmlformats.org/officeDocument/2006/relationships/hyperlink" Target="https://www.figma.com/design/m69lHYikNQaP9uHS0HOTS0/Q1-2024-Content-Articles?node-id=3378-151402&amp;t=pYNmmGOBJVcmM98o-1" TargetMode="External"/><Relationship Id="rId80" Type="http://schemas.openxmlformats.org/officeDocument/2006/relationships/hyperlink" Target="https://www.figma.com/design/i47pYiJ10vqlvx0co3h46m/Q4-2022---Q1-2023-Content-Articles-(batch-16-23)?node-id=364-20940&amp;t=V1quavg1MmDh9NVO-1" TargetMode="External"/><Relationship Id="rId176" Type="http://schemas.openxmlformats.org/officeDocument/2006/relationships/hyperlink" Target="https://paven.io/content/article/3ZweQAOsrsqgm28SCZF09Q" TargetMode="External"/><Relationship Id="rId341" Type="http://schemas.openxmlformats.org/officeDocument/2006/relationships/hyperlink" Target="https://paven.io/content/article/7jo8Iuggs9cu3vFjhtVjnJ" TargetMode="External"/><Relationship Id="rId383" Type="http://schemas.openxmlformats.org/officeDocument/2006/relationships/hyperlink" Target="https://paven.io/benefits/article/5BoGLnjCZiOA8kMCEVkPE6" TargetMode="External"/><Relationship Id="rId439" Type="http://schemas.openxmlformats.org/officeDocument/2006/relationships/hyperlink" Target="https://www.figma.com/design/gz3fc7somKwSzVzDbmgdM4/Q4-2023-Content-Articles?node-id=3042-3464&amp;t=fE9pUkwvfnUKyH7f-1" TargetMode="External"/><Relationship Id="rId201" Type="http://schemas.openxmlformats.org/officeDocument/2006/relationships/hyperlink" Target="https://paven.io/simulator/article/7MJHtQVMn3oHeuyZYZ7LrB" TargetMode="External"/><Relationship Id="rId243" Type="http://schemas.openxmlformats.org/officeDocument/2006/relationships/hyperlink" Target="https://paven.io/content/article/2k6Eyec0Fo5VaeSoRObjND" TargetMode="External"/><Relationship Id="rId285" Type="http://schemas.openxmlformats.org/officeDocument/2006/relationships/hyperlink" Target="https://paven.io/simulator/article/6RCplWXPy3wJ3UMlPOBXr4" TargetMode="External"/><Relationship Id="rId450" Type="http://schemas.openxmlformats.org/officeDocument/2006/relationships/hyperlink" Target="https://www.figma.com/design/kkMh7aGZkJopf7n5lbrrpX/Life-Moments?node-id=2565-19455&amp;t=scW7PhQJA030oT78-1" TargetMode="External"/><Relationship Id="rId38" Type="http://schemas.openxmlformats.org/officeDocument/2006/relationships/hyperlink" Target="https://www.figma.com/design/aSTWrOeNiAFlD09ABian5K/Q3-2024-Content-Articles?node-id=6023-452&amp;t=zVi6fJuH8A3kyTdv-1" TargetMode="External"/><Relationship Id="rId103" Type="http://schemas.openxmlformats.org/officeDocument/2006/relationships/hyperlink" Target="https://www.figma.com/design/i47pYiJ10vqlvx0co3h46m/Q4-2022---Q1-2023-Content-Articles-(batch-16-23)?node-id=462-18236&amp;t=QfOhOC59Yq3Jb2Zy-1" TargetMode="External"/><Relationship Id="rId310" Type="http://schemas.openxmlformats.org/officeDocument/2006/relationships/hyperlink" Target="https://paven.io/content/article/47QR0n9uXSwDxxjlubB371" TargetMode="External"/><Relationship Id="rId492" Type="http://schemas.openxmlformats.org/officeDocument/2006/relationships/hyperlink" Target="https://www.figma.com/design/kkMh7aGZkJopf7n5lbrrpX/Life-Moments?node-id=2562-6324&amp;t=scW7PhQJA030oT78-1" TargetMode="External"/><Relationship Id="rId91" Type="http://schemas.openxmlformats.org/officeDocument/2006/relationships/hyperlink" Target="https://www.figma.com/design/i47pYiJ10vqlvx0co3h46m/Q4-2022---Q1-2023-Content-Articles-(batch-16-23)?node-id=377-41087&amp;t=V1quavg1MmDh9NVO-1" TargetMode="External"/><Relationship Id="rId145" Type="http://schemas.openxmlformats.org/officeDocument/2006/relationships/hyperlink" Target="https://paven.io/content/article/3XIA1q18lV1NZXHVhmUVfV" TargetMode="External"/><Relationship Id="rId187" Type="http://schemas.openxmlformats.org/officeDocument/2006/relationships/hyperlink" Target="https://paven.io/benefits/article/37K6qv3YXJWe5lc4geHKqv" TargetMode="External"/><Relationship Id="rId352" Type="http://schemas.openxmlformats.org/officeDocument/2006/relationships/hyperlink" Target="https://paven.io/content/article/tqFTtOIQPrXOcvksLcj3B" TargetMode="External"/><Relationship Id="rId394" Type="http://schemas.openxmlformats.org/officeDocument/2006/relationships/hyperlink" Target="https://www.figma.com/design/4zIxPm1xJMXTzmg2RSOzMH/Q2-2023-Content-Articles?node-id=3731-8854&amp;t=fe1fCl3NIF7BLK6G-1" TargetMode="External"/><Relationship Id="rId408" Type="http://schemas.openxmlformats.org/officeDocument/2006/relationships/hyperlink" Target="https://www.figma.com/design/4zIxPm1xJMXTzmg2RSOzMH/Q2-2023-Content-Articles?node-id=3728-13630&amp;t=fe1fCl3NIF7BLK6G-1" TargetMode="External"/><Relationship Id="rId212" Type="http://schemas.openxmlformats.org/officeDocument/2006/relationships/hyperlink" Target="https://paven.io/content/article/3rR1a97Fvy09ERBVsS2Thw" TargetMode="External"/><Relationship Id="rId254" Type="http://schemas.openxmlformats.org/officeDocument/2006/relationships/hyperlink" Target="https://paven.io/benefits/article/7zTpUZJ7Ct0NdhwEfpjrcW" TargetMode="External"/><Relationship Id="rId49" Type="http://schemas.openxmlformats.org/officeDocument/2006/relationships/hyperlink" Target="https://www.figma.com/design/Pb5fwUNVNDCjWaQ8QVAihm/Q2-2024-Content-Articles?node-id=1601-26983&amp;t=rz4v3A4dHAOgTO1E-1" TargetMode="External"/><Relationship Id="rId114" Type="http://schemas.openxmlformats.org/officeDocument/2006/relationships/hyperlink" Target="https://www.figma.com/design/i47pYiJ10vqlvx0co3h46m/Q4-2022---Q1-2023-Content-Articles-(batch-16-23)?node-id=463-22205&amp;t=QfOhOC59Yq3Jb2Zy-1" TargetMode="External"/><Relationship Id="rId296" Type="http://schemas.openxmlformats.org/officeDocument/2006/relationships/hyperlink" Target="https://paven.io/content/article/73tv9gq3kDZmNgHYMLNffi" TargetMode="External"/><Relationship Id="rId461" Type="http://schemas.openxmlformats.org/officeDocument/2006/relationships/hyperlink" Target="https://www.figma.com/design/UOXktKMNWVxBSuZJhNGdyu/Goals?node-id=3498-39611&amp;t=d6MHhwFJ4Ajl1iXH-1" TargetMode="External"/><Relationship Id="rId60" Type="http://schemas.openxmlformats.org/officeDocument/2006/relationships/hyperlink" Target="https://www.figma.com/design/HKyVNfdIqnvNaKD4K8Iomr/Q4-2024-Content-Articles?node-id=5025-1262&amp;t=cszJ8FtN0rJxAe1X-1" TargetMode="External"/><Relationship Id="rId156" Type="http://schemas.openxmlformats.org/officeDocument/2006/relationships/hyperlink" Target="https://paven.io/content/article/6Y95jlQhFRWdOUFnt4Egm" TargetMode="External"/><Relationship Id="rId198" Type="http://schemas.openxmlformats.org/officeDocument/2006/relationships/hyperlink" Target="https://paven.io/content/article/52rmUS8u4AdY94focFUpI9" TargetMode="External"/><Relationship Id="rId321" Type="http://schemas.openxmlformats.org/officeDocument/2006/relationships/hyperlink" Target="https://paven.io/benefits/article/2Jq1sjfCfKlVuTQoLDd0hj" TargetMode="External"/><Relationship Id="rId363" Type="http://schemas.openxmlformats.org/officeDocument/2006/relationships/hyperlink" Target="https://paven.io/benefits/article/1TcJklYlU4DU9XD2ee8LZv" TargetMode="External"/><Relationship Id="rId419" Type="http://schemas.openxmlformats.org/officeDocument/2006/relationships/hyperlink" Target="https://www.figma.com/design/uZMJGIEDq3IFjseOrDLe7j/Q3-2023-Content-Articles?node-id=3644-11906&amp;t=RjSzlPHx8wGfbUcK-1" TargetMode="External"/><Relationship Id="rId223" Type="http://schemas.openxmlformats.org/officeDocument/2006/relationships/hyperlink" Target="https://paven.io/benefits/article/1P13uxOOyCx9Fik6t52DK7" TargetMode="External"/><Relationship Id="rId430" Type="http://schemas.openxmlformats.org/officeDocument/2006/relationships/hyperlink" Target="https://www.figma.com/design/uZMJGIEDq3IFjseOrDLe7j/Q3-2023-Content-Articles?node-id=3644-17485&amp;t=RjSzlPHx8wGfbUcK-1" TargetMode="External"/><Relationship Id="rId18" Type="http://schemas.openxmlformats.org/officeDocument/2006/relationships/hyperlink" Target="https://www.figma.com/design/UY5lho3pQ9DqMFgAyaZsmB/Q1-2025-Content-Articles?node-id=1406-1361&amp;t=dbLqSJfD56L2X1se-1" TargetMode="External"/><Relationship Id="rId265" Type="http://schemas.openxmlformats.org/officeDocument/2006/relationships/hyperlink" Target="https://paven.io/content/article/18eeWEl9E5yU3nSTmnirKy" TargetMode="External"/><Relationship Id="rId472" Type="http://schemas.openxmlformats.org/officeDocument/2006/relationships/hyperlink" Target="https://www.figma.com/design/UOXktKMNWVxBSuZJhNGdyu/Goals?node-id=3500-67993&amp;t=d6MHhwFJ4Ajl1iXH-1" TargetMode="External"/><Relationship Id="rId125" Type="http://schemas.openxmlformats.org/officeDocument/2006/relationships/hyperlink" Target="https://www.figma.com/design/m69lHYikNQaP9uHS0HOTS0/Q1-2024-Content-Articles?node-id=3380-328979&amp;t=pYNmmGOBJVcmM98o-1" TargetMode="External"/><Relationship Id="rId167" Type="http://schemas.openxmlformats.org/officeDocument/2006/relationships/hyperlink" Target="https://paven.io/content/article/7vvkK5XEvXpA8tIDWNQlnH" TargetMode="External"/><Relationship Id="rId332" Type="http://schemas.openxmlformats.org/officeDocument/2006/relationships/hyperlink" Target="https://paven.io/content/article/5XB7BD2a0wB4sGb4oSOrlO" TargetMode="External"/><Relationship Id="rId374" Type="http://schemas.openxmlformats.org/officeDocument/2006/relationships/hyperlink" Target="https://paven.io/content/article/6pxvtrIYdlTotW6sEgU8yY" TargetMode="External"/><Relationship Id="rId71" Type="http://schemas.openxmlformats.org/officeDocument/2006/relationships/hyperlink" Target="https://www.figma.com/design/i47pYiJ10vqlvx0co3h46m/Q4-2022---Q1-2023-Content-Articles-(batch-16-23)?node-id=456-39201&amp;t=V1quavg1MmDh9NVO-1" TargetMode="External"/><Relationship Id="rId234" Type="http://schemas.openxmlformats.org/officeDocument/2006/relationships/hyperlink" Target="https://paven.io/content/article/4TXUb8E5YSXz5shgWmWpl" TargetMode="External"/><Relationship Id="rId2" Type="http://schemas.openxmlformats.org/officeDocument/2006/relationships/hyperlink" Target="https://www.figma.com/design/HKyVNfdIqnvNaKD4K8Iomr/Q4-2024-Content-Articles?node-id=5003-102233&amp;t=AqgdEqfLl4OMOSTi-1" TargetMode="External"/><Relationship Id="rId29" Type="http://schemas.openxmlformats.org/officeDocument/2006/relationships/hyperlink" Target="https://paven.io/content/article/4cLNM7gf8dHQxcynhtkuDG" TargetMode="External"/><Relationship Id="rId276" Type="http://schemas.openxmlformats.org/officeDocument/2006/relationships/hyperlink" Target="https://paven.io/benefits/article/7gq8ye9mIQBOlSNZ4mGz8u" TargetMode="External"/><Relationship Id="rId441" Type="http://schemas.openxmlformats.org/officeDocument/2006/relationships/hyperlink" Target="https://www.figma.com/design/gz3fc7somKwSzVzDbmgdM4/Q4-2023-Content-Articles?node-id=3077-15217&amp;t=fE9pUkwvfnUKyH7f-1" TargetMode="External"/><Relationship Id="rId483" Type="http://schemas.openxmlformats.org/officeDocument/2006/relationships/hyperlink" Target="https://www.figma.com/design/UOXktKMNWVxBSuZJhNGdyu/Goals?node-id=3508-49770&amp;t=d6MHhwFJ4Ajl1iXH-1" TargetMode="External"/><Relationship Id="rId40" Type="http://schemas.openxmlformats.org/officeDocument/2006/relationships/hyperlink" Target="https://www.figma.com/design/Pb5fwUNVNDCjWaQ8QVAihm/Q2-2024-Content-Articles?node-id=1614-291911&amp;t=rz4v3A4dHAOgTO1E-1" TargetMode="External"/><Relationship Id="rId136" Type="http://schemas.openxmlformats.org/officeDocument/2006/relationships/hyperlink" Target="https://www.figma.com/design/m69lHYikNQaP9uHS0HOTS0/Q1-2024-Content-Articles?node-id=3378-215409&amp;t=pYNmmGOBJVcmM98o-1" TargetMode="External"/><Relationship Id="rId178" Type="http://schemas.openxmlformats.org/officeDocument/2006/relationships/hyperlink" Target="https://paven.io/content/article/h1TiRXpgSLIIVAiNuVqjF" TargetMode="External"/><Relationship Id="rId301" Type="http://schemas.openxmlformats.org/officeDocument/2006/relationships/hyperlink" Target="https://paven.io/content/article/5XBV6xh1fOgzCvcHuTxUJA" TargetMode="External"/><Relationship Id="rId343" Type="http://schemas.openxmlformats.org/officeDocument/2006/relationships/hyperlink" Target="https://paven.io/content/article/3jHoKvOolfJqWtewpEDxV" TargetMode="External"/><Relationship Id="rId82" Type="http://schemas.openxmlformats.org/officeDocument/2006/relationships/hyperlink" Target="https://www.figma.com/design/i47pYiJ10vqlvx0co3h46m/Q4-2022---Q1-2023-Content-Articles-(batch-16-23)?node-id=364-20938&amp;t=V1quavg1MmDh9NVO-1" TargetMode="External"/><Relationship Id="rId203" Type="http://schemas.openxmlformats.org/officeDocument/2006/relationships/hyperlink" Target="https://paven.io/content/article/4NN8LJ6HdLbD3FhR6xH9hd" TargetMode="External"/><Relationship Id="rId385" Type="http://schemas.openxmlformats.org/officeDocument/2006/relationships/hyperlink" Target="https://paven.io/benefits/article/2Jq1sjfCfKlVuTQoLDd0hj" TargetMode="External"/><Relationship Id="rId245" Type="http://schemas.openxmlformats.org/officeDocument/2006/relationships/hyperlink" Target="https://paven.io/content/article/7lFtpVjgylBO9lWx6xsLkf" TargetMode="External"/><Relationship Id="rId287" Type="http://schemas.openxmlformats.org/officeDocument/2006/relationships/hyperlink" Target="https://paven.io/content/article/1PwhRz7nlEZzy689dD2r4m" TargetMode="External"/><Relationship Id="rId410" Type="http://schemas.openxmlformats.org/officeDocument/2006/relationships/hyperlink" Target="https://www.figma.com/design/4zIxPm1xJMXTzmg2RSOzMH/Q2-2023-Content-Articles?node-id=3728-13629&amp;t=fe1fCl3NIF7BLK6G-1" TargetMode="External"/><Relationship Id="rId452" Type="http://schemas.openxmlformats.org/officeDocument/2006/relationships/hyperlink" Target="https://www.figma.com/design/kkMh7aGZkJopf7n5lbrrpX/Life-Moments?node-id=2565-23387&amp;t=scW7PhQJA030oT78-1" TargetMode="External"/><Relationship Id="rId494" Type="http://schemas.openxmlformats.org/officeDocument/2006/relationships/hyperlink" Target="https://www.figma.com/design/W6E6iz9oGIXW7Sso0rxbIs/Q2-2025-Content-Articles?node-id=3181-1094&amp;t=XjeBpdKIVK084eQs-1" TargetMode="External"/><Relationship Id="rId105" Type="http://schemas.openxmlformats.org/officeDocument/2006/relationships/hyperlink" Target="https://www.figma.com/design/i47pYiJ10vqlvx0co3h46m/Q4-2022---Q1-2023-Content-Articles-(batch-16-23)?node-id=462-18238&amp;t=QfOhOC59Yq3Jb2Zy-1" TargetMode="External"/><Relationship Id="rId147" Type="http://schemas.openxmlformats.org/officeDocument/2006/relationships/hyperlink" Target="https://paven.io/benefits/article/5xcJNCiEQbb4PJHJ6glj3c" TargetMode="External"/><Relationship Id="rId312" Type="http://schemas.openxmlformats.org/officeDocument/2006/relationships/hyperlink" Target="https://paven.io/benefits/article/64aMo59ItbNMLRXqGbdATJ" TargetMode="External"/><Relationship Id="rId354" Type="http://schemas.openxmlformats.org/officeDocument/2006/relationships/hyperlink" Target="https://paven.io/content/article/fufOxWn3qSC6N8lCPEArb" TargetMode="External"/><Relationship Id="rId51" Type="http://schemas.openxmlformats.org/officeDocument/2006/relationships/hyperlink" Target="https://www.figma.com/design/Pb5fwUNVNDCjWaQ8QVAihm/Q2-2024-Content-Articles?node-id=1601-8224&amp;t=rz4v3A4dHAOgTO1E-1" TargetMode="External"/><Relationship Id="rId93" Type="http://schemas.openxmlformats.org/officeDocument/2006/relationships/hyperlink" Target="https://www.figma.com/design/i47pYiJ10vqlvx0co3h46m/Q4-2022---Q1-2023-Content-Articles-(batch-16-23)?node-id=377-41089&amp;t=V1quavg1MmDh9NVO-1" TargetMode="External"/><Relationship Id="rId189" Type="http://schemas.openxmlformats.org/officeDocument/2006/relationships/hyperlink" Target="https://paven.io/content/article/6xmHo7bAgJ4twMxWcbmCw3" TargetMode="External"/><Relationship Id="rId396" Type="http://schemas.openxmlformats.org/officeDocument/2006/relationships/hyperlink" Target="https://www.figma.com/design/4zIxPm1xJMXTzmg2RSOzMH/Q2-2023-Content-Articles?node-id=3729-23202&amp;t=fe1fCl3NIF7BLK6G-1" TargetMode="External"/><Relationship Id="rId214" Type="http://schemas.openxmlformats.org/officeDocument/2006/relationships/hyperlink" Target="https://paven.io/content/article/4Ng2YvpV8LrMlFjsxVpeJU" TargetMode="External"/><Relationship Id="rId256" Type="http://schemas.openxmlformats.org/officeDocument/2006/relationships/hyperlink" Target="https://paven.io/content/article/K8s9Xu6ZPHZPn2hwy1J2m" TargetMode="External"/><Relationship Id="rId298" Type="http://schemas.openxmlformats.org/officeDocument/2006/relationships/hyperlink" Target="https://paven.io/content/article/lgplrc82hSFd738pBG3DF" TargetMode="External"/><Relationship Id="rId421" Type="http://schemas.openxmlformats.org/officeDocument/2006/relationships/hyperlink" Target="https://www.figma.com/design/uZMJGIEDq3IFjseOrDLe7j/Q3-2023-Content-Articles?node-id=3683-13246&amp;t=RjSzlPHx8wGfbUcK-1" TargetMode="External"/><Relationship Id="rId463" Type="http://schemas.openxmlformats.org/officeDocument/2006/relationships/hyperlink" Target="https://www.figma.com/design/UOXktKMNWVxBSuZJhNGdyu/Goals?node-id=3498-39613&amp;t=d6MHhwFJ4Ajl1iXH-1" TargetMode="External"/><Relationship Id="rId116" Type="http://schemas.openxmlformats.org/officeDocument/2006/relationships/hyperlink" Target="https://www.figma.com/design/i47pYiJ10vqlvx0co3h46m/Q4-2022---Q1-2023-Content-Articles-(batch-16-23)?node-id=463-24670&amp;t=QfOhOC59Yq3Jb2Zy-1" TargetMode="External"/><Relationship Id="rId158" Type="http://schemas.openxmlformats.org/officeDocument/2006/relationships/hyperlink" Target="https://paven.io/content/article/2ActWmf1Hdnh80tgVgUiJ3" TargetMode="External"/><Relationship Id="rId323" Type="http://schemas.openxmlformats.org/officeDocument/2006/relationships/hyperlink" Target="https://paven.io/benefits/article/6kme83naKSDtUu6H5PkHcR" TargetMode="External"/><Relationship Id="rId20" Type="http://schemas.openxmlformats.org/officeDocument/2006/relationships/hyperlink" Target="https://www.figma.com/design/i47pYiJ10vqlvx0co3h46m/Q4-2022---Q1-2023-Content-Articles-(batch-16-23)?node-id=456-25463&amp;t=iqjB7zm9AtdsPASK-1" TargetMode="External"/><Relationship Id="rId62" Type="http://schemas.openxmlformats.org/officeDocument/2006/relationships/hyperlink" Target="https://www.figma.com/design/HKyVNfdIqnvNaKD4K8Iomr/Q4-2024-Content-Articles?node-id=5116-9912&amp;t=cszJ8FtN0rJxAe1X-1" TargetMode="External"/><Relationship Id="rId365" Type="http://schemas.openxmlformats.org/officeDocument/2006/relationships/hyperlink" Target="https://paven.io/benefits/article/7yPWCMC3p3MdNsWNv0LhCr" TargetMode="External"/><Relationship Id="rId225" Type="http://schemas.openxmlformats.org/officeDocument/2006/relationships/hyperlink" Target="https://paven.io/content/article/38bNEAdm4WZn9jtUZP91nV" TargetMode="External"/><Relationship Id="rId267" Type="http://schemas.openxmlformats.org/officeDocument/2006/relationships/hyperlink" Target="https://paven.io/content/article/tqFTtOIQPrXOcvksLcj3B" TargetMode="External"/><Relationship Id="rId432" Type="http://schemas.openxmlformats.org/officeDocument/2006/relationships/hyperlink" Target="https://www.figma.com/design/uZMJGIEDq3IFjseOrDLe7j/Q3-2023-Content-Articles?node-id=3683-5631&amp;t=RjSzlPHx8wGfbUcK-1" TargetMode="External"/><Relationship Id="rId474" Type="http://schemas.openxmlformats.org/officeDocument/2006/relationships/hyperlink" Target="https://www.figma.com/design/UOXktKMNWVxBSuZJhNGdyu/Goals?node-id=3500-67995&amp;t=d6MHhwFJ4Ajl1iXH-1" TargetMode="External"/><Relationship Id="rId127" Type="http://schemas.openxmlformats.org/officeDocument/2006/relationships/hyperlink" Target="https://www.figma.com/design/m69lHYikNQaP9uHS0HOTS0/Q1-2024-Content-Articles?node-id=3380-422624&amp;t=pYNmmGOBJVcmM98o-1" TargetMode="External"/><Relationship Id="rId10" Type="http://schemas.openxmlformats.org/officeDocument/2006/relationships/hyperlink" Target="https://www.figma.com/design/UY5lho3pQ9DqMFgAyaZsmB/Q1-2025-Content-Articles?node-id=307-844&amp;t=5scixHHFIkKQm9XJ-1" TargetMode="External"/><Relationship Id="rId31" Type="http://schemas.openxmlformats.org/officeDocument/2006/relationships/hyperlink" Target="https://www.figma.com/design/aSTWrOeNiAFlD09ABian5K/Q3-2024-Content-Articles?node-id=5001-20723&amp;t=zVi6fJuH8A3kyTdv-1" TargetMode="External"/><Relationship Id="rId52" Type="http://schemas.openxmlformats.org/officeDocument/2006/relationships/hyperlink" Target="https://www.figma.com/design/Pb5fwUNVNDCjWaQ8QVAihm/Q2-2024-Content-Articles?node-id=1654-8152&amp;t=rz4v3A4dHAOgTO1E-1" TargetMode="External"/><Relationship Id="rId73" Type="http://schemas.openxmlformats.org/officeDocument/2006/relationships/hyperlink" Target="https://www.figma.com/design/i47pYiJ10vqlvx0co3h46m/Q4-2022---Q1-2023-Content-Articles-(batch-16-23)?node-id=456-39912&amp;t=V1quavg1MmDh9NVO-1" TargetMode="External"/><Relationship Id="rId94" Type="http://schemas.openxmlformats.org/officeDocument/2006/relationships/hyperlink" Target="https://www.figma.com/design/i47pYiJ10vqlvx0co3h46m/Q4-2022---Q1-2023-Content-Articles-(batch-16-23)?node-id=377-41090&amp;t=V1quavg1MmDh9NVO-1" TargetMode="External"/><Relationship Id="rId148" Type="http://schemas.openxmlformats.org/officeDocument/2006/relationships/hyperlink" Target="https://paven.io/content/article/4EDqrnZqjMVLUmpzRwSjk2" TargetMode="External"/><Relationship Id="rId169" Type="http://schemas.openxmlformats.org/officeDocument/2006/relationships/hyperlink" Target="https://paven.io/content/article/7cSZtBYtkbyVT6P2o43ibs" TargetMode="External"/><Relationship Id="rId334" Type="http://schemas.openxmlformats.org/officeDocument/2006/relationships/hyperlink" Target="https://paven.io/content/article/2HXLo5ZGKg1qe8bS0S8rGY" TargetMode="External"/><Relationship Id="rId355" Type="http://schemas.openxmlformats.org/officeDocument/2006/relationships/hyperlink" Target="https://paven.io/content/article/7v5rl31FZ0PsuMYNzrMbk" TargetMode="External"/><Relationship Id="rId376" Type="http://schemas.openxmlformats.org/officeDocument/2006/relationships/hyperlink" Target="https://paven.io/benefits/article/2CyrFV8rtLWryn5JYa4yoI" TargetMode="External"/><Relationship Id="rId397" Type="http://schemas.openxmlformats.org/officeDocument/2006/relationships/hyperlink" Target="https://www.figma.com/design/4zIxPm1xJMXTzmg2RSOzMH/Q2-2023-Content-Articles?node-id=3731-8852&amp;t=fe1fCl3NIF7BLK6G-1" TargetMode="External"/><Relationship Id="rId4" Type="http://schemas.openxmlformats.org/officeDocument/2006/relationships/hyperlink" Target="https://www.figma.com/design/HKyVNfdIqnvNaKD4K8Iomr/Q4-2024-Content-Articles?node-id=7-2&amp;t=AqgdEqfLl4OMOSTi-1" TargetMode="External"/><Relationship Id="rId180" Type="http://schemas.openxmlformats.org/officeDocument/2006/relationships/hyperlink" Target="https://paven.io/content/article/7xetvRhKmHMTYoRmZfgTa9" TargetMode="External"/><Relationship Id="rId215" Type="http://schemas.openxmlformats.org/officeDocument/2006/relationships/hyperlink" Target="https://paven.io/content/article/1JW1sak5YCHIUTftlsnYyH" TargetMode="External"/><Relationship Id="rId236" Type="http://schemas.openxmlformats.org/officeDocument/2006/relationships/hyperlink" Target="https://paven.io/content/article/3B9ITWcDxmLWvqTO8zqncw" TargetMode="External"/><Relationship Id="rId257" Type="http://schemas.openxmlformats.org/officeDocument/2006/relationships/hyperlink" Target="https://paven.io/content/article/6gv070NnQa5J7NzYJ3gULg" TargetMode="External"/><Relationship Id="rId278" Type="http://schemas.openxmlformats.org/officeDocument/2006/relationships/hyperlink" Target="https://paven.io/content/article/6AgPLGxufTjPh3N8GCYbLb" TargetMode="External"/><Relationship Id="rId401" Type="http://schemas.openxmlformats.org/officeDocument/2006/relationships/hyperlink" Target="https://www.figma.com/design/4zIxPm1xJMXTzmg2RSOzMH/Q2-2023-Content-Articles?node-id=3729-23193&amp;t=fe1fCl3NIF7BLK6G-1" TargetMode="External"/><Relationship Id="rId422" Type="http://schemas.openxmlformats.org/officeDocument/2006/relationships/hyperlink" Target="https://www.figma.com/design/uZMJGIEDq3IFjseOrDLe7j/Q3-2023-Content-Articles?node-id=3683-13247&amp;t=RjSzlPHx8wGfbUcK-1" TargetMode="External"/><Relationship Id="rId443" Type="http://schemas.openxmlformats.org/officeDocument/2006/relationships/hyperlink" Target="https://www.figma.com/design/gz3fc7somKwSzVzDbmgdM4/Q4-2023-Content-Articles?node-id=3077-15218&amp;t=fE9pUkwvfnUKyH7f-1" TargetMode="External"/><Relationship Id="rId464" Type="http://schemas.openxmlformats.org/officeDocument/2006/relationships/hyperlink" Target="https://www.figma.com/design/UOXktKMNWVxBSuZJhNGdyu/Goals?node-id=3498-39614&amp;t=d6MHhwFJ4Ajl1iXH-1" TargetMode="External"/><Relationship Id="rId303" Type="http://schemas.openxmlformats.org/officeDocument/2006/relationships/hyperlink" Target="https://paven.io/content/article/31ruEEMupheznUg7mPmaxb" TargetMode="External"/><Relationship Id="rId485" Type="http://schemas.openxmlformats.org/officeDocument/2006/relationships/hyperlink" Target="https://www.figma.com/design/UOXktKMNWVxBSuZJhNGdyu/Goals?node-id=3508-49765&amp;t=d6MHhwFJ4Ajl1iXH-1" TargetMode="External"/><Relationship Id="rId42" Type="http://schemas.openxmlformats.org/officeDocument/2006/relationships/hyperlink" Target="https://www.figma.com/design/Pb5fwUNVNDCjWaQ8QVAihm/Q2-2024-Content-Articles?node-id=1614-165930&amp;t=rz4v3A4dHAOgTO1E-1" TargetMode="External"/><Relationship Id="rId84" Type="http://schemas.openxmlformats.org/officeDocument/2006/relationships/hyperlink" Target="https://www.figma.com/design/i47pYiJ10vqlvx0co3h46m/Q4-2022---Q1-2023-Content-Articles-(batch-16-23)?node-id=374-36559&amp;t=V1quavg1MmDh9NVO-1" TargetMode="External"/><Relationship Id="rId138" Type="http://schemas.openxmlformats.org/officeDocument/2006/relationships/hyperlink" Target="https://www.figma.com/design/m69lHYikNQaP9uHS0HOTS0/Q1-2024-Content-Articles?node-id=3378-289999&amp;t=pYNmmGOBJVcmM98o-1" TargetMode="External"/><Relationship Id="rId345" Type="http://schemas.openxmlformats.org/officeDocument/2006/relationships/hyperlink" Target="https://paven.io/benefits/article/5BoGLnjCZiOA8kMCEVkPE6" TargetMode="External"/><Relationship Id="rId387" Type="http://schemas.openxmlformats.org/officeDocument/2006/relationships/hyperlink" Target="https://paven.io/content/article/7bhoilJD9fK40xVU4ErjZa" TargetMode="External"/><Relationship Id="rId191" Type="http://schemas.openxmlformats.org/officeDocument/2006/relationships/hyperlink" Target="https://paven.io/content/article/20OmH46TN5N7bpl5DNm6qO" TargetMode="External"/><Relationship Id="rId205" Type="http://schemas.openxmlformats.org/officeDocument/2006/relationships/hyperlink" Target="https://paven.io/content/article/3q3tsXFp5W4eSMo4yFGXJh" TargetMode="External"/><Relationship Id="rId247" Type="http://schemas.openxmlformats.org/officeDocument/2006/relationships/hyperlink" Target="https://paven.io/content/article/7CyAK9Stc3Fne5WRF607Nh" TargetMode="External"/><Relationship Id="rId412" Type="http://schemas.openxmlformats.org/officeDocument/2006/relationships/hyperlink" Target="https://www.figma.com/design/4zIxPm1xJMXTzmg2RSOzMH/Q2-2023-Content-Articles?node-id=3728-13634&amp;t=fe1fCl3NIF7BLK6G-1" TargetMode="External"/><Relationship Id="rId107" Type="http://schemas.openxmlformats.org/officeDocument/2006/relationships/hyperlink" Target="https://www.figma.com/design/i47pYiJ10vqlvx0co3h46m/Q4-2022---Q1-2023-Content-Articles-(batch-16-23)?node-id=462-22084&amp;t=QfOhOC59Yq3Jb2Zy-1" TargetMode="External"/><Relationship Id="rId289" Type="http://schemas.openxmlformats.org/officeDocument/2006/relationships/hyperlink" Target="https://paven.io/content/article/UvrcaNa1cwMe969OptsKb" TargetMode="External"/><Relationship Id="rId454" Type="http://schemas.openxmlformats.org/officeDocument/2006/relationships/hyperlink" Target="https://www.figma.com/design/kkMh7aGZkJopf7n5lbrrpX/Life-Moments?node-id=2565-23390&amp;t=scW7PhQJA030oT78-1" TargetMode="External"/><Relationship Id="rId496" Type="http://schemas.openxmlformats.org/officeDocument/2006/relationships/hyperlink" Target="https://www.figma.com/design/W6E6iz9oGIXW7Sso0rxbIs/Q2-2025-Content-Articles?node-id=3476-1892&amp;t=XjeBpdKIVK084eQs-1" TargetMode="External"/><Relationship Id="rId11" Type="http://schemas.openxmlformats.org/officeDocument/2006/relationships/hyperlink" Target="https://www.figma.com/design/UY5lho3pQ9DqMFgAyaZsmB/Q1-2025-Content-Articles?node-id=414-2700&amp;t=5scixHHFIkKQm9XJ-1" TargetMode="External"/><Relationship Id="rId53" Type="http://schemas.openxmlformats.org/officeDocument/2006/relationships/hyperlink" Target="https://www.figma.com/design/Pb5fwUNVNDCjWaQ8QVAihm/Q2-2024-Content-Articles?node-id=1741-3914&amp;t=rz4v3A4dHAOgTO1E-1" TargetMode="External"/><Relationship Id="rId149" Type="http://schemas.openxmlformats.org/officeDocument/2006/relationships/hyperlink" Target="https://paven.io/content/article/7oATLbHlAL221cMeVUAoy6" TargetMode="External"/><Relationship Id="rId314" Type="http://schemas.openxmlformats.org/officeDocument/2006/relationships/hyperlink" Target="https://paven.io/content/article/69HWThvcmOpiObXsKJQuZ6" TargetMode="External"/><Relationship Id="rId356" Type="http://schemas.openxmlformats.org/officeDocument/2006/relationships/hyperlink" Target="https://paven.io/content/article/6LItN1K4USGOcLBAoJkV1K" TargetMode="External"/><Relationship Id="rId398" Type="http://schemas.openxmlformats.org/officeDocument/2006/relationships/hyperlink" Target="https://www.figma.com/design/4zIxPm1xJMXTzmg2RSOzMH/Q2-2023-Content-Articles?node-id=3731-8853&amp;t=fe1fCl3NIF7BLK6G-1" TargetMode="External"/><Relationship Id="rId95" Type="http://schemas.openxmlformats.org/officeDocument/2006/relationships/hyperlink" Target="https://www.figma.com/design/i47pYiJ10vqlvx0co3h46m/Q4-2022---Q1-2023-Content-Articles-(batch-16-23)?node-id=459-82418&amp;t=V1quavg1MmDh9NVO-1" TargetMode="External"/><Relationship Id="rId160" Type="http://schemas.openxmlformats.org/officeDocument/2006/relationships/hyperlink" Target="https://paven.io/content/article/7rKjk2k5RiPMLiKRcoXrZ1" TargetMode="External"/><Relationship Id="rId216" Type="http://schemas.openxmlformats.org/officeDocument/2006/relationships/hyperlink" Target="https://paven.io/content/article/3c09I1UZpgmQhHwpT0JSsr" TargetMode="External"/><Relationship Id="rId423" Type="http://schemas.openxmlformats.org/officeDocument/2006/relationships/hyperlink" Target="https://www.figma.com/design/uZMJGIEDq3IFjseOrDLe7j/Q3-2023-Content-Articles?node-id=3683-13243&amp;t=RjSzlPHx8wGfbUcK-1" TargetMode="External"/><Relationship Id="rId258" Type="http://schemas.openxmlformats.org/officeDocument/2006/relationships/hyperlink" Target="https://paven.io/content/article/rKBG0drgx3kcZ1Rw3RGTW" TargetMode="External"/><Relationship Id="rId465" Type="http://schemas.openxmlformats.org/officeDocument/2006/relationships/hyperlink" Target="https://www.figma.com/design/UOXktKMNWVxBSuZJhNGdyu/Goals?node-id=3498-33447&amp;t=d6MHhwFJ4Ajl1iXH-1" TargetMode="External"/><Relationship Id="rId22" Type="http://schemas.openxmlformats.org/officeDocument/2006/relationships/hyperlink" Target="https://www.figma.com/design/i47pYiJ10vqlvx0co3h46m/Q4-2022---Q1-2023-Content-Articles-(batch-16-23)?node-id=456-25465&amp;t=iqjB7zm9AtdsPASK-1" TargetMode="External"/><Relationship Id="rId64" Type="http://schemas.openxmlformats.org/officeDocument/2006/relationships/hyperlink" Target="https://www.figma.com/design/i47pYiJ10vqlvx0co3h46m/Q4-2022---Q1-2023-Content-Articles-(batch-16-23)?node-id=456-39141&amp;t=ylcRdbapROHtfQrj-1" TargetMode="External"/><Relationship Id="rId118" Type="http://schemas.openxmlformats.org/officeDocument/2006/relationships/hyperlink" Target="https://www.figma.com/design/i47pYiJ10vqlvx0co3h46m/Q4-2022---Q1-2023-Content-Articles-(batch-16-23)?node-id=463-27292&amp;t=QfOhOC59Yq3Jb2Zy-1" TargetMode="External"/><Relationship Id="rId325" Type="http://schemas.openxmlformats.org/officeDocument/2006/relationships/hyperlink" Target="https://paven.io/content/article/38bNEAdm4WZn9jtUZP91nV" TargetMode="External"/><Relationship Id="rId367" Type="http://schemas.openxmlformats.org/officeDocument/2006/relationships/hyperlink" Target="https://paven.io/content/article/7Djzyw8Hp4a9jAP1jqI84H" TargetMode="External"/><Relationship Id="rId171" Type="http://schemas.openxmlformats.org/officeDocument/2006/relationships/hyperlink" Target="https://paven.io/content/article/1vdq8TQD1jqGJJvX3Wn53o" TargetMode="External"/><Relationship Id="rId227" Type="http://schemas.openxmlformats.org/officeDocument/2006/relationships/hyperlink" Target="https://paven.io/benefits/article/1gd9ZmQkYFEtWHRWxNeOAb" TargetMode="External"/><Relationship Id="rId269" Type="http://schemas.openxmlformats.org/officeDocument/2006/relationships/hyperlink" Target="https://paven.io/content/article/3Q0zXwmtXrfHBEC8phxJZM" TargetMode="External"/><Relationship Id="rId434" Type="http://schemas.openxmlformats.org/officeDocument/2006/relationships/hyperlink" Target="https://www.figma.com/design/uZMJGIEDq3IFjseOrDLe7j/Q3-2023-Content-Articles?node-id=3683-5632&amp;t=RjSzlPHx8wGfbUcK-1" TargetMode="External"/><Relationship Id="rId476" Type="http://schemas.openxmlformats.org/officeDocument/2006/relationships/hyperlink" Target="https://www.figma.com/design/UOXktKMNWVxBSuZJhNGdyu/Goals?node-id=3505-71716&amp;t=d6MHhwFJ4Ajl1iXH-1" TargetMode="External"/><Relationship Id="rId33" Type="http://schemas.openxmlformats.org/officeDocument/2006/relationships/hyperlink" Target="https://www.figma.com/design/aSTWrOeNiAFlD09ABian5K/Q3-2024-Content-Articles?node-id=5623-7593&amp;t=zVi6fJuH8A3kyTdv-1" TargetMode="External"/><Relationship Id="rId129" Type="http://schemas.openxmlformats.org/officeDocument/2006/relationships/hyperlink" Target="https://www.figma.com/design/m69lHYikNQaP9uHS0HOTS0/Q1-2024-Content-Articles?node-id=3380-450256&amp;t=pYNmmGOBJVcmM98o-1" TargetMode="External"/><Relationship Id="rId280" Type="http://schemas.openxmlformats.org/officeDocument/2006/relationships/hyperlink" Target="https://paven.io/benefits/article/1t7PMBzjZvmyyMBNqIwe5O" TargetMode="External"/><Relationship Id="rId336" Type="http://schemas.openxmlformats.org/officeDocument/2006/relationships/hyperlink" Target="https://paven.io/content/article/4atTA7AqiRbjNxT09LZzwz" TargetMode="External"/><Relationship Id="rId501" Type="http://schemas.openxmlformats.org/officeDocument/2006/relationships/hyperlink" Target="https://www.figma.com/design/W6E6iz9oGIXW7Sso0rxbIs/Q2-2025-Content-Articles?node-id=4238-2215&amp;t=XjeBpdKIVK084eQs-1" TargetMode="External"/><Relationship Id="rId75" Type="http://schemas.openxmlformats.org/officeDocument/2006/relationships/hyperlink" Target="https://www.figma.com/design/i47pYiJ10vqlvx0co3h46m/Q4-2022---Q1-2023-Content-Articles-(batch-16-23)?node-id=459-43486&amp;t=V1quavg1MmDh9NVO-1" TargetMode="External"/><Relationship Id="rId140" Type="http://schemas.openxmlformats.org/officeDocument/2006/relationships/hyperlink" Target="https://www.figma.com/design/m69lHYikNQaP9uHS0HOTS0/Q1-2024-Content-Articles?node-id=3378-109920&amp;t=pYNmmGOBJVcmM98o-1" TargetMode="External"/><Relationship Id="rId182" Type="http://schemas.openxmlformats.org/officeDocument/2006/relationships/hyperlink" Target="https://paven.io/content/article/7uhXBF090dFidOiHYMXhU7" TargetMode="External"/><Relationship Id="rId378" Type="http://schemas.openxmlformats.org/officeDocument/2006/relationships/hyperlink" Target="https://paven.io/benefits/article/WA3DmlVQH6o5RaHucnYXc" TargetMode="External"/><Relationship Id="rId403" Type="http://schemas.openxmlformats.org/officeDocument/2006/relationships/hyperlink" Target="https://www.figma.com/design/4zIxPm1xJMXTzmg2RSOzMH/Q2-2023-Content-Articles?node-id=3729-23196&amp;t=fe1fCl3NIF7BLK6G-1" TargetMode="External"/><Relationship Id="rId6" Type="http://schemas.openxmlformats.org/officeDocument/2006/relationships/hyperlink" Target="https://www.figma.com/design/HKyVNfdIqnvNaKD4K8Iomr/Q4-2024-Content-Articles?node-id=7-3&amp;t=AqgdEqfLl4OMOSTi-1" TargetMode="External"/><Relationship Id="rId238" Type="http://schemas.openxmlformats.org/officeDocument/2006/relationships/hyperlink" Target="https://paven.io/content/article/4bE3qo1XwVXkKKXwtyrWh2" TargetMode="External"/><Relationship Id="rId445" Type="http://schemas.openxmlformats.org/officeDocument/2006/relationships/hyperlink" Target="https://www.figma.com/design/gz3fc7somKwSzVzDbmgdM4/Q4-2023-Content-Articles?node-id=3078-15224&amp;t=fE9pUkwvfnUKyH7f-1" TargetMode="External"/><Relationship Id="rId487" Type="http://schemas.openxmlformats.org/officeDocument/2006/relationships/hyperlink" Target="https://www.figma.com/design/UOXktKMNWVxBSuZJhNGdyu/Goals?node-id=3508-49771&amp;t=d6MHhwFJ4Ajl1iXH-1" TargetMode="External"/><Relationship Id="rId291" Type="http://schemas.openxmlformats.org/officeDocument/2006/relationships/hyperlink" Target="https://paven.io/benefits/article/1duNyvJJQXqpJzwPwiAgHa" TargetMode="External"/><Relationship Id="rId305" Type="http://schemas.openxmlformats.org/officeDocument/2006/relationships/hyperlink" Target="https://paven.io/benefits/article/2CyrFV8rtLWryn5JYa4yoI" TargetMode="External"/><Relationship Id="rId347" Type="http://schemas.openxmlformats.org/officeDocument/2006/relationships/hyperlink" Target="https://paven.io/content/article/3Q0zXwmtXrfHBEC8phxJZM" TargetMode="External"/><Relationship Id="rId44" Type="http://schemas.openxmlformats.org/officeDocument/2006/relationships/hyperlink" Target="https://www.figma.com/design/Pb5fwUNVNDCjWaQ8QVAihm/Q2-2024-Content-Articles?node-id=1614-38902&amp;t=rz4v3A4dHAOgTO1E-1" TargetMode="External"/><Relationship Id="rId86" Type="http://schemas.openxmlformats.org/officeDocument/2006/relationships/hyperlink" Target="https://www.figma.com/design/i47pYiJ10vqlvx0co3h46m/Q4-2022---Q1-2023-Content-Articles-(batch-16-23)?node-id=377-41081&amp;t=V1quavg1MmDh9NVO-1" TargetMode="External"/><Relationship Id="rId151" Type="http://schemas.openxmlformats.org/officeDocument/2006/relationships/hyperlink" Target="https://paven.io/content/article/6BSnt3S9Zwu74QHDX1PhsS" TargetMode="External"/><Relationship Id="rId389" Type="http://schemas.openxmlformats.org/officeDocument/2006/relationships/hyperlink" Target="https://www.figma.com/design/UY5lho3pQ9DqMFgAyaZsmB?node-id=1591-9488" TargetMode="External"/><Relationship Id="rId193" Type="http://schemas.openxmlformats.org/officeDocument/2006/relationships/hyperlink" Target="https://paven.io/content/article/3S7nyY4lreozOyIPFJSNwA" TargetMode="External"/><Relationship Id="rId207" Type="http://schemas.openxmlformats.org/officeDocument/2006/relationships/hyperlink" Target="https://paven.io/content/article/4AVBAIJEUPBkrXOgCyHhGC" TargetMode="External"/><Relationship Id="rId249" Type="http://schemas.openxmlformats.org/officeDocument/2006/relationships/hyperlink" Target="https://paven.io/content/article/3wVQBD9WjA6XENtpJCeDcH" TargetMode="External"/><Relationship Id="rId414" Type="http://schemas.openxmlformats.org/officeDocument/2006/relationships/hyperlink" Target="https://www.figma.com/design/uZMJGIEDq3IFjseOrDLe7j/Q3-2023-Content-Articles?node-id=3684-17928&amp;t=RjSzlPHx8wGfbUcK-1" TargetMode="External"/><Relationship Id="rId456" Type="http://schemas.openxmlformats.org/officeDocument/2006/relationships/hyperlink" Target="https://www.figma.com/design/UOXktKMNWVxBSuZJhNGdyu/Goals?node-id=3496-6025&amp;t=d6MHhwFJ4Ajl1iXH-1" TargetMode="External"/><Relationship Id="rId498" Type="http://schemas.openxmlformats.org/officeDocument/2006/relationships/hyperlink" Target="https://www.figma.com/design/W6E6iz9oGIXW7Sso0rxbIs/Q2-2025-Content-Articles?node-id=3871-9109&amp;t=XjeBpdKIVK084eQs-1" TargetMode="External"/><Relationship Id="rId13" Type="http://schemas.openxmlformats.org/officeDocument/2006/relationships/hyperlink" Target="https://www.figma.com/design/UY5lho3pQ9DqMFgAyaZsmB/Q1-2025-Content-Articles?node-id=0-1&amp;t=5scixHHFIkKQm9XJ-1" TargetMode="External"/><Relationship Id="rId109" Type="http://schemas.openxmlformats.org/officeDocument/2006/relationships/hyperlink" Target="https://www.figma.com/design/i47pYiJ10vqlvx0co3h46m/Q4-2022---Q1-2023-Content-Articles-(batch-16-23)?node-id=462-22086&amp;t=QfOhOC59Yq3Jb2Zy-1" TargetMode="External"/><Relationship Id="rId260" Type="http://schemas.openxmlformats.org/officeDocument/2006/relationships/hyperlink" Target="https://paven.io/benefits/article/4Fi7sXj4Ct2JLJGacTZCvY" TargetMode="External"/><Relationship Id="rId316" Type="http://schemas.openxmlformats.org/officeDocument/2006/relationships/hyperlink" Target="https://paven.io/content/article/5qoJLW35jRce13UYUYXo5t" TargetMode="External"/><Relationship Id="rId55" Type="http://schemas.openxmlformats.org/officeDocument/2006/relationships/hyperlink" Target="https://www.figma.com/design/Pb5fwUNVNDCjWaQ8QVAihm/Q2-2024-Content-Articles?node-id=1981-6745&amp;t=rz4v3A4dHAOgTO1E-1" TargetMode="External"/><Relationship Id="rId97" Type="http://schemas.openxmlformats.org/officeDocument/2006/relationships/hyperlink" Target="https://www.figma.com/design/i47pYiJ10vqlvx0co3h46m/Q4-2022---Q1-2023-Content-Articles-(batch-16-23)?node-id=459-82422&amp;t=V1quavg1MmDh9NVO-1" TargetMode="External"/><Relationship Id="rId120" Type="http://schemas.openxmlformats.org/officeDocument/2006/relationships/hyperlink" Target="https://www.figma.com/design/i47pYiJ10vqlvx0co3h46m/Q4-2022---Q1-2023-Content-Articles-(batch-16-23)?node-id=463-29862&amp;t=QfOhOC59Yq3Jb2Zy-1" TargetMode="External"/><Relationship Id="rId358" Type="http://schemas.openxmlformats.org/officeDocument/2006/relationships/hyperlink" Target="https://paven.io/content/article/53LdBP0TB56I0LSghv9M9C" TargetMode="External"/><Relationship Id="rId162" Type="http://schemas.openxmlformats.org/officeDocument/2006/relationships/hyperlink" Target="https://paven.io/content/article/1NZMCPBnYrfE3v0M9fSXt4" TargetMode="External"/><Relationship Id="rId218" Type="http://schemas.openxmlformats.org/officeDocument/2006/relationships/hyperlink" Target="https://paven.io/content/article/6yUQLPT9Pjn1epVxxcTk4O" TargetMode="External"/><Relationship Id="rId425" Type="http://schemas.openxmlformats.org/officeDocument/2006/relationships/hyperlink" Target="https://www.figma.com/design/uZMJGIEDq3IFjseOrDLe7j/Q3-2023-Content-Articles?node-id=3683-13244&amp;t=RjSzlPHx8wGfbUcK-1" TargetMode="External"/><Relationship Id="rId467" Type="http://schemas.openxmlformats.org/officeDocument/2006/relationships/hyperlink" Target="https://www.figma.com/design/UOXktKMNWVxBSuZJhNGdyu/Goals?node-id=3498-39615&amp;t=d6MHhwFJ4Ajl1iXH-1" TargetMode="External"/><Relationship Id="rId271" Type="http://schemas.openxmlformats.org/officeDocument/2006/relationships/hyperlink" Target="https://paven.io/content/article/69UF4T9T37ZJgjLcueyCJN" TargetMode="External"/><Relationship Id="rId24" Type="http://schemas.openxmlformats.org/officeDocument/2006/relationships/hyperlink" Target="https://www.figma.com/design/i47pYiJ10vqlvx0co3h46m/Q4-2022---Q1-2023-Content-Articles-(batch-16-23)?node-id=456-39135&amp;t=Q2DHer4p4jJQ3cc5-1" TargetMode="External"/><Relationship Id="rId66" Type="http://schemas.openxmlformats.org/officeDocument/2006/relationships/hyperlink" Target="https://www.figma.com/design/i47pYiJ10vqlvx0co3h46m/Q4-2022---Q1-2023-Content-Articles-(batch-16-23)?node-id=456-39146&amp;t=V1quavg1MmDh9NVO-1" TargetMode="External"/><Relationship Id="rId131" Type="http://schemas.openxmlformats.org/officeDocument/2006/relationships/hyperlink" Target="https://www.figma.com/design/m69lHYikNQaP9uHS0HOTS0/Q1-2024-Content-Articles?node-id=3378-169458&amp;t=pYNmmGOBJVcmM98o-1" TargetMode="External"/><Relationship Id="rId327" Type="http://schemas.openxmlformats.org/officeDocument/2006/relationships/hyperlink" Target="https://paven.io/content/article/4fidwgcCBLhNbpfnNCmxOg" TargetMode="External"/><Relationship Id="rId369" Type="http://schemas.openxmlformats.org/officeDocument/2006/relationships/hyperlink" Target="https://paven.io/content/article/1kIlL7EFyi6CY63NFAOaRU" TargetMode="External"/><Relationship Id="rId173" Type="http://schemas.openxmlformats.org/officeDocument/2006/relationships/hyperlink" Target="https://paven.io/content/article/6JPHUAfF9TrK1IfGnXOu0i" TargetMode="External"/><Relationship Id="rId229" Type="http://schemas.openxmlformats.org/officeDocument/2006/relationships/hyperlink" Target="https://paven.io/benefits/article/5MI8Ls8IGPcUt3AJFuIzMr" TargetMode="External"/><Relationship Id="rId380" Type="http://schemas.openxmlformats.org/officeDocument/2006/relationships/hyperlink" Target="https://paven.io/benefits/article/1L6cNuSBWbV4DYnL6QyF12" TargetMode="External"/><Relationship Id="rId436" Type="http://schemas.openxmlformats.org/officeDocument/2006/relationships/hyperlink" Target="https://www.figma.com/design/gz3fc7somKwSzVzDbmgdM4/Q4-2023-Content-Articles?node-id=3080-15229&amp;t=fE9pUkwvfnUKyH7f-1" TargetMode="External"/><Relationship Id="rId240" Type="http://schemas.openxmlformats.org/officeDocument/2006/relationships/hyperlink" Target="https://paven.io/benefits/article/KqhuSFoODJlrEVoBt3Eqa" TargetMode="External"/><Relationship Id="rId478" Type="http://schemas.openxmlformats.org/officeDocument/2006/relationships/hyperlink" Target="https://www.figma.com/design/UOXktKMNWVxBSuZJhNGdyu/Goals?node-id=3506-15144&amp;t=d6MHhwFJ4Ajl1iXH-1" TargetMode="External"/><Relationship Id="rId35" Type="http://schemas.openxmlformats.org/officeDocument/2006/relationships/hyperlink" Target="https://www.figma.com/design/aSTWrOeNiAFlD09ABian5K/Q3-2024-Content-Articles?node-id=5820-1044&amp;t=zVi6fJuH8A3kyTdv-1" TargetMode="External"/><Relationship Id="rId77" Type="http://schemas.openxmlformats.org/officeDocument/2006/relationships/hyperlink" Target="https://www.figma.com/design/i47pYiJ10vqlvx0co3h46m/Q4-2022---Q1-2023-Content-Articles-(batch-16-23)?node-id=364-20936&amp;t=V1quavg1MmDh9NVO-1" TargetMode="External"/><Relationship Id="rId100" Type="http://schemas.openxmlformats.org/officeDocument/2006/relationships/hyperlink" Target="https://www.figma.com/design/i47pYiJ10vqlvx0co3h46m/Q4-2022---Q1-2023-Content-Articles-(batch-16-23)?node-id=461-34819&amp;t=V1quavg1MmDh9NVO-1" TargetMode="External"/><Relationship Id="rId282" Type="http://schemas.openxmlformats.org/officeDocument/2006/relationships/hyperlink" Target="https://paven.io/benefits/article/3KYnw2do1wxFB6Q1yqiXlb" TargetMode="External"/><Relationship Id="rId338" Type="http://schemas.openxmlformats.org/officeDocument/2006/relationships/hyperlink" Target="https://paven.io/content/article/24EKun9qmexZ5bYEoQPiha" TargetMode="External"/><Relationship Id="rId503" Type="http://schemas.openxmlformats.org/officeDocument/2006/relationships/hyperlink" Target="https://www.figma.com/design/W6E6iz9oGIXW7Sso0rxbIs/Q2-2025-Content-Articles?node-id=4527-445&amp;t=XjeBpdKIVK084eQs-1" TargetMode="External"/><Relationship Id="rId8" Type="http://schemas.openxmlformats.org/officeDocument/2006/relationships/hyperlink" Target="https://www.figma.com/design/UY5lho3pQ9DqMFgAyaZsmB/Q1-2025-Content-Articles?node-id=2-2301&amp;t=5scixHHFIkKQm9XJ-1" TargetMode="External"/><Relationship Id="rId142" Type="http://schemas.openxmlformats.org/officeDocument/2006/relationships/hyperlink" Target="https://www.figma.com/design/m69lHYikNQaP9uHS0HOTS0/Q1-2024-Content-Articles?node-id=3378-25701&amp;t=pYNmmGOBJVcmM98o-1" TargetMode="External"/><Relationship Id="rId184" Type="http://schemas.openxmlformats.org/officeDocument/2006/relationships/hyperlink" Target="https://paven.io/content/article/5ec1eOLS5EBKWvZpMuyQmu" TargetMode="External"/><Relationship Id="rId391" Type="http://schemas.openxmlformats.org/officeDocument/2006/relationships/hyperlink" Target="https://www.figma.com/design/4zIxPm1xJMXTzmg2RSOzMH/Q2-2023-Content-Articles?node-id=3704-8851&amp;t=fe1fCl3NIF7BLK6G-1" TargetMode="External"/><Relationship Id="rId405" Type="http://schemas.openxmlformats.org/officeDocument/2006/relationships/hyperlink" Target="https://www.figma.com/design/4zIxPm1xJMXTzmg2RSOzMH/Q2-2023-Content-Articles?node-id=3729-23194&amp;t=fe1fCl3NIF7BLK6G-1" TargetMode="External"/><Relationship Id="rId447" Type="http://schemas.openxmlformats.org/officeDocument/2006/relationships/hyperlink" Target="https://www.figma.com/design/gz3fc7somKwSzVzDbmgdM4/Q4-2023-Content-Articles?node-id=3042-14469&amp;t=fE9pUkwvfnUKyH7f-1" TargetMode="External"/><Relationship Id="rId251" Type="http://schemas.openxmlformats.org/officeDocument/2006/relationships/hyperlink" Target="https://paven.io/content/article/6F1szxVu6HyWcclAgJPKcR" TargetMode="External"/><Relationship Id="rId489" Type="http://schemas.openxmlformats.org/officeDocument/2006/relationships/hyperlink" Target="https://www.figma.com/design/UOXktKMNWVxBSuZJhNGdyu/Goals?node-id=3508-49767&amp;t=d6MHhwFJ4Ajl1iXH-1" TargetMode="External"/><Relationship Id="rId46" Type="http://schemas.openxmlformats.org/officeDocument/2006/relationships/hyperlink" Target="https://www.figma.com/design/Pb5fwUNVNDCjWaQ8QVAihm/Q2-2024-Content-Articles?node-id=1614-8259&amp;t=rz4v3A4dHAOgTO1E-1" TargetMode="External"/><Relationship Id="rId293" Type="http://schemas.openxmlformats.org/officeDocument/2006/relationships/hyperlink" Target="https://paven.io/content/article/owseBAvFJG0YhuvrzfRpI" TargetMode="External"/><Relationship Id="rId307" Type="http://schemas.openxmlformats.org/officeDocument/2006/relationships/hyperlink" Target="https://paven.io/content/article/568I80o7WBI63nux9NkzU7" TargetMode="External"/><Relationship Id="rId349" Type="http://schemas.openxmlformats.org/officeDocument/2006/relationships/hyperlink" Target="https://paven.io/benefits/article/4Fi7sXj4Ct2JLJGacTZCvY" TargetMode="External"/><Relationship Id="rId88" Type="http://schemas.openxmlformats.org/officeDocument/2006/relationships/hyperlink" Target="https://www.figma.com/design/i47pYiJ10vqlvx0co3h46m/Q4-2022---Q1-2023-Content-Articles-(batch-16-23)?node-id=377-41083&amp;t=V1quavg1MmDh9NVO-1" TargetMode="External"/><Relationship Id="rId111" Type="http://schemas.openxmlformats.org/officeDocument/2006/relationships/hyperlink" Target="https://www.figma.com/design/i47pYiJ10vqlvx0co3h46m/Q4-2022---Q1-2023-Content-Articles-(batch-16-23)?node-id=463-22204&amp;t=QfOhOC59Yq3Jb2Zy-1" TargetMode="External"/><Relationship Id="rId153" Type="http://schemas.openxmlformats.org/officeDocument/2006/relationships/hyperlink" Target="https://paven.io/content/article/2vcmDPcrP6hJEuqJ6Q086E" TargetMode="External"/><Relationship Id="rId195" Type="http://schemas.openxmlformats.org/officeDocument/2006/relationships/hyperlink" Target="https://paven.io/content/article/5U5ooQfYzyhvW8tjsb21zd" TargetMode="External"/><Relationship Id="rId209" Type="http://schemas.openxmlformats.org/officeDocument/2006/relationships/hyperlink" Target="https://paven.io/content/article/16ulTh3hdn7KndU6NnVaYJ" TargetMode="External"/><Relationship Id="rId360" Type="http://schemas.openxmlformats.org/officeDocument/2006/relationships/hyperlink" Target="https://paven.io/benefits/article/28YSED1qOo6rFxBXoYsX4q" TargetMode="External"/><Relationship Id="rId416" Type="http://schemas.openxmlformats.org/officeDocument/2006/relationships/hyperlink" Target="https://www.figma.com/design/uZMJGIEDq3IFjseOrDLe7j/Q3-2023-Content-Articles?node-id=3684-17932&amp;t=RjSzlPHx8wGfbUcK-1" TargetMode="External"/><Relationship Id="rId220" Type="http://schemas.openxmlformats.org/officeDocument/2006/relationships/hyperlink" Target="https://paven.io/content/article/5mfqS9Vfc864cqZOaxR0tM" TargetMode="External"/><Relationship Id="rId458" Type="http://schemas.openxmlformats.org/officeDocument/2006/relationships/hyperlink" Target="https://www.figma.com/design/UOXktKMNWVxBSuZJhNGdyu/Goals?node-id=3496-10081&amp;t=d6MHhwFJ4Ajl1iXH-1" TargetMode="External"/><Relationship Id="rId15" Type="http://schemas.openxmlformats.org/officeDocument/2006/relationships/hyperlink" Target="https://www.figma.com/design/UY5lho3pQ9DqMFgAyaZsmB/Q1-2025-Content-Articles?node-id=923-9730&amp;t=5scixHHFIkKQm9XJ-1" TargetMode="External"/><Relationship Id="rId57" Type="http://schemas.openxmlformats.org/officeDocument/2006/relationships/hyperlink" Target="https://www.figma.com/design/Pb5fwUNVNDCjWaQ8QVAihm/Q2-2024-Content-Articles?node-id=2471-1088&amp;t=rz4v3A4dHAOgTO1E-1" TargetMode="External"/><Relationship Id="rId262" Type="http://schemas.openxmlformats.org/officeDocument/2006/relationships/hyperlink" Target="https://paven.io/content/article/50oWn84kkJSaZggoQnXRnf" TargetMode="External"/><Relationship Id="rId318" Type="http://schemas.openxmlformats.org/officeDocument/2006/relationships/hyperlink" Target="https://paven.io/content/article/2k6Eyec0Fo5VaeSoRObjND" TargetMode="External"/><Relationship Id="rId99" Type="http://schemas.openxmlformats.org/officeDocument/2006/relationships/hyperlink" Target="https://www.figma.com/design/i47pYiJ10vqlvx0co3h46m/Q4-2022---Q1-2023-Content-Articles-(batch-16-23)?node-id=461-34818&amp;t=V1quavg1MmDh9NVO-1" TargetMode="External"/><Relationship Id="rId122" Type="http://schemas.openxmlformats.org/officeDocument/2006/relationships/hyperlink" Target="https://www.figma.com/design/i47pYiJ10vqlvx0co3h46m/Q4-2022---Q1-2023-Content-Articles-(batch-16-23)?node-id=463-29864&amp;t=QfOhOC59Yq3Jb2Zy-1" TargetMode="External"/><Relationship Id="rId164" Type="http://schemas.openxmlformats.org/officeDocument/2006/relationships/hyperlink" Target="https://paven.io/content/article/6Eee9pQ3rSkCdLJnUBahVT" TargetMode="External"/><Relationship Id="rId371" Type="http://schemas.openxmlformats.org/officeDocument/2006/relationships/hyperlink" Target="https://paven.io/content/article/3vbcTmQbjEpBqZJttpM8RL" TargetMode="External"/><Relationship Id="rId427" Type="http://schemas.openxmlformats.org/officeDocument/2006/relationships/hyperlink" Target="https://www.figma.com/design/uZMJGIEDq3IFjseOrDLe7j/Q3-2023-Content-Articles?node-id=3683-12821&amp;t=RjSzlPHx8wGfbUcK-1" TargetMode="External"/><Relationship Id="rId469" Type="http://schemas.openxmlformats.org/officeDocument/2006/relationships/hyperlink" Target="https://www.figma.com/design/UOXktKMNWVxBSuZJhNGdyu/Goals?node-id=3500-67990&amp;t=d6MHhwFJ4Ajl1iXH-1" TargetMode="External"/><Relationship Id="rId26" Type="http://schemas.openxmlformats.org/officeDocument/2006/relationships/hyperlink" Target="https://www.figma.com/design/i47pYiJ10vqlvx0co3h46m/Q4-2022---Q1-2023-Content-Articles-(batch-16-23)?node-id=456-39137&amp;t=Q2DHer4p4jJQ3cc5-1" TargetMode="External"/><Relationship Id="rId231" Type="http://schemas.openxmlformats.org/officeDocument/2006/relationships/hyperlink" Target="https://paven.io/benefits/article/5BoGLnjCZiOA8kMCEVkPE6" TargetMode="External"/><Relationship Id="rId273" Type="http://schemas.openxmlformats.org/officeDocument/2006/relationships/hyperlink" Target="https://paven.io/content/article/HXowITNK4984Sui2euL0h" TargetMode="External"/><Relationship Id="rId329" Type="http://schemas.openxmlformats.org/officeDocument/2006/relationships/hyperlink" Target="https://paven.io/content/article/6sHwvmM1xUQL8BJ4t8MPqn" TargetMode="External"/><Relationship Id="rId480" Type="http://schemas.openxmlformats.org/officeDocument/2006/relationships/hyperlink" Target="https://www.figma.com/design/UOXktKMNWVxBSuZJhNGdyu/Goals?node-id=3506-15654&amp;t=d6MHhwFJ4Ajl1iXH-1" TargetMode="External"/><Relationship Id="rId68" Type="http://schemas.openxmlformats.org/officeDocument/2006/relationships/hyperlink" Target="https://www.figma.com/design/i47pYiJ10vqlvx0co3h46m/Q4-2022---Q1-2023-Content-Articles-(batch-16-23)?node-id=456-39145&amp;t=V1quavg1MmDh9NVO-1" TargetMode="External"/><Relationship Id="rId133" Type="http://schemas.openxmlformats.org/officeDocument/2006/relationships/hyperlink" Target="https://www.figma.com/design/m69lHYikNQaP9uHS0HOTS0/Q1-2024-Content-Articles?node-id=3378-234157&amp;t=pYNmmGOBJVcmM98o-1" TargetMode="External"/><Relationship Id="rId175" Type="http://schemas.openxmlformats.org/officeDocument/2006/relationships/hyperlink" Target="https://paven.io/content/article/30CmxhE9d1pcdGvGaYSuId" TargetMode="External"/><Relationship Id="rId340" Type="http://schemas.openxmlformats.org/officeDocument/2006/relationships/hyperlink" Target="https://paven.io/benefits/article/7ytYA6U1nLLJROygso7ygy" TargetMode="External"/><Relationship Id="rId200" Type="http://schemas.openxmlformats.org/officeDocument/2006/relationships/hyperlink" Target="https://paven.io/content/article/66VCctIqO7bnPrHKJUwcpF" TargetMode="External"/><Relationship Id="rId382" Type="http://schemas.openxmlformats.org/officeDocument/2006/relationships/hyperlink" Target="https://paven.io/benefits/article/7Mm3VtLoQS4lV5IMc6gPZ9" TargetMode="External"/><Relationship Id="rId438" Type="http://schemas.openxmlformats.org/officeDocument/2006/relationships/hyperlink" Target="https://www.figma.com/design/gz3fc7somKwSzVzDbmgdM4/Q4-2023-Content-Articles?node-id=3082-15231&amp;t=fE9pUkwvfnUKyH7f-1" TargetMode="External"/><Relationship Id="rId242" Type="http://schemas.openxmlformats.org/officeDocument/2006/relationships/hyperlink" Target="https://paven.io/benefits/article/2Jq1sjfCfKlVuTQoLDd0hj" TargetMode="External"/><Relationship Id="rId284" Type="http://schemas.openxmlformats.org/officeDocument/2006/relationships/hyperlink" Target="https://paven.io/benefits/article/3xFrNb6oN95ndELeTISCZm" TargetMode="External"/><Relationship Id="rId491" Type="http://schemas.openxmlformats.org/officeDocument/2006/relationships/hyperlink" Target="https://www.figma.com/design/kkMh7aGZkJopf7n5lbrrpX/Life-Moments?node-id=2562-6333&amp;t=scW7PhQJA030oT78-1" TargetMode="External"/><Relationship Id="rId37" Type="http://schemas.openxmlformats.org/officeDocument/2006/relationships/hyperlink" Target="https://www.figma.com/design/aSTWrOeNiAFlD09ABian5K/Q3-2024-Content-Articles?node-id=2094-5050&amp;t=zVi6fJuH8A3kyTdv-1" TargetMode="External"/><Relationship Id="rId79" Type="http://schemas.openxmlformats.org/officeDocument/2006/relationships/hyperlink" Target="https://www.figma.com/design/i47pYiJ10vqlvx0co3h46m/Q4-2022---Q1-2023-Content-Articles-(batch-16-23)?node-id=364-20941&amp;t=V1quavg1MmDh9NVO-1" TargetMode="External"/><Relationship Id="rId102" Type="http://schemas.openxmlformats.org/officeDocument/2006/relationships/hyperlink" Target="https://www.figma.com/design/i47pYiJ10vqlvx0co3h46m/Q4-2022---Q1-2023-Content-Articles-(batch-16-23)?node-id=462-18235&amp;t=AZaULhiHG8rTkCfU-1" TargetMode="External"/><Relationship Id="rId144" Type="http://schemas.openxmlformats.org/officeDocument/2006/relationships/hyperlink" Target="https://www.figma.com/design/m69lHYikNQaP9uHS0HOTS0/Q1-2024-Content-Articles?node-id=3378-122411&amp;t=pYNmmGOBJVcmM98o-1" TargetMode="External"/><Relationship Id="rId90" Type="http://schemas.openxmlformats.org/officeDocument/2006/relationships/hyperlink" Target="https://www.figma.com/design/i47pYiJ10vqlvx0co3h46m/Q4-2022---Q1-2023-Content-Articles-(batch-16-23)?node-id=377-41086&amp;t=V1quavg1MmDh9NVO-1" TargetMode="External"/><Relationship Id="rId186" Type="http://schemas.openxmlformats.org/officeDocument/2006/relationships/hyperlink" Target="https://paven.io/benefits/article/1gd9ZmQkYFEtWHRWxNeOAb" TargetMode="External"/><Relationship Id="rId351" Type="http://schemas.openxmlformats.org/officeDocument/2006/relationships/hyperlink" Target="https://paven.io/content/article/2q9XfOENOwskR2qHKbXflf" TargetMode="External"/><Relationship Id="rId393" Type="http://schemas.openxmlformats.org/officeDocument/2006/relationships/hyperlink" Target="https://www.figma.com/design/4zIxPm1xJMXTzmg2RSOzMH/Q2-2023-Content-Articles?node-id=3731-8851&amp;t=fe1fCl3NIF7BLK6G-1" TargetMode="External"/><Relationship Id="rId407" Type="http://schemas.openxmlformats.org/officeDocument/2006/relationships/hyperlink" Target="https://www.figma.com/design/4zIxPm1xJMXTzmg2RSOzMH/Q2-2023-Content-Articles?node-id=3729-23198&amp;t=fe1fCl3NIF7BLK6G-1" TargetMode="External"/><Relationship Id="rId449" Type="http://schemas.openxmlformats.org/officeDocument/2006/relationships/hyperlink" Target="https://www.figma.com/design/kkMh7aGZkJopf7n5lbrrpX/Life-Moments?node-id=2565-19454&amp;t=scW7PhQJA030oT78-1" TargetMode="External"/><Relationship Id="rId211" Type="http://schemas.openxmlformats.org/officeDocument/2006/relationships/hyperlink" Target="https://paven.io/content/article/6Qie4jKs1GkUWEqxd8Gtg2" TargetMode="External"/><Relationship Id="rId253" Type="http://schemas.openxmlformats.org/officeDocument/2006/relationships/hyperlink" Target="https://paven.io/benefits/article/6JB7mIvY7CrCOMBNAI59E6" TargetMode="External"/><Relationship Id="rId295" Type="http://schemas.openxmlformats.org/officeDocument/2006/relationships/hyperlink" Target="https://paven.io/benefits/article/6XCEwyemBBRWG7qJLT0z0g" TargetMode="External"/><Relationship Id="rId309" Type="http://schemas.openxmlformats.org/officeDocument/2006/relationships/hyperlink" Target="https://paven.io/content/article/48iNpsQ4joTaOyNd63p5FB" TargetMode="External"/><Relationship Id="rId460" Type="http://schemas.openxmlformats.org/officeDocument/2006/relationships/hyperlink" Target="https://www.figma.com/design/UOXktKMNWVxBSuZJhNGdyu/Goals?node-id=3498-39610&amp;t=d6MHhwFJ4Ajl1iXH-1" TargetMode="External"/><Relationship Id="rId48" Type="http://schemas.openxmlformats.org/officeDocument/2006/relationships/hyperlink" Target="https://www.figma.com/design/Pb5fwUNVNDCjWaQ8QVAihm/Q2-2024-Content-Articles?node-id=1601-91810&amp;t=rz4v3A4dHAOgTO1E-1" TargetMode="External"/><Relationship Id="rId113" Type="http://schemas.openxmlformats.org/officeDocument/2006/relationships/hyperlink" Target="https://www.figma.com/design/i47pYiJ10vqlvx0co3h46m/Q4-2022---Q1-2023-Content-Articles-(batch-16-23)?node-id=463-22207&amp;t=QfOhOC59Yq3Jb2Zy-1" TargetMode="External"/><Relationship Id="rId320" Type="http://schemas.openxmlformats.org/officeDocument/2006/relationships/hyperlink" Target="https://paven.io/benefits/article/34nlgdxtAqTq2Z8Z3WDxBh" TargetMode="External"/><Relationship Id="rId155" Type="http://schemas.openxmlformats.org/officeDocument/2006/relationships/hyperlink" Target="https://paven.io/content/article/2YEbx95wNuqCh5IS2Z6Mi9" TargetMode="External"/><Relationship Id="rId197" Type="http://schemas.openxmlformats.org/officeDocument/2006/relationships/hyperlink" Target="https://paven.io/content/article/3hojfRCz5EwIG4gmFoyjf7" TargetMode="External"/><Relationship Id="rId362" Type="http://schemas.openxmlformats.org/officeDocument/2006/relationships/hyperlink" Target="https://paven.io/benefits/article/3oGUJCzpqo1VJHViXAXikB" TargetMode="External"/><Relationship Id="rId418" Type="http://schemas.openxmlformats.org/officeDocument/2006/relationships/hyperlink" Target="https://www.figma.com/design/uZMJGIEDq3IFjseOrDLe7j/Q3-2023-Content-Articles?node-id=3684-17933&amp;t=RjSzlPHx8wGfbUcK-1" TargetMode="External"/><Relationship Id="rId222" Type="http://schemas.openxmlformats.org/officeDocument/2006/relationships/hyperlink" Target="https://paven.io/content/article/3PDS3KiXZd3iH4L81CGmAE" TargetMode="External"/><Relationship Id="rId264" Type="http://schemas.openxmlformats.org/officeDocument/2006/relationships/hyperlink" Target="https://paven.io/content/article/7sGuAv9jvHEHcyChyPAr66" TargetMode="External"/><Relationship Id="rId471" Type="http://schemas.openxmlformats.org/officeDocument/2006/relationships/hyperlink" Target="https://www.figma.com/design/UOXktKMNWVxBSuZJhNGdyu/Goals?node-id=3500-67992&amp;t=d6MHhwFJ4Ajl1iXH-1" TargetMode="External"/><Relationship Id="rId17" Type="http://schemas.openxmlformats.org/officeDocument/2006/relationships/hyperlink" Target="https://www.figma.com/design/UY5lho3pQ9DqMFgAyaZsmB/Q1-2025-Content-Articles?node-id=1217-1500&amp;t=5scixHHFIkKQm9XJ-1" TargetMode="External"/><Relationship Id="rId59" Type="http://schemas.openxmlformats.org/officeDocument/2006/relationships/hyperlink" Target="https://www.figma.com/design/Pb5fwUNVNDCjWaQ8QVAihm/Q2-2024-Content-Articles?node-id=2481-55728&amp;t=rz4v3A4dHAOgTO1E-1" TargetMode="External"/><Relationship Id="rId124" Type="http://schemas.openxmlformats.org/officeDocument/2006/relationships/hyperlink" Target="https://www.figma.com/design/m69lHYikNQaP9uHS0HOTS0/Q1-2024-Content-Articles?node-id=3380-364329&amp;t=pYNmmGOBJVcmM98o-1" TargetMode="External"/><Relationship Id="rId70" Type="http://schemas.openxmlformats.org/officeDocument/2006/relationships/hyperlink" Target="https://www.figma.com/design/i47pYiJ10vqlvx0co3h46m/Q4-2022---Q1-2023-Content-Articles-(batch-16-23)?node-id=456-39200&amp;t=V1quavg1MmDh9NVO-1" TargetMode="External"/><Relationship Id="rId166" Type="http://schemas.openxmlformats.org/officeDocument/2006/relationships/hyperlink" Target="https://paven.io/content/article/31poVSYMQMCbeM2FQofIRi" TargetMode="External"/><Relationship Id="rId331" Type="http://schemas.openxmlformats.org/officeDocument/2006/relationships/hyperlink" Target="https://paven.io/content/article/76J6kwosrb6kJSeNFzcrvc" TargetMode="External"/><Relationship Id="rId373" Type="http://schemas.openxmlformats.org/officeDocument/2006/relationships/hyperlink" Target="https://paven.io/content/article/3HzSGEuGmSPQqRHVfR4IOW" TargetMode="External"/><Relationship Id="rId429" Type="http://schemas.openxmlformats.org/officeDocument/2006/relationships/hyperlink" Target="https://www.figma.com/design/uZMJGIEDq3IFjseOrDLe7j/Q3-2023-Content-Articles?node-id=3683-5633&amp;t=RjSzlPHx8wGfbUcK-1" TargetMode="External"/><Relationship Id="rId1" Type="http://schemas.openxmlformats.org/officeDocument/2006/relationships/hyperlink" Target="https://www.figma.com/design/HKyVNfdIqnvNaKD4K8Iomr/Q4-2024-Content-Articles?node-id=7-3&amp;t=AqgdEqfLl4OMOSTi-1" TargetMode="External"/><Relationship Id="rId233" Type="http://schemas.openxmlformats.org/officeDocument/2006/relationships/hyperlink" Target="https://paven.io/content/article/xkQal080XFEz669YXK0a6" TargetMode="External"/><Relationship Id="rId440" Type="http://schemas.openxmlformats.org/officeDocument/2006/relationships/hyperlink" Target="https://www.figma.com/design/gz3fc7somKwSzVzDbmgdM4/Q4-2023-Content-Articles?node-id=3082-15232&amp;t=fE9pUkwvfnUKyH7f-1" TargetMode="External"/><Relationship Id="rId28" Type="http://schemas.openxmlformats.org/officeDocument/2006/relationships/hyperlink" Target="https://www.figma.com/design/i47pYiJ10vqlvx0co3h46m/Q4-2022---Q1-2023-Content-Articles-(batch-16-23)?node-id=456-39139&amp;t=Q2DHer4p4jJQ3cc5-1" TargetMode="External"/><Relationship Id="rId275" Type="http://schemas.openxmlformats.org/officeDocument/2006/relationships/hyperlink" Target="https://paven.io/content/article/1bnU0IlpXboAmaOQcjI9vp" TargetMode="External"/><Relationship Id="rId300" Type="http://schemas.openxmlformats.org/officeDocument/2006/relationships/hyperlink" Target="https://paven.io/benefits/article/4C5n9JJZcO99mE9SZwhp4v" TargetMode="External"/><Relationship Id="rId482" Type="http://schemas.openxmlformats.org/officeDocument/2006/relationships/hyperlink" Target="https://www.figma.com/design/UOXktKMNWVxBSuZJhNGdyu/Goals?node-id=3508-49768&amp;t=d6MHhwFJ4Ajl1iXH-1" TargetMode="External"/><Relationship Id="rId81" Type="http://schemas.openxmlformats.org/officeDocument/2006/relationships/hyperlink" Target="https://www.figma.com/design/i47pYiJ10vqlvx0co3h46m/Q4-2022---Q1-2023-Content-Articles-(batch-16-23)?node-id=364-20939&amp;t=V1quavg1MmDh9NVO-1" TargetMode="External"/><Relationship Id="rId135" Type="http://schemas.openxmlformats.org/officeDocument/2006/relationships/hyperlink" Target="https://www.figma.com/design/m69lHYikNQaP9uHS0HOTS0/Q1-2024-Content-Articles?node-id=3378-183629&amp;t=pYNmmGOBJVcmM98o-1" TargetMode="External"/><Relationship Id="rId177" Type="http://schemas.openxmlformats.org/officeDocument/2006/relationships/hyperlink" Target="https://paven.io/content/article/5YkoPnRVpjBLBo3WxrT37z" TargetMode="External"/><Relationship Id="rId342" Type="http://schemas.openxmlformats.org/officeDocument/2006/relationships/hyperlink" Target="https://paven.io/content/article/3wVQBD9WjA6XENtpJCeDcH" TargetMode="External"/><Relationship Id="rId384" Type="http://schemas.openxmlformats.org/officeDocument/2006/relationships/hyperlink" Target="https://paven.io/content/article/6aYIsFk05vBlvKAeXdnldc" TargetMode="External"/><Relationship Id="rId202" Type="http://schemas.openxmlformats.org/officeDocument/2006/relationships/hyperlink" Target="https://paven.io/simulator/article/3BMy1Sz9edk5R9STChJbrl" TargetMode="External"/><Relationship Id="rId244" Type="http://schemas.openxmlformats.org/officeDocument/2006/relationships/hyperlink" Target="https://paven.io/content/article/6XIPFCiBIiiP5R95mOUjZW" TargetMode="External"/><Relationship Id="rId39" Type="http://schemas.openxmlformats.org/officeDocument/2006/relationships/hyperlink" Target="https://www.figma.com/design/Pb5fwUNVNDCjWaQ8QVAihm/Q2-2024-Content-Articles?node-id=1614-238197&amp;t=rz4v3A4dHAOgTO1E-1" TargetMode="External"/><Relationship Id="rId286" Type="http://schemas.openxmlformats.org/officeDocument/2006/relationships/hyperlink" Target="https://paven.io/content/article/40VkV7JkiFDi95pLlBpt1A" TargetMode="External"/><Relationship Id="rId451" Type="http://schemas.openxmlformats.org/officeDocument/2006/relationships/hyperlink" Target="https://www.figma.com/design/kkMh7aGZkJopf7n5lbrrpX/Life-Moments?node-id=2565-20757&amp;t=scW7PhQJA030oT78-1" TargetMode="External"/><Relationship Id="rId493" Type="http://schemas.openxmlformats.org/officeDocument/2006/relationships/hyperlink" Target="https://www.figma.com/design/W6E6iz9oGIXW7Sso0rxbIs/Q2-2025-Content-Articles?node-id=2-2301&amp;t=XjeBpdKIVK084eQs-1" TargetMode="External"/><Relationship Id="rId50" Type="http://schemas.openxmlformats.org/officeDocument/2006/relationships/hyperlink" Target="https://www.figma.com/design/Pb5fwUNVNDCjWaQ8QVAihm/Q2-2024-Content-Articles?node-id=1601-9522&amp;t=rz4v3A4dHAOgTO1E-1" TargetMode="External"/><Relationship Id="rId104" Type="http://schemas.openxmlformats.org/officeDocument/2006/relationships/hyperlink" Target="https://www.figma.com/design/i47pYiJ10vqlvx0co3h46m/Q4-2022---Q1-2023-Content-Articles-(batch-16-23)?node-id=462-18237&amp;t=QfOhOC59Yq3Jb2Zy-1" TargetMode="External"/><Relationship Id="rId146" Type="http://schemas.openxmlformats.org/officeDocument/2006/relationships/hyperlink" Target="https://paven.io/content/article/10BCj5GYLPT2pnrmRa8G01" TargetMode="External"/><Relationship Id="rId188" Type="http://schemas.openxmlformats.org/officeDocument/2006/relationships/hyperlink" Target="https://paven.io/content/article/6xmHo7bAgJ4twMxWcbmCw3" TargetMode="External"/><Relationship Id="rId311" Type="http://schemas.openxmlformats.org/officeDocument/2006/relationships/hyperlink" Target="https://paven.io/content/article/7mCJC3llYIp4sikdZ7rjSM" TargetMode="External"/><Relationship Id="rId353" Type="http://schemas.openxmlformats.org/officeDocument/2006/relationships/hyperlink" Target="https://paven.io/content/article/HXowITNK4984Sui2euL0h" TargetMode="External"/><Relationship Id="rId395" Type="http://schemas.openxmlformats.org/officeDocument/2006/relationships/hyperlink" Target="https://www.figma.com/design/4zIxPm1xJMXTzmg2RSOzMH/Q2-2023-Content-Articles?node-id=3729-23199&amp;t=fe1fCl3NIF7BLK6G-1" TargetMode="External"/><Relationship Id="rId409" Type="http://schemas.openxmlformats.org/officeDocument/2006/relationships/hyperlink" Target="https://www.figma.com/design/4zIxPm1xJMXTzmg2RSOzMH/Q2-2023-Content-Articles?node-id=3728-13631&amp;t=fe1fCl3NIF7BLK6G-1" TargetMode="External"/><Relationship Id="rId92" Type="http://schemas.openxmlformats.org/officeDocument/2006/relationships/hyperlink" Target="https://www.figma.com/design/i47pYiJ10vqlvx0co3h46m/Q4-2022---Q1-2023-Content-Articles-(batch-16-23)?node-id=377-41088&amp;t=V1quavg1MmDh9NVO-1" TargetMode="External"/><Relationship Id="rId213" Type="http://schemas.openxmlformats.org/officeDocument/2006/relationships/hyperlink" Target="https://paven.io/content/article/1wYhYpXAR48Y8xrnbg8sZG" TargetMode="External"/><Relationship Id="rId420" Type="http://schemas.openxmlformats.org/officeDocument/2006/relationships/hyperlink" Target="https://www.figma.com/design/uZMJGIEDq3IFjseOrDLe7j/Q3-2023-Content-Articles?node-id=3683-13245&amp;t=RjSzlPHx8wGfbUcK-1" TargetMode="External"/><Relationship Id="rId255" Type="http://schemas.openxmlformats.org/officeDocument/2006/relationships/hyperlink" Target="https://paven.io/content/article/7CyAK9Stc3Fne5WRF607Nh" TargetMode="External"/><Relationship Id="rId297" Type="http://schemas.openxmlformats.org/officeDocument/2006/relationships/hyperlink" Target="https://paven.io/content/article/aCKaonDEL88upSg6nHmd5" TargetMode="External"/><Relationship Id="rId462" Type="http://schemas.openxmlformats.org/officeDocument/2006/relationships/hyperlink" Target="https://www.figma.com/design/UOXktKMNWVxBSuZJhNGdyu/Goals?node-id=3498-39612&amp;t=d6MHhwFJ4Ajl1iXH-1" TargetMode="External"/><Relationship Id="rId115" Type="http://schemas.openxmlformats.org/officeDocument/2006/relationships/hyperlink" Target="https://www.figma.com/design/i47pYiJ10vqlvx0co3h46m/Q4-2022---Q1-2023-Content-Articles-(batch-16-23)?node-id=463-22996&amp;t=QfOhOC59Yq3Jb2Zy-1" TargetMode="External"/><Relationship Id="rId157" Type="http://schemas.openxmlformats.org/officeDocument/2006/relationships/hyperlink" Target="https://paven.io/content/article/5QCbiymJdeZtNQV75taLwk" TargetMode="External"/><Relationship Id="rId322" Type="http://schemas.openxmlformats.org/officeDocument/2006/relationships/hyperlink" Target="https://paven.io/benefits/article/2Jq1sjfCfKlVuTQoLDd0hj" TargetMode="External"/><Relationship Id="rId364" Type="http://schemas.openxmlformats.org/officeDocument/2006/relationships/hyperlink" Target="https://paven.io/benefits/article/3PjJe5Ndp2yNvvSp9oVkRj" TargetMode="External"/><Relationship Id="rId61" Type="http://schemas.openxmlformats.org/officeDocument/2006/relationships/hyperlink" Target="https://www.figma.com/design/HKyVNfdIqnvNaKD4K8Iomr/Q4-2024-Content-Articles?node-id=1614-238197&amp;t=cszJ8FtN0rJxAe1X-1" TargetMode="External"/><Relationship Id="rId199" Type="http://schemas.openxmlformats.org/officeDocument/2006/relationships/hyperlink" Target="https://paven.io/content/article/1yTRmV6XUnKbF5FnFtGkG5" TargetMode="External"/><Relationship Id="rId19" Type="http://schemas.openxmlformats.org/officeDocument/2006/relationships/hyperlink" Target="https://www.figma.com/design/i47pYiJ10vqlvx0co3h46m/Q4-2022---Q1-2023-Content-Articles-(batch-16-23)?node-id=456-25462&amp;t=iqjB7zm9AtdsPASK-1" TargetMode="External"/><Relationship Id="rId224" Type="http://schemas.openxmlformats.org/officeDocument/2006/relationships/hyperlink" Target="https://paven.io/content/article/78VlFut1ek7HEDcnMPxCFW" TargetMode="External"/><Relationship Id="rId266" Type="http://schemas.openxmlformats.org/officeDocument/2006/relationships/hyperlink" Target="https://paven.io/content/article/3dlXPKKmTKQueFwvGPm5bU" TargetMode="External"/><Relationship Id="rId431" Type="http://schemas.openxmlformats.org/officeDocument/2006/relationships/hyperlink" Target="https://www.figma.com/design/uZMJGIEDq3IFjseOrDLe7j/Q3-2023-Content-Articles?node-id=3683-5634&amp;t=RjSzlPHx8wGfbUcK-1" TargetMode="External"/><Relationship Id="rId473" Type="http://schemas.openxmlformats.org/officeDocument/2006/relationships/hyperlink" Target="https://www.figma.com/design/UOXktKMNWVxBSuZJhNGdyu/Goals?node-id=3500-67994&amp;t=d6MHhwFJ4Ajl1iXH-1" TargetMode="External"/><Relationship Id="rId30" Type="http://schemas.openxmlformats.org/officeDocument/2006/relationships/hyperlink" Target="https://www.figma.com/design/aSTWrOeNiAFlD09ABian5K/Q3-2024-Content-Articles?node-id=5001-20732&amp;t=zVi6fJuH8A3kyTdv-1" TargetMode="External"/><Relationship Id="rId126" Type="http://schemas.openxmlformats.org/officeDocument/2006/relationships/hyperlink" Target="https://www.figma.com/design/m69lHYikNQaP9uHS0HOTS0/Q1-2024-Content-Articles?node-id=3380-398021&amp;t=pYNmmGOBJVcmM98o-1" TargetMode="External"/><Relationship Id="rId168" Type="http://schemas.openxmlformats.org/officeDocument/2006/relationships/hyperlink" Target="https://paven.io/content/article/1uEkmd8hDB1fPrHMXux21T" TargetMode="External"/><Relationship Id="rId333" Type="http://schemas.openxmlformats.org/officeDocument/2006/relationships/hyperlink" Target="https://paven.io/content/article/1bdWT8RvNQbiT3EfBsrRAb" TargetMode="External"/><Relationship Id="rId72" Type="http://schemas.openxmlformats.org/officeDocument/2006/relationships/hyperlink" Target="https://www.figma.com/design/i47pYiJ10vqlvx0co3h46m/Q4-2022---Q1-2023-Content-Articles-(batch-16-23)?node-id=456-39203&amp;t=V1quavg1MmDh9NVO-1" TargetMode="External"/><Relationship Id="rId375" Type="http://schemas.openxmlformats.org/officeDocument/2006/relationships/hyperlink" Target="https://paven.io/content/article/6ERY7UAr8D3pR21SX280RX" TargetMode="External"/><Relationship Id="rId3" Type="http://schemas.openxmlformats.org/officeDocument/2006/relationships/hyperlink" Target="https://www.figma.com/design/HKyVNfdIqnvNaKD4K8Iomr/Q4-2024-Content-Articles?node-id=5734-916&amp;t=AqgdEqfLl4OMOSTi-1" TargetMode="External"/><Relationship Id="rId235" Type="http://schemas.openxmlformats.org/officeDocument/2006/relationships/hyperlink" Target="https://paven.io/content/article/3PKUvGhYtuKg8oMY8Pj1cx" TargetMode="External"/><Relationship Id="rId277" Type="http://schemas.openxmlformats.org/officeDocument/2006/relationships/hyperlink" Target="https://paven.io/content/article/5i5l5RZOK9b7TQyIdXLHMs" TargetMode="External"/><Relationship Id="rId400" Type="http://schemas.openxmlformats.org/officeDocument/2006/relationships/hyperlink" Target="https://www.figma.com/design/4zIxPm1xJMXTzmg2RSOzMH/Q2-2023-Content-Articles?node-id=3729-22534&amp;t=fe1fCl3NIF7BLK6G-1" TargetMode="External"/><Relationship Id="rId442" Type="http://schemas.openxmlformats.org/officeDocument/2006/relationships/hyperlink" Target="https://www.figma.com/design/gz3fc7somKwSzVzDbmgdM4/Q4-2023-Content-Articles?node-id=3042-10308&amp;t=fE9pUkwvfnUKyH7f-1" TargetMode="External"/><Relationship Id="rId484" Type="http://schemas.openxmlformats.org/officeDocument/2006/relationships/hyperlink" Target="https://www.figma.com/design/UOXktKMNWVxBSuZJhNGdyu/Goals?node-id=3508-49764&amp;t=d6MHhwFJ4Ajl1iXH-1" TargetMode="External"/><Relationship Id="rId137" Type="http://schemas.openxmlformats.org/officeDocument/2006/relationships/hyperlink" Target="https://www.figma.com/design/m69lHYikNQaP9uHS0HOTS0/Q1-2024-Content-Articles?node-id=3378-254406&amp;t=pYNmmGOBJVcmM98o-1" TargetMode="External"/><Relationship Id="rId302" Type="http://schemas.openxmlformats.org/officeDocument/2006/relationships/hyperlink" Target="https://paven.io/content/article/4yPy16k4zJomR8wfjLqZq2" TargetMode="External"/><Relationship Id="rId344" Type="http://schemas.openxmlformats.org/officeDocument/2006/relationships/hyperlink" Target="https://paven.io/content/article/3VO3MiHsCUD5Ohyz42yD5K" TargetMode="External"/><Relationship Id="rId41" Type="http://schemas.openxmlformats.org/officeDocument/2006/relationships/hyperlink" Target="https://www.figma.com/design/Pb5fwUNVNDCjWaQ8QVAihm/Q2-2024-Content-Articles?node-id=1614-205971&amp;t=rz4v3A4dHAOgTO1E-1" TargetMode="External"/><Relationship Id="rId83" Type="http://schemas.openxmlformats.org/officeDocument/2006/relationships/hyperlink" Target="https://www.figma.com/design/i47pYiJ10vqlvx0co3h46m/Q4-2022---Q1-2023-Content-Articles-(batch-16-23)?node-id=374-36558&amp;t=V1quavg1MmDh9NVO-1" TargetMode="External"/><Relationship Id="rId179" Type="http://schemas.openxmlformats.org/officeDocument/2006/relationships/hyperlink" Target="https://paven.io/content/article/1DmCiLW9zxoFOpqpA2J2Wd" TargetMode="External"/><Relationship Id="rId386" Type="http://schemas.openxmlformats.org/officeDocument/2006/relationships/hyperlink" Target="https://paven.io/content/poll/3AcEHDE56jZ2zATUPwTjVH" TargetMode="External"/><Relationship Id="rId190" Type="http://schemas.openxmlformats.org/officeDocument/2006/relationships/hyperlink" Target="https://paven.io/content/article/6A6PR0ME903Lb3OPehOwwW" TargetMode="External"/><Relationship Id="rId204" Type="http://schemas.openxmlformats.org/officeDocument/2006/relationships/hyperlink" Target="https://paven.io/content/article/6c21mg94YY9xqv3xNRCF6b" TargetMode="External"/><Relationship Id="rId246" Type="http://schemas.openxmlformats.org/officeDocument/2006/relationships/hyperlink" Target="https://paven.io/content/article/3LQ1XLLFVkN5IWkhXwvfiq" TargetMode="External"/><Relationship Id="rId288" Type="http://schemas.openxmlformats.org/officeDocument/2006/relationships/hyperlink" Target="https://paven.io/content/article/fufOxWn3qSC6N8lCPEArb" TargetMode="External"/><Relationship Id="rId411" Type="http://schemas.openxmlformats.org/officeDocument/2006/relationships/hyperlink" Target="https://www.figma.com/design/4zIxPm1xJMXTzmg2RSOzMH/Q2-2023-Content-Articles?node-id=3704-23232&amp;t=fe1fCl3NIF7BLK6G-1" TargetMode="External"/><Relationship Id="rId453" Type="http://schemas.openxmlformats.org/officeDocument/2006/relationships/hyperlink" Target="https://www.figma.com/design/kkMh7aGZkJopf7n5lbrrpX/Life-Moments?node-id=2565-23389&amp;t=scW7PhQJA030oT78-1" TargetMode="External"/><Relationship Id="rId106" Type="http://schemas.openxmlformats.org/officeDocument/2006/relationships/hyperlink" Target="https://www.figma.com/design/i47pYiJ10vqlvx0co3h46m/Q4-2022---Q1-2023-Content-Articles-(batch-16-23)?node-id=462-18239&amp;t=QfOhOC59Yq3Jb2Zy-1" TargetMode="External"/><Relationship Id="rId313" Type="http://schemas.openxmlformats.org/officeDocument/2006/relationships/hyperlink" Target="https://paven.io/content/article/538vC9iVAtSJ7UjPXfbobj" TargetMode="External"/><Relationship Id="rId495" Type="http://schemas.openxmlformats.org/officeDocument/2006/relationships/hyperlink" Target="https://www.figma.com/design/W6E6iz9oGIXW7Sso0rxbIs/Q2-2025-Content-Articles?node-id=3450-5085&amp;t=XjeBpdKIVK084eQs-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67"/>
  <sheetViews>
    <sheetView tabSelected="1" workbookViewId="0">
      <pane ySplit="1" topLeftCell="E2" activePane="bottomLeft" state="frozen"/>
      <selection pane="bottomLeft" activeCell="A23" sqref="A23"/>
    </sheetView>
  </sheetViews>
  <sheetFormatPr defaultColWidth="12.5703125" defaultRowHeight="15.75" customHeight="1"/>
  <cols>
    <col min="1" max="1" width="12.28515625" customWidth="1"/>
    <col min="2" max="2" width="17.5703125" bestFit="1" customWidth="1"/>
    <col min="3" max="3" width="41.85546875" style="1" customWidth="1"/>
    <col min="4" max="4" width="33.7109375" style="1" customWidth="1"/>
    <col min="5" max="5" width="27.140625" bestFit="1" customWidth="1"/>
    <col min="6" max="6" width="11.28515625" customWidth="1"/>
    <col min="7" max="7" width="12.28515625" customWidth="1"/>
    <col min="8" max="8" width="24.140625" customWidth="1"/>
    <col min="9" max="9" width="22.28515625" bestFit="1" customWidth="1"/>
    <col min="10" max="10" width="30.140625" bestFit="1" customWidth="1"/>
    <col min="11" max="11" width="114.28515625" bestFit="1" customWidth="1"/>
    <col min="12" max="12" width="21.85546875" style="67" customWidth="1"/>
    <col min="13" max="13" width="57.42578125" customWidth="1"/>
    <col min="19" max="19" width="17.42578125" bestFit="1" customWidth="1"/>
  </cols>
  <sheetData>
    <row r="1" spans="1:15" ht="23.25">
      <c r="A1" s="84" t="s">
        <v>0</v>
      </c>
      <c r="B1" s="84" t="s">
        <v>1</v>
      </c>
      <c r="C1" s="68" t="s">
        <v>2</v>
      </c>
      <c r="D1" s="68" t="s">
        <v>3</v>
      </c>
      <c r="E1" s="68" t="s">
        <v>4</v>
      </c>
      <c r="F1" s="68" t="s">
        <v>5</v>
      </c>
      <c r="G1" s="68" t="s">
        <v>6</v>
      </c>
      <c r="H1" s="68" t="s">
        <v>7</v>
      </c>
      <c r="I1" s="121" t="s">
        <v>8</v>
      </c>
      <c r="J1" s="68" t="s">
        <v>9</v>
      </c>
      <c r="K1" s="68" t="s">
        <v>10</v>
      </c>
      <c r="L1" s="74" t="s">
        <v>11</v>
      </c>
      <c r="M1" s="84" t="s">
        <v>12</v>
      </c>
    </row>
    <row r="2" spans="1:15" ht="23.25">
      <c r="A2" t="s">
        <v>0</v>
      </c>
      <c r="B2" t="s">
        <v>13</v>
      </c>
      <c r="C2" s="77" t="s">
        <v>14</v>
      </c>
      <c r="D2" s="77" t="s">
        <v>15</v>
      </c>
      <c r="E2" s="77" t="s">
        <v>16</v>
      </c>
      <c r="F2" s="67" t="s">
        <v>17</v>
      </c>
      <c r="I2" s="73" t="s">
        <v>18</v>
      </c>
      <c r="J2" t="s">
        <v>19</v>
      </c>
      <c r="K2" s="80" t="s">
        <v>20</v>
      </c>
      <c r="L2" s="67" t="s">
        <v>21</v>
      </c>
    </row>
    <row r="3" spans="1:15" ht="12.75">
      <c r="A3" t="s">
        <v>0</v>
      </c>
      <c r="B3" t="s">
        <v>13</v>
      </c>
      <c r="C3" s="77" t="s">
        <v>14</v>
      </c>
      <c r="D3" s="77" t="s">
        <v>15</v>
      </c>
      <c r="E3" s="77" t="s">
        <v>22</v>
      </c>
      <c r="G3" s="1" t="s">
        <v>23</v>
      </c>
      <c r="H3" s="1" t="s">
        <v>24</v>
      </c>
      <c r="I3" s="73" t="s">
        <v>18</v>
      </c>
      <c r="J3" t="s">
        <v>25</v>
      </c>
      <c r="K3" s="80" t="s">
        <v>26</v>
      </c>
      <c r="L3" s="67" t="s">
        <v>27</v>
      </c>
    </row>
    <row r="4" spans="1:15" ht="12.75">
      <c r="A4" t="s">
        <v>0</v>
      </c>
      <c r="B4" t="s">
        <v>13</v>
      </c>
      <c r="C4" s="77" t="s">
        <v>14</v>
      </c>
      <c r="D4" s="77" t="s">
        <v>15</v>
      </c>
      <c r="E4" s="77" t="s">
        <v>28</v>
      </c>
      <c r="F4" t="s">
        <v>29</v>
      </c>
      <c r="G4" s="1" t="s">
        <v>30</v>
      </c>
      <c r="H4" s="73" t="s">
        <v>31</v>
      </c>
      <c r="I4" s="73" t="s">
        <v>18</v>
      </c>
      <c r="J4" t="s">
        <v>32</v>
      </c>
      <c r="K4" s="80" t="s">
        <v>20</v>
      </c>
      <c r="L4" s="67" t="s">
        <v>21</v>
      </c>
    </row>
    <row r="5" spans="1:15" ht="12.75">
      <c r="A5" t="s">
        <v>0</v>
      </c>
      <c r="B5" t="s">
        <v>13</v>
      </c>
      <c r="C5" s="77" t="s">
        <v>14</v>
      </c>
      <c r="D5" s="77" t="s">
        <v>15</v>
      </c>
      <c r="E5" s="77" t="s">
        <v>33</v>
      </c>
      <c r="H5" s="1" t="s">
        <v>34</v>
      </c>
      <c r="I5" s="73" t="s">
        <v>18</v>
      </c>
      <c r="J5" t="s">
        <v>35</v>
      </c>
    </row>
    <row r="6" spans="1:15" ht="12.75">
      <c r="A6" t="s">
        <v>0</v>
      </c>
      <c r="B6" t="s">
        <v>13</v>
      </c>
      <c r="C6" s="77" t="s">
        <v>14</v>
      </c>
      <c r="D6" s="77" t="s">
        <v>15</v>
      </c>
      <c r="E6" s="77" t="s">
        <v>36</v>
      </c>
      <c r="H6" s="1" t="s">
        <v>34</v>
      </c>
      <c r="I6" s="73" t="s">
        <v>18</v>
      </c>
      <c r="J6" t="s">
        <v>37</v>
      </c>
      <c r="K6" s="80" t="s">
        <v>20</v>
      </c>
      <c r="L6" s="67" t="s">
        <v>21</v>
      </c>
    </row>
    <row r="7" spans="1:15" ht="12.75">
      <c r="A7" t="s">
        <v>0</v>
      </c>
      <c r="B7" t="s">
        <v>13</v>
      </c>
      <c r="C7" s="77" t="s">
        <v>14</v>
      </c>
      <c r="D7" s="77" t="s">
        <v>15</v>
      </c>
      <c r="E7" s="77" t="s">
        <v>38</v>
      </c>
      <c r="H7" s="73" t="s">
        <v>39</v>
      </c>
      <c r="I7" s="73" t="s">
        <v>18</v>
      </c>
      <c r="J7" t="s">
        <v>40</v>
      </c>
    </row>
    <row r="8" spans="1:15" ht="12.75">
      <c r="A8" t="s">
        <v>0</v>
      </c>
      <c r="B8" t="s">
        <v>13</v>
      </c>
      <c r="C8" s="78" t="s">
        <v>41</v>
      </c>
      <c r="D8" s="78" t="s">
        <v>42</v>
      </c>
      <c r="E8" s="78" t="s">
        <v>43</v>
      </c>
      <c r="H8" s="73" t="s">
        <v>44</v>
      </c>
      <c r="I8" s="73" t="s">
        <v>45</v>
      </c>
      <c r="J8" t="s">
        <v>46</v>
      </c>
      <c r="K8" s="80" t="s">
        <v>20</v>
      </c>
      <c r="L8" s="67" t="s">
        <v>47</v>
      </c>
    </row>
    <row r="9" spans="1:15" ht="12.75">
      <c r="A9" t="s">
        <v>0</v>
      </c>
      <c r="B9" t="s">
        <v>13</v>
      </c>
      <c r="C9" s="78" t="s">
        <v>41</v>
      </c>
      <c r="D9" s="78" t="s">
        <v>42</v>
      </c>
      <c r="E9" s="78" t="s">
        <v>48</v>
      </c>
      <c r="F9" s="1" t="s">
        <v>49</v>
      </c>
      <c r="G9" s="1"/>
      <c r="H9" s="73" t="s">
        <v>50</v>
      </c>
      <c r="I9" s="73" t="s">
        <v>45</v>
      </c>
      <c r="J9" t="s">
        <v>51</v>
      </c>
      <c r="K9" s="81" t="s">
        <v>52</v>
      </c>
    </row>
    <row r="10" spans="1:15" ht="12.75">
      <c r="A10" t="s">
        <v>0</v>
      </c>
      <c r="B10" t="s">
        <v>13</v>
      </c>
      <c r="C10" s="78" t="s">
        <v>41</v>
      </c>
      <c r="D10" s="78" t="s">
        <v>42</v>
      </c>
      <c r="E10" s="78" t="s">
        <v>53</v>
      </c>
      <c r="F10" s="1" t="s">
        <v>49</v>
      </c>
      <c r="H10" s="73" t="s">
        <v>54</v>
      </c>
      <c r="I10" s="73" t="s">
        <v>45</v>
      </c>
      <c r="J10" s="66" t="s">
        <v>55</v>
      </c>
      <c r="M10" s="71" t="s">
        <v>20</v>
      </c>
      <c r="N10" t="s">
        <v>56</v>
      </c>
    </row>
    <row r="11" spans="1:15" ht="12.75">
      <c r="A11" t="s">
        <v>0</v>
      </c>
      <c r="B11" s="64" t="s">
        <v>57</v>
      </c>
      <c r="C11" s="65" t="s">
        <v>58</v>
      </c>
      <c r="D11" s="65" t="s">
        <v>59</v>
      </c>
      <c r="E11" s="65" t="s">
        <v>60</v>
      </c>
      <c r="F11" t="s">
        <v>61</v>
      </c>
      <c r="H11" t="s">
        <v>62</v>
      </c>
      <c r="I11" s="126" t="s">
        <v>63</v>
      </c>
      <c r="J11" s="69" t="s">
        <v>64</v>
      </c>
      <c r="K11" s="80" t="s">
        <v>26</v>
      </c>
      <c r="L11" s="67" t="s">
        <v>27</v>
      </c>
      <c r="O11" s="76"/>
    </row>
    <row r="12" spans="1:15" ht="12.75">
      <c r="A12" t="s">
        <v>0</v>
      </c>
      <c r="B12" s="64" t="s">
        <v>57</v>
      </c>
      <c r="C12" s="65" t="s">
        <v>58</v>
      </c>
      <c r="D12" s="65" t="s">
        <v>59</v>
      </c>
      <c r="E12" s="65" t="s">
        <v>65</v>
      </c>
      <c r="F12" t="s">
        <v>49</v>
      </c>
      <c r="G12" s="1"/>
      <c r="H12" s="1" t="s">
        <v>66</v>
      </c>
      <c r="I12" s="73" t="s">
        <v>45</v>
      </c>
      <c r="J12" t="s">
        <v>67</v>
      </c>
      <c r="K12" s="72" t="s">
        <v>68</v>
      </c>
      <c r="L12" s="67" t="s">
        <v>69</v>
      </c>
      <c r="O12" s="76"/>
    </row>
    <row r="13" spans="1:15" ht="12.75">
      <c r="A13" t="s">
        <v>0</v>
      </c>
      <c r="B13" s="64" t="s">
        <v>57</v>
      </c>
      <c r="C13" s="65" t="s">
        <v>58</v>
      </c>
      <c r="D13" s="65" t="s">
        <v>59</v>
      </c>
      <c r="E13" s="65" t="s">
        <v>70</v>
      </c>
      <c r="F13" t="s">
        <v>29</v>
      </c>
      <c r="G13" s="1"/>
      <c r="H13" s="1" t="s">
        <v>71</v>
      </c>
      <c r="I13" s="126" t="s">
        <v>63</v>
      </c>
      <c r="J13" s="66" t="s">
        <v>72</v>
      </c>
      <c r="O13" s="75"/>
    </row>
    <row r="14" spans="1:15" ht="12.75">
      <c r="A14" t="s">
        <v>0</v>
      </c>
      <c r="B14" s="64" t="s">
        <v>57</v>
      </c>
      <c r="C14" s="65" t="s">
        <v>58</v>
      </c>
      <c r="D14" s="65" t="s">
        <v>59</v>
      </c>
      <c r="E14" s="65" t="s">
        <v>73</v>
      </c>
      <c r="H14" s="1" t="s">
        <v>74</v>
      </c>
      <c r="I14" s="126" t="s">
        <v>75</v>
      </c>
      <c r="J14" s="69" t="s">
        <v>64</v>
      </c>
    </row>
    <row r="15" spans="1:15" ht="12.75">
      <c r="A15" t="s">
        <v>0</v>
      </c>
      <c r="B15" s="64" t="s">
        <v>57</v>
      </c>
      <c r="C15" s="65" t="s">
        <v>58</v>
      </c>
      <c r="D15" s="65" t="s">
        <v>59</v>
      </c>
      <c r="E15" s="65" t="s">
        <v>76</v>
      </c>
      <c r="H15" s="1" t="s">
        <v>77</v>
      </c>
      <c r="I15" s="126" t="s">
        <v>75</v>
      </c>
      <c r="J15" s="69" t="s">
        <v>78</v>
      </c>
    </row>
    <row r="16" spans="1:15" ht="15">
      <c r="A16" t="s">
        <v>0</v>
      </c>
      <c r="B16" s="64" t="s">
        <v>57</v>
      </c>
      <c r="C16" s="65" t="s">
        <v>58</v>
      </c>
      <c r="D16" s="65" t="s">
        <v>59</v>
      </c>
      <c r="E16" s="65" t="s">
        <v>79</v>
      </c>
      <c r="H16" s="5" t="s">
        <v>80</v>
      </c>
      <c r="I16" s="128" t="s">
        <v>81</v>
      </c>
      <c r="J16" s="70" t="s">
        <v>82</v>
      </c>
      <c r="K16" s="72" t="s">
        <v>83</v>
      </c>
      <c r="L16" s="67" t="s">
        <v>84</v>
      </c>
    </row>
    <row r="17" spans="1:12" ht="15">
      <c r="A17" t="s">
        <v>0</v>
      </c>
      <c r="B17" s="64" t="s">
        <v>57</v>
      </c>
      <c r="C17" s="65" t="s">
        <v>58</v>
      </c>
      <c r="D17" s="65" t="s">
        <v>59</v>
      </c>
      <c r="E17" s="65" t="s">
        <v>85</v>
      </c>
      <c r="H17" s="1" t="s">
        <v>86</v>
      </c>
      <c r="I17" s="126" t="s">
        <v>87</v>
      </c>
      <c r="J17" s="70" t="s">
        <v>88</v>
      </c>
    </row>
    <row r="18" spans="1:12" ht="14.25" customHeight="1">
      <c r="A18" t="s">
        <v>0</v>
      </c>
      <c r="B18" s="64" t="s">
        <v>57</v>
      </c>
      <c r="C18" s="65" t="s">
        <v>58</v>
      </c>
      <c r="D18" s="65" t="s">
        <v>59</v>
      </c>
      <c r="E18" s="65" t="s">
        <v>89</v>
      </c>
      <c r="F18" s="67" t="s">
        <v>90</v>
      </c>
      <c r="G18" s="1"/>
      <c r="H18" s="1" t="s">
        <v>91</v>
      </c>
      <c r="I18" s="126" t="s">
        <v>87</v>
      </c>
      <c r="J18" s="66" t="s">
        <v>92</v>
      </c>
      <c r="K18" s="80" t="s">
        <v>93</v>
      </c>
      <c r="L18" s="67" t="s">
        <v>94</v>
      </c>
    </row>
    <row r="19" spans="1:12" ht="12.75">
      <c r="A19" t="s">
        <v>0</v>
      </c>
      <c r="B19" s="64" t="s">
        <v>57</v>
      </c>
      <c r="C19" s="65" t="s">
        <v>58</v>
      </c>
      <c r="D19" s="65" t="s">
        <v>59</v>
      </c>
      <c r="E19" s="65" t="s">
        <v>95</v>
      </c>
      <c r="H19" s="1" t="s">
        <v>96</v>
      </c>
      <c r="I19" s="126" t="s">
        <v>75</v>
      </c>
      <c r="J19" s="66" t="s">
        <v>97</v>
      </c>
    </row>
    <row r="20" spans="1:12" s="64" customFormat="1" ht="12.75">
      <c r="A20" s="64" t="s">
        <v>0</v>
      </c>
      <c r="B20" s="64" t="s">
        <v>57</v>
      </c>
      <c r="C20" s="122" t="s">
        <v>58</v>
      </c>
      <c r="D20" s="122" t="s">
        <v>59</v>
      </c>
      <c r="E20" s="122" t="s">
        <v>98</v>
      </c>
      <c r="F20" s="64" t="s">
        <v>99</v>
      </c>
      <c r="G20" s="61"/>
      <c r="H20" s="61" t="s">
        <v>100</v>
      </c>
      <c r="I20" s="129" t="s">
        <v>87</v>
      </c>
      <c r="J20" s="81" t="s">
        <v>101</v>
      </c>
      <c r="K20" s="123" t="s">
        <v>20</v>
      </c>
      <c r="L20" s="124" t="s">
        <v>84</v>
      </c>
    </row>
    <row r="21" spans="1:12" ht="12.75">
      <c r="B21" s="64"/>
      <c r="C21"/>
      <c r="D21"/>
      <c r="E21" s="1"/>
      <c r="G21" s="1"/>
      <c r="H21" s="1"/>
      <c r="I21" s="126"/>
      <c r="K21" s="93"/>
    </row>
    <row r="22" spans="1:12" s="94" customFormat="1" ht="18">
      <c r="A22" s="99" t="s">
        <v>102</v>
      </c>
      <c r="B22" s="95"/>
      <c r="E22" s="96"/>
      <c r="G22" s="96"/>
      <c r="H22" s="96"/>
      <c r="I22" s="96"/>
      <c r="K22" s="97"/>
      <c r="L22" s="98"/>
    </row>
    <row r="23" spans="1:12" ht="23.25">
      <c r="A23" t="s">
        <v>103</v>
      </c>
      <c r="B23" t="s">
        <v>13</v>
      </c>
      <c r="C23" s="117" t="s">
        <v>104</v>
      </c>
      <c r="D23" s="90" t="s">
        <v>105</v>
      </c>
      <c r="E23" s="118" t="s">
        <v>106</v>
      </c>
      <c r="G23" s="1"/>
      <c r="H23" s="1" t="s">
        <v>86</v>
      </c>
      <c r="I23" s="130" t="s">
        <v>107</v>
      </c>
      <c r="J23" s="66" t="s">
        <v>108</v>
      </c>
      <c r="K23" s="93"/>
    </row>
    <row r="24" spans="1:12" ht="23.25">
      <c r="A24" t="s">
        <v>103</v>
      </c>
      <c r="B24" t="s">
        <v>13</v>
      </c>
      <c r="C24" s="117" t="s">
        <v>104</v>
      </c>
      <c r="D24" s="90" t="s">
        <v>105</v>
      </c>
      <c r="E24" s="118" t="s">
        <v>109</v>
      </c>
      <c r="G24" s="1"/>
      <c r="H24" s="1" t="s">
        <v>86</v>
      </c>
      <c r="I24" s="130" t="s">
        <v>107</v>
      </c>
      <c r="J24" s="66" t="s">
        <v>110</v>
      </c>
      <c r="K24" s="93"/>
    </row>
    <row r="25" spans="1:12" ht="23.25">
      <c r="A25" t="s">
        <v>103</v>
      </c>
      <c r="B25" t="s">
        <v>13</v>
      </c>
      <c r="C25" s="117" t="s">
        <v>104</v>
      </c>
      <c r="D25" s="90" t="s">
        <v>105</v>
      </c>
      <c r="E25" s="118" t="s">
        <v>111</v>
      </c>
      <c r="G25" s="1"/>
      <c r="H25" s="1" t="s">
        <v>86</v>
      </c>
      <c r="I25" s="130" t="s">
        <v>107</v>
      </c>
      <c r="J25" s="66" t="s">
        <v>112</v>
      </c>
      <c r="K25" s="93"/>
    </row>
    <row r="26" spans="1:12" ht="23.25">
      <c r="A26" t="s">
        <v>103</v>
      </c>
      <c r="B26" t="s">
        <v>13</v>
      </c>
      <c r="C26" s="117" t="s">
        <v>104</v>
      </c>
      <c r="D26" s="90" t="s">
        <v>105</v>
      </c>
      <c r="E26" s="118" t="s">
        <v>113</v>
      </c>
      <c r="G26" s="1"/>
      <c r="H26" s="1" t="s">
        <v>86</v>
      </c>
      <c r="I26" s="130" t="s">
        <v>107</v>
      </c>
      <c r="J26" s="66" t="s">
        <v>114</v>
      </c>
      <c r="K26" s="93"/>
    </row>
    <row r="27" spans="1:12" ht="12.75">
      <c r="A27" t="s">
        <v>103</v>
      </c>
      <c r="B27" t="s">
        <v>13</v>
      </c>
      <c r="C27" s="117" t="s">
        <v>104</v>
      </c>
      <c r="D27" s="90" t="s">
        <v>105</v>
      </c>
      <c r="E27" s="118" t="s">
        <v>115</v>
      </c>
      <c r="G27" s="1"/>
      <c r="H27" s="1" t="s">
        <v>86</v>
      </c>
      <c r="I27" s="130" t="s">
        <v>107</v>
      </c>
      <c r="J27" s="66" t="s">
        <v>116</v>
      </c>
      <c r="K27" s="93"/>
    </row>
    <row r="28" spans="1:12" ht="23.25">
      <c r="A28" t="s">
        <v>103</v>
      </c>
      <c r="B28" t="s">
        <v>13</v>
      </c>
      <c r="C28" s="115" t="s">
        <v>117</v>
      </c>
      <c r="D28" s="115" t="s">
        <v>118</v>
      </c>
      <c r="E28" s="79" t="s">
        <v>119</v>
      </c>
      <c r="G28" s="1"/>
      <c r="H28" s="1" t="s">
        <v>74</v>
      </c>
      <c r="I28" s="130" t="s">
        <v>107</v>
      </c>
      <c r="J28" s="66" t="s">
        <v>120</v>
      </c>
      <c r="K28" s="93"/>
    </row>
    <row r="29" spans="1:12" ht="23.25">
      <c r="A29" t="s">
        <v>103</v>
      </c>
      <c r="B29" t="s">
        <v>13</v>
      </c>
      <c r="C29" s="115" t="s">
        <v>117</v>
      </c>
      <c r="D29" s="115" t="s">
        <v>118</v>
      </c>
      <c r="E29" s="79" t="s">
        <v>121</v>
      </c>
      <c r="G29" s="1"/>
      <c r="H29" s="1" t="s">
        <v>74</v>
      </c>
      <c r="I29" s="66" t="s">
        <v>122</v>
      </c>
      <c r="J29" s="66" t="s">
        <v>123</v>
      </c>
      <c r="K29" s="93"/>
    </row>
    <row r="30" spans="1:12" ht="23.25">
      <c r="A30" t="s">
        <v>103</v>
      </c>
      <c r="B30" t="s">
        <v>13</v>
      </c>
      <c r="C30" s="115" t="s">
        <v>117</v>
      </c>
      <c r="D30" s="115" t="s">
        <v>118</v>
      </c>
      <c r="E30" s="79" t="s">
        <v>124</v>
      </c>
      <c r="G30" s="1"/>
      <c r="H30" s="1" t="s">
        <v>74</v>
      </c>
      <c r="I30" s="130" t="s">
        <v>107</v>
      </c>
      <c r="J30" s="66" t="s">
        <v>125</v>
      </c>
      <c r="K30" s="93"/>
    </row>
    <row r="31" spans="1:12" ht="23.25">
      <c r="A31" t="s">
        <v>103</v>
      </c>
      <c r="B31" t="s">
        <v>13</v>
      </c>
      <c r="C31" s="115" t="s">
        <v>117</v>
      </c>
      <c r="D31" s="115" t="s">
        <v>118</v>
      </c>
      <c r="E31" s="79" t="s">
        <v>126</v>
      </c>
      <c r="G31" s="1"/>
      <c r="H31" s="132" t="s">
        <v>127</v>
      </c>
      <c r="I31" s="130" t="s">
        <v>107</v>
      </c>
      <c r="J31" s="66" t="s">
        <v>128</v>
      </c>
      <c r="K31" s="93"/>
    </row>
    <row r="32" spans="1:12" ht="11.25" customHeight="1">
      <c r="A32" t="s">
        <v>103</v>
      </c>
      <c r="B32" t="s">
        <v>129</v>
      </c>
      <c r="C32" s="65" t="s">
        <v>130</v>
      </c>
      <c r="D32" s="65" t="s">
        <v>131</v>
      </c>
      <c r="E32" s="65" t="s">
        <v>132</v>
      </c>
      <c r="H32" s="132" t="s">
        <v>133</v>
      </c>
      <c r="I32" s="126" t="s">
        <v>134</v>
      </c>
      <c r="J32" s="66" t="s">
        <v>135</v>
      </c>
      <c r="L32"/>
    </row>
    <row r="33" spans="1:15" ht="12.75">
      <c r="A33" t="s">
        <v>103</v>
      </c>
      <c r="B33" t="s">
        <v>129</v>
      </c>
      <c r="C33" s="65" t="s">
        <v>130</v>
      </c>
      <c r="D33" s="65" t="s">
        <v>131</v>
      </c>
      <c r="E33" s="65" t="s">
        <v>136</v>
      </c>
      <c r="H33" s="132" t="s">
        <v>133</v>
      </c>
      <c r="I33" s="126" t="s">
        <v>134</v>
      </c>
      <c r="J33" s="66" t="s">
        <v>137</v>
      </c>
      <c r="L33"/>
    </row>
    <row r="34" spans="1:15" ht="12.75">
      <c r="A34" t="s">
        <v>103</v>
      </c>
      <c r="B34" t="s">
        <v>129</v>
      </c>
      <c r="C34" s="65" t="s">
        <v>130</v>
      </c>
      <c r="D34" s="65" t="s">
        <v>131</v>
      </c>
      <c r="E34" s="65" t="s">
        <v>138</v>
      </c>
      <c r="H34" s="132" t="s">
        <v>133</v>
      </c>
      <c r="I34" s="126" t="s">
        <v>134</v>
      </c>
      <c r="J34" s="66" t="s">
        <v>139</v>
      </c>
      <c r="L34"/>
    </row>
    <row r="35" spans="1:15" ht="12.75">
      <c r="A35" t="s">
        <v>103</v>
      </c>
      <c r="B35" t="s">
        <v>129</v>
      </c>
      <c r="C35" s="65" t="s">
        <v>130</v>
      </c>
      <c r="D35" s="65" t="s">
        <v>131</v>
      </c>
      <c r="E35" s="65" t="s">
        <v>140</v>
      </c>
      <c r="H35" s="132" t="s">
        <v>133</v>
      </c>
      <c r="I35" s="126" t="s">
        <v>134</v>
      </c>
      <c r="J35" s="66" t="s">
        <v>141</v>
      </c>
      <c r="L35"/>
    </row>
    <row r="36" spans="1:15" ht="12.75">
      <c r="A36" t="s">
        <v>103</v>
      </c>
      <c r="B36" t="s">
        <v>129</v>
      </c>
      <c r="C36" s="65" t="s">
        <v>130</v>
      </c>
      <c r="D36" s="65" t="s">
        <v>131</v>
      </c>
      <c r="E36" s="65" t="s">
        <v>142</v>
      </c>
      <c r="H36" s="132" t="s">
        <v>133</v>
      </c>
      <c r="I36" s="126" t="s">
        <v>134</v>
      </c>
      <c r="J36" s="66" t="s">
        <v>143</v>
      </c>
      <c r="L36"/>
    </row>
    <row r="37" spans="1:15" ht="12.75">
      <c r="A37" t="s">
        <v>103</v>
      </c>
      <c r="B37" t="s">
        <v>129</v>
      </c>
      <c r="C37" s="65" t="s">
        <v>130</v>
      </c>
      <c r="D37" s="65" t="s">
        <v>131</v>
      </c>
      <c r="E37" s="65" t="s">
        <v>144</v>
      </c>
      <c r="H37" s="132" t="s">
        <v>133</v>
      </c>
      <c r="I37" s="126" t="s">
        <v>134</v>
      </c>
      <c r="J37" s="66" t="s">
        <v>145</v>
      </c>
      <c r="L37"/>
    </row>
    <row r="38" spans="1:15" ht="30" customHeight="1">
      <c r="A38" t="s">
        <v>103</v>
      </c>
      <c r="B38" t="s">
        <v>146</v>
      </c>
      <c r="C38" s="119" t="s">
        <v>147</v>
      </c>
      <c r="D38" s="119" t="s">
        <v>148</v>
      </c>
      <c r="E38" s="119" t="s">
        <v>149</v>
      </c>
      <c r="H38" s="131" t="s">
        <v>80</v>
      </c>
      <c r="I38" s="128" t="s">
        <v>81</v>
      </c>
      <c r="J38" s="126" t="s">
        <v>150</v>
      </c>
      <c r="O38" s="104"/>
    </row>
    <row r="39" spans="1:15" ht="12.75">
      <c r="A39" t="s">
        <v>103</v>
      </c>
      <c r="B39" t="s">
        <v>146</v>
      </c>
      <c r="C39" s="119" t="s">
        <v>147</v>
      </c>
      <c r="D39" s="119" t="s">
        <v>148</v>
      </c>
      <c r="E39" s="119" t="s">
        <v>151</v>
      </c>
      <c r="H39" s="131" t="s">
        <v>80</v>
      </c>
      <c r="I39" s="128" t="s">
        <v>81</v>
      </c>
      <c r="J39" s="126" t="s">
        <v>152</v>
      </c>
      <c r="O39" s="104"/>
    </row>
    <row r="40" spans="1:15" ht="12.75">
      <c r="B40" t="s">
        <v>146</v>
      </c>
      <c r="C40" s="119" t="s">
        <v>147</v>
      </c>
      <c r="D40" s="119" t="s">
        <v>148</v>
      </c>
      <c r="E40" s="119" t="s">
        <v>153</v>
      </c>
      <c r="H40" s="131" t="s">
        <v>80</v>
      </c>
      <c r="I40" s="128" t="s">
        <v>81</v>
      </c>
      <c r="J40" s="126" t="s">
        <v>154</v>
      </c>
      <c r="O40" s="104"/>
    </row>
    <row r="41" spans="1:15" ht="12.75">
      <c r="A41" t="s">
        <v>103</v>
      </c>
      <c r="B41" t="s">
        <v>146</v>
      </c>
      <c r="C41" s="119" t="s">
        <v>147</v>
      </c>
      <c r="D41" s="119" t="s">
        <v>148</v>
      </c>
      <c r="E41" s="119" t="s">
        <v>155</v>
      </c>
      <c r="H41" s="131" t="s">
        <v>80</v>
      </c>
      <c r="I41" s="128" t="s">
        <v>81</v>
      </c>
      <c r="J41" s="126" t="s">
        <v>156</v>
      </c>
      <c r="O41" s="104"/>
    </row>
    <row r="42" spans="1:15" s="102" customFormat="1" ht="18">
      <c r="A42" s="99" t="s">
        <v>157</v>
      </c>
      <c r="B42" s="95"/>
      <c r="C42" s="94"/>
      <c r="D42" s="94"/>
      <c r="E42" s="96"/>
      <c r="F42" s="94"/>
      <c r="G42" s="96"/>
      <c r="H42" s="96"/>
      <c r="I42" s="96"/>
      <c r="J42" s="96"/>
      <c r="K42" s="97"/>
      <c r="L42" s="98"/>
      <c r="M42" s="94"/>
      <c r="N42" s="94"/>
      <c r="O42" s="94"/>
    </row>
    <row r="43" spans="1:15" ht="29.25" customHeight="1">
      <c r="A43" t="s">
        <v>103</v>
      </c>
      <c r="C43" s="120" t="s">
        <v>158</v>
      </c>
      <c r="D43" s="120" t="s">
        <v>159</v>
      </c>
      <c r="E43" s="120" t="s">
        <v>160</v>
      </c>
      <c r="I43" s="128" t="s">
        <v>81</v>
      </c>
      <c r="J43" s="126" t="s">
        <v>161</v>
      </c>
      <c r="O43" s="104"/>
    </row>
    <row r="44" spans="1:15" ht="29.25" customHeight="1">
      <c r="A44" t="s">
        <v>103</v>
      </c>
      <c r="C44" s="120" t="s">
        <v>158</v>
      </c>
      <c r="D44" s="120" t="s">
        <v>159</v>
      </c>
      <c r="E44" s="120" t="s">
        <v>162</v>
      </c>
      <c r="I44" s="128" t="s">
        <v>81</v>
      </c>
      <c r="J44" s="66" t="s">
        <v>163</v>
      </c>
      <c r="O44" s="104"/>
    </row>
    <row r="45" spans="1:15" ht="29.25" customHeight="1">
      <c r="A45" t="s">
        <v>103</v>
      </c>
      <c r="C45" s="120" t="s">
        <v>158</v>
      </c>
      <c r="D45" s="120" t="s">
        <v>159</v>
      </c>
      <c r="E45" s="120" t="s">
        <v>164</v>
      </c>
      <c r="I45" s="128" t="s">
        <v>81</v>
      </c>
      <c r="J45" s="126" t="s">
        <v>165</v>
      </c>
      <c r="O45" s="104"/>
    </row>
    <row r="46" spans="1:15" ht="29.25" customHeight="1">
      <c r="A46" t="s">
        <v>103</v>
      </c>
      <c r="C46" s="120" t="s">
        <v>158</v>
      </c>
      <c r="D46" s="120" t="s">
        <v>159</v>
      </c>
      <c r="E46" s="120" t="s">
        <v>166</v>
      </c>
      <c r="I46" s="128" t="s">
        <v>81</v>
      </c>
      <c r="J46" s="126" t="s">
        <v>167</v>
      </c>
      <c r="O46" s="104"/>
    </row>
    <row r="47" spans="1:15" ht="29.25" customHeight="1">
      <c r="A47" t="s">
        <v>103</v>
      </c>
      <c r="C47" s="120" t="s">
        <v>158</v>
      </c>
      <c r="D47" s="120" t="s">
        <v>159</v>
      </c>
      <c r="E47" s="120" t="s">
        <v>168</v>
      </c>
      <c r="I47" s="128" t="s">
        <v>81</v>
      </c>
      <c r="J47" s="126" t="s">
        <v>169</v>
      </c>
      <c r="O47" s="104"/>
    </row>
    <row r="48" spans="1:15" ht="29.25" customHeight="1">
      <c r="A48" t="s">
        <v>103</v>
      </c>
      <c r="C48" s="120" t="s">
        <v>158</v>
      </c>
      <c r="D48" s="120" t="s">
        <v>159</v>
      </c>
      <c r="E48" s="120" t="s">
        <v>170</v>
      </c>
      <c r="I48" s="128" t="s">
        <v>81</v>
      </c>
      <c r="J48" s="126" t="s">
        <v>171</v>
      </c>
      <c r="O48" s="104"/>
    </row>
    <row r="49" spans="1:15" ht="12.75">
      <c r="A49" t="s">
        <v>103</v>
      </c>
      <c r="B49" t="s">
        <v>146</v>
      </c>
      <c r="C49" s="125" t="s">
        <v>172</v>
      </c>
      <c r="D49" s="125" t="s">
        <v>173</v>
      </c>
      <c r="E49" s="125" t="s">
        <v>174</v>
      </c>
      <c r="H49" s="126" t="s">
        <v>175</v>
      </c>
      <c r="I49" s="127" t="s">
        <v>176</v>
      </c>
      <c r="J49" s="126" t="s">
        <v>177</v>
      </c>
      <c r="O49" s="104"/>
    </row>
    <row r="50" spans="1:15" ht="12.75">
      <c r="A50" t="s">
        <v>103</v>
      </c>
      <c r="B50" t="s">
        <v>146</v>
      </c>
      <c r="C50" s="125" t="s">
        <v>172</v>
      </c>
      <c r="D50" s="125" t="s">
        <v>173</v>
      </c>
      <c r="E50" s="125" t="s">
        <v>178</v>
      </c>
      <c r="H50" s="126" t="s">
        <v>179</v>
      </c>
      <c r="I50" s="127" t="s">
        <v>176</v>
      </c>
      <c r="J50" s="126" t="s">
        <v>180</v>
      </c>
      <c r="O50" s="104"/>
    </row>
    <row r="51" spans="1:15" ht="12.75">
      <c r="A51" t="s">
        <v>103</v>
      </c>
      <c r="B51" t="s">
        <v>146</v>
      </c>
      <c r="C51" s="125" t="s">
        <v>172</v>
      </c>
      <c r="D51" s="125" t="s">
        <v>173</v>
      </c>
      <c r="E51" s="125" t="s">
        <v>181</v>
      </c>
      <c r="H51" s="126" t="s">
        <v>182</v>
      </c>
      <c r="I51" s="127" t="s">
        <v>176</v>
      </c>
      <c r="J51" s="126" t="s">
        <v>183</v>
      </c>
      <c r="O51" s="104"/>
    </row>
    <row r="52" spans="1:15" ht="12.75">
      <c r="A52" s="64" t="s">
        <v>103</v>
      </c>
      <c r="B52" s="64" t="s">
        <v>13</v>
      </c>
      <c r="C52" s="113" t="s">
        <v>184</v>
      </c>
      <c r="D52" s="113"/>
      <c r="E52" s="64" t="s">
        <v>185</v>
      </c>
      <c r="F52" s="64"/>
      <c r="O52" s="104"/>
    </row>
    <row r="53" spans="1:15" ht="12.75">
      <c r="A53" s="112" t="s">
        <v>103</v>
      </c>
      <c r="B53" s="64" t="s">
        <v>13</v>
      </c>
      <c r="C53" s="113" t="s">
        <v>184</v>
      </c>
      <c r="D53" s="113"/>
      <c r="E53" s="64" t="s">
        <v>186</v>
      </c>
      <c r="F53" s="64"/>
      <c r="O53" s="104"/>
    </row>
    <row r="54" spans="1:15" ht="12.75">
      <c r="A54" s="112" t="s">
        <v>103</v>
      </c>
      <c r="B54" s="64" t="s">
        <v>13</v>
      </c>
      <c r="C54" s="113" t="s">
        <v>184</v>
      </c>
      <c r="D54" s="113"/>
      <c r="E54" s="64" t="s">
        <v>187</v>
      </c>
      <c r="F54" s="64"/>
      <c r="O54" s="104"/>
    </row>
    <row r="55" spans="1:15" ht="12.75">
      <c r="A55" s="112" t="s">
        <v>103</v>
      </c>
      <c r="B55" s="64" t="s">
        <v>13</v>
      </c>
      <c r="C55" s="113" t="s">
        <v>184</v>
      </c>
      <c r="D55" s="113"/>
      <c r="E55" s="64" t="s">
        <v>188</v>
      </c>
      <c r="F55" s="64"/>
      <c r="O55" s="104"/>
    </row>
    <row r="56" spans="1:15" ht="12.75">
      <c r="A56" s="112" t="s">
        <v>103</v>
      </c>
      <c r="B56" s="64" t="s">
        <v>13</v>
      </c>
      <c r="C56" s="114" t="s">
        <v>189</v>
      </c>
      <c r="D56" s="114"/>
      <c r="E56" s="64" t="s">
        <v>185</v>
      </c>
      <c r="F56" s="64"/>
      <c r="O56" s="104"/>
    </row>
    <row r="57" spans="1:15" ht="12.75">
      <c r="A57" s="112" t="s">
        <v>103</v>
      </c>
      <c r="B57" s="64" t="s">
        <v>13</v>
      </c>
      <c r="C57" s="114" t="s">
        <v>189</v>
      </c>
      <c r="D57" s="114"/>
      <c r="E57" s="64" t="s">
        <v>186</v>
      </c>
      <c r="F57" s="64"/>
      <c r="O57" s="104"/>
    </row>
    <row r="58" spans="1:15" ht="12.75">
      <c r="A58" s="112" t="s">
        <v>103</v>
      </c>
      <c r="B58" s="64" t="s">
        <v>13</v>
      </c>
      <c r="C58" s="114" t="s">
        <v>189</v>
      </c>
      <c r="D58" s="114"/>
      <c r="E58" s="64" t="s">
        <v>187</v>
      </c>
      <c r="F58" s="64"/>
      <c r="O58" s="104"/>
    </row>
    <row r="59" spans="1:15" ht="12.75">
      <c r="A59" s="112" t="s">
        <v>103</v>
      </c>
      <c r="B59" s="64" t="s">
        <v>13</v>
      </c>
      <c r="C59" s="114" t="s">
        <v>189</v>
      </c>
      <c r="D59" s="114"/>
      <c r="E59" s="64" t="s">
        <v>188</v>
      </c>
      <c r="F59" s="64"/>
      <c r="O59" s="104"/>
    </row>
    <row r="60" spans="1:15" ht="12.75">
      <c r="A60" s="103" t="s">
        <v>103</v>
      </c>
      <c r="B60" t="s">
        <v>13</v>
      </c>
      <c r="C60" s="105" t="s">
        <v>190</v>
      </c>
      <c r="D60" s="105"/>
      <c r="E60" t="s">
        <v>191</v>
      </c>
      <c r="G60" s="1" t="s">
        <v>30</v>
      </c>
      <c r="I60" s="73" t="s">
        <v>18</v>
      </c>
      <c r="J60" s="65" t="s">
        <v>192</v>
      </c>
      <c r="M60" s="66" t="s">
        <v>193</v>
      </c>
    </row>
    <row r="61" spans="1:15" ht="12.75">
      <c r="A61" s="103" t="s">
        <v>103</v>
      </c>
      <c r="B61" t="s">
        <v>13</v>
      </c>
      <c r="C61" s="105" t="s">
        <v>190</v>
      </c>
      <c r="D61" s="105"/>
      <c r="E61" t="s">
        <v>194</v>
      </c>
      <c r="G61" s="1"/>
      <c r="I61" s="73"/>
      <c r="J61" s="65"/>
      <c r="M61" s="66"/>
    </row>
    <row r="62" spans="1:15" ht="12.75">
      <c r="A62" s="103" t="s">
        <v>103</v>
      </c>
      <c r="B62" t="s">
        <v>13</v>
      </c>
      <c r="C62" s="105" t="s">
        <v>190</v>
      </c>
      <c r="D62" s="105"/>
      <c r="E62" t="s">
        <v>195</v>
      </c>
      <c r="J62" s="65" t="s">
        <v>196</v>
      </c>
    </row>
    <row r="63" spans="1:15" ht="12.75">
      <c r="A63" s="103" t="s">
        <v>103</v>
      </c>
      <c r="B63" t="s">
        <v>13</v>
      </c>
      <c r="C63" s="105" t="s">
        <v>190</v>
      </c>
      <c r="D63" s="105"/>
      <c r="E63" t="s">
        <v>197</v>
      </c>
      <c r="J63" s="65" t="s">
        <v>198</v>
      </c>
      <c r="O63" s="104"/>
    </row>
    <row r="64" spans="1:15" s="107" customFormat="1" ht="12.75">
      <c r="A64" s="106" t="s">
        <v>103</v>
      </c>
      <c r="B64" s="107" t="s">
        <v>13</v>
      </c>
      <c r="C64" s="108" t="s">
        <v>190</v>
      </c>
      <c r="D64" s="108"/>
      <c r="E64" s="107" t="s">
        <v>199</v>
      </c>
      <c r="J64" s="109" t="s">
        <v>200</v>
      </c>
      <c r="L64" s="110"/>
      <c r="O64" s="111"/>
    </row>
    <row r="65" spans="1:15" ht="23.25">
      <c r="A65" t="s">
        <v>103</v>
      </c>
      <c r="C65" s="116" t="s">
        <v>201</v>
      </c>
      <c r="D65" s="116" t="s">
        <v>202</v>
      </c>
      <c r="E65" s="116" t="s">
        <v>203</v>
      </c>
      <c r="H65" s="1" t="s">
        <v>204</v>
      </c>
      <c r="J65" s="1" t="s">
        <v>156</v>
      </c>
      <c r="O65" s="104"/>
    </row>
    <row r="66" spans="1:15" ht="12.75">
      <c r="A66" t="s">
        <v>103</v>
      </c>
      <c r="C66" s="116" t="s">
        <v>205</v>
      </c>
      <c r="D66" s="116"/>
      <c r="E66" s="116" t="s">
        <v>206</v>
      </c>
      <c r="J66" s="1"/>
      <c r="O66" s="104"/>
    </row>
    <row r="67" spans="1:15" ht="12.75">
      <c r="A67" t="s">
        <v>103</v>
      </c>
      <c r="C67" s="116" t="s">
        <v>207</v>
      </c>
      <c r="D67" s="116"/>
      <c r="E67" s="116" t="s">
        <v>208</v>
      </c>
      <c r="J67" s="1"/>
      <c r="O67" s="104"/>
    </row>
    <row r="68" spans="1:15" ht="12.75">
      <c r="A68" t="s">
        <v>103</v>
      </c>
      <c r="C68" s="116" t="s">
        <v>209</v>
      </c>
      <c r="D68" s="116"/>
      <c r="E68" s="116" t="s">
        <v>149</v>
      </c>
      <c r="J68" s="1"/>
      <c r="O68" s="104"/>
    </row>
    <row r="69" spans="1:15" ht="12.75">
      <c r="A69" t="s">
        <v>103</v>
      </c>
      <c r="C69" s="116"/>
      <c r="D69" s="116"/>
      <c r="E69" s="116" t="s">
        <v>151</v>
      </c>
      <c r="J69" s="1"/>
      <c r="O69" s="104"/>
    </row>
    <row r="70" spans="1:15" ht="12.75">
      <c r="A70" t="s">
        <v>103</v>
      </c>
      <c r="C70" s="116"/>
      <c r="D70" s="116"/>
      <c r="E70" s="116" t="s">
        <v>210</v>
      </c>
      <c r="J70" s="1"/>
      <c r="O70" s="104"/>
    </row>
    <row r="71" spans="1:15" ht="12.75">
      <c r="A71" t="s">
        <v>103</v>
      </c>
      <c r="C71" s="116"/>
      <c r="D71" s="116"/>
      <c r="E71" s="116" t="s">
        <v>211</v>
      </c>
      <c r="J71" s="1"/>
      <c r="O71" s="104"/>
    </row>
    <row r="72" spans="1:15" ht="12.75">
      <c r="A72" t="s">
        <v>103</v>
      </c>
      <c r="C72" s="116"/>
      <c r="D72" s="116"/>
      <c r="E72" s="116" t="s">
        <v>212</v>
      </c>
      <c r="J72" s="1"/>
      <c r="O72" s="104"/>
    </row>
    <row r="73" spans="1:15" ht="12.75">
      <c r="A73" t="s">
        <v>103</v>
      </c>
      <c r="C73" s="116"/>
      <c r="D73" s="116"/>
      <c r="E73" s="116" t="s">
        <v>213</v>
      </c>
      <c r="J73" s="1"/>
      <c r="O73" s="104"/>
    </row>
    <row r="74" spans="1:15" ht="12.75">
      <c r="A74" t="s">
        <v>103</v>
      </c>
      <c r="C74" s="116"/>
      <c r="D74" s="116"/>
      <c r="E74" s="116" t="s">
        <v>214</v>
      </c>
      <c r="F74" t="s">
        <v>215</v>
      </c>
      <c r="J74" s="1"/>
      <c r="O74" s="104"/>
    </row>
    <row r="75" spans="1:15" ht="12.75">
      <c r="A75" s="87" t="s">
        <v>216</v>
      </c>
      <c r="B75" s="87" t="s">
        <v>146</v>
      </c>
      <c r="C75" s="88" t="s">
        <v>217</v>
      </c>
      <c r="D75" s="88"/>
    </row>
    <row r="76" spans="1:15" ht="12.75">
      <c r="A76" s="87" t="s">
        <v>216</v>
      </c>
      <c r="B76" s="87" t="s">
        <v>146</v>
      </c>
      <c r="C76" s="88" t="s">
        <v>218</v>
      </c>
      <c r="D76" s="88"/>
    </row>
    <row r="77" spans="1:15" ht="12.75">
      <c r="A77" s="87" t="s">
        <v>216</v>
      </c>
      <c r="B77" s="87" t="s">
        <v>146</v>
      </c>
      <c r="C77" s="88" t="s">
        <v>219</v>
      </c>
      <c r="D77" s="88"/>
    </row>
    <row r="78" spans="1:15" ht="12.75">
      <c r="A78" s="87" t="s">
        <v>216</v>
      </c>
      <c r="B78" s="87" t="s">
        <v>146</v>
      </c>
      <c r="C78" s="88" t="s">
        <v>220</v>
      </c>
      <c r="D78" s="88"/>
    </row>
    <row r="79" spans="1:15" ht="12.75">
      <c r="A79" s="87" t="s">
        <v>216</v>
      </c>
      <c r="B79" s="87" t="s">
        <v>146</v>
      </c>
      <c r="C79" s="88" t="s">
        <v>221</v>
      </c>
      <c r="D79" s="88"/>
    </row>
    <row r="80" spans="1:15" ht="12.75">
      <c r="A80" s="87" t="s">
        <v>216</v>
      </c>
      <c r="B80" s="87" t="s">
        <v>146</v>
      </c>
      <c r="C80" s="88" t="s">
        <v>222</v>
      </c>
      <c r="D80" s="88"/>
    </row>
    <row r="81" spans="1:14" ht="12.75">
      <c r="A81" s="87" t="s">
        <v>216</v>
      </c>
      <c r="B81" s="87" t="s">
        <v>146</v>
      </c>
      <c r="C81" s="88" t="s">
        <v>223</v>
      </c>
      <c r="D81" s="88"/>
    </row>
    <row r="82" spans="1:14" ht="12.75">
      <c r="A82" s="87" t="s">
        <v>216</v>
      </c>
      <c r="B82" s="87" t="s">
        <v>146</v>
      </c>
      <c r="C82" s="100" t="s">
        <v>224</v>
      </c>
      <c r="D82" s="100"/>
    </row>
    <row r="83" spans="1:14" ht="12.75">
      <c r="A83" s="87" t="s">
        <v>216</v>
      </c>
      <c r="B83" s="87" t="s">
        <v>146</v>
      </c>
      <c r="C83" s="88" t="s">
        <v>225</v>
      </c>
      <c r="D83" s="88"/>
    </row>
    <row r="84" spans="1:14" ht="12.75">
      <c r="A84" s="87" t="s">
        <v>216</v>
      </c>
      <c r="B84" s="87" t="s">
        <v>146</v>
      </c>
      <c r="C84" s="88" t="s">
        <v>226</v>
      </c>
      <c r="D84" s="88"/>
    </row>
    <row r="85" spans="1:14" ht="12.75">
      <c r="A85" s="87" t="s">
        <v>216</v>
      </c>
      <c r="B85" s="87" t="s">
        <v>146</v>
      </c>
      <c r="C85" s="88" t="s">
        <v>227</v>
      </c>
      <c r="D85" s="88"/>
    </row>
    <row r="86" spans="1:14" ht="12.75">
      <c r="A86" s="87" t="s">
        <v>216</v>
      </c>
      <c r="B86" s="87" t="s">
        <v>146</v>
      </c>
      <c r="C86" s="88" t="s">
        <v>228</v>
      </c>
      <c r="D86" s="88"/>
    </row>
    <row r="87" spans="1:14" ht="12.75">
      <c r="A87" t="s">
        <v>103</v>
      </c>
      <c r="B87" t="s">
        <v>13</v>
      </c>
      <c r="C87" s="79" t="s">
        <v>229</v>
      </c>
      <c r="D87" s="79"/>
      <c r="E87" t="s">
        <v>230</v>
      </c>
      <c r="H87" t="s">
        <v>231</v>
      </c>
      <c r="J87" s="65" t="s">
        <v>232</v>
      </c>
      <c r="L87" s="67" t="s">
        <v>233</v>
      </c>
      <c r="M87" s="72" t="s">
        <v>83</v>
      </c>
      <c r="N87" t="s">
        <v>234</v>
      </c>
    </row>
    <row r="88" spans="1:14" ht="12.75">
      <c r="A88" t="s">
        <v>103</v>
      </c>
      <c r="B88" t="s">
        <v>13</v>
      </c>
      <c r="C88" s="79" t="s">
        <v>229</v>
      </c>
      <c r="D88" s="79"/>
      <c r="E88" t="s">
        <v>235</v>
      </c>
      <c r="H88" s="28" t="s">
        <v>236</v>
      </c>
      <c r="J88" t="s">
        <v>237</v>
      </c>
      <c r="L88" s="67" t="s">
        <v>238</v>
      </c>
    </row>
    <row r="89" spans="1:14" ht="12.75">
      <c r="A89" t="s">
        <v>103</v>
      </c>
      <c r="B89" t="s">
        <v>13</v>
      </c>
      <c r="C89" s="79" t="s">
        <v>229</v>
      </c>
      <c r="D89" s="79"/>
      <c r="E89" t="s">
        <v>239</v>
      </c>
      <c r="H89" s="28"/>
    </row>
    <row r="90" spans="1:14" ht="15">
      <c r="A90" t="s">
        <v>103</v>
      </c>
      <c r="B90" t="s">
        <v>13</v>
      </c>
      <c r="C90" s="79" t="s">
        <v>229</v>
      </c>
      <c r="D90" s="79"/>
      <c r="E90" t="s">
        <v>240</v>
      </c>
      <c r="H90" s="70" t="s">
        <v>241</v>
      </c>
      <c r="I90" s="5" t="s">
        <v>242</v>
      </c>
      <c r="J90" t="s">
        <v>243</v>
      </c>
    </row>
    <row r="91" spans="1:14" ht="12.75">
      <c r="A91" t="s">
        <v>103</v>
      </c>
      <c r="B91" t="s">
        <v>13</v>
      </c>
      <c r="C91" s="85" t="s">
        <v>244</v>
      </c>
      <c r="D91" s="85"/>
      <c r="E91" t="s">
        <v>245</v>
      </c>
      <c r="M91" s="83" t="s">
        <v>246</v>
      </c>
    </row>
    <row r="92" spans="1:14" ht="12.75">
      <c r="A92" t="s">
        <v>103</v>
      </c>
      <c r="B92" t="s">
        <v>13</v>
      </c>
      <c r="C92" s="85" t="s">
        <v>244</v>
      </c>
      <c r="D92" s="85"/>
      <c r="E92" t="s">
        <v>247</v>
      </c>
      <c r="M92" s="83" t="s">
        <v>248</v>
      </c>
    </row>
    <row r="93" spans="1:14" ht="12.75">
      <c r="A93" t="s">
        <v>103</v>
      </c>
      <c r="B93" t="s">
        <v>13</v>
      </c>
      <c r="C93" s="85" t="s">
        <v>244</v>
      </c>
      <c r="D93" s="85"/>
      <c r="E93" t="s">
        <v>249</v>
      </c>
    </row>
    <row r="94" spans="1:14" ht="12.75">
      <c r="A94" t="s">
        <v>103</v>
      </c>
      <c r="B94" t="s">
        <v>13</v>
      </c>
      <c r="C94" s="85" t="s">
        <v>244</v>
      </c>
      <c r="D94" s="85"/>
      <c r="E94" t="s">
        <v>250</v>
      </c>
      <c r="M94" s="83"/>
    </row>
    <row r="95" spans="1:14" ht="12.75">
      <c r="A95" t="s">
        <v>103</v>
      </c>
      <c r="B95" t="s">
        <v>13</v>
      </c>
      <c r="C95" s="85" t="s">
        <v>244</v>
      </c>
      <c r="D95" s="85"/>
      <c r="E95" t="s">
        <v>251</v>
      </c>
      <c r="M95" s="83"/>
    </row>
    <row r="96" spans="1:14" ht="12.75">
      <c r="A96" t="s">
        <v>103</v>
      </c>
      <c r="B96" t="s">
        <v>13</v>
      </c>
      <c r="C96" s="1" t="s">
        <v>252</v>
      </c>
      <c r="E96" t="s">
        <v>253</v>
      </c>
      <c r="J96" s="1"/>
    </row>
    <row r="97" spans="1:13" ht="12.75">
      <c r="A97" t="s">
        <v>103</v>
      </c>
      <c r="B97" t="s">
        <v>13</v>
      </c>
      <c r="C97" s="1" t="s">
        <v>252</v>
      </c>
      <c r="E97" t="s">
        <v>254</v>
      </c>
    </row>
    <row r="98" spans="1:13" ht="12.75">
      <c r="A98" t="s">
        <v>103</v>
      </c>
      <c r="B98" t="s">
        <v>13</v>
      </c>
      <c r="C98" s="1" t="s">
        <v>252</v>
      </c>
      <c r="E98" t="s">
        <v>255</v>
      </c>
    </row>
    <row r="99" spans="1:13" ht="12.75">
      <c r="A99" t="s">
        <v>103</v>
      </c>
      <c r="B99" t="s">
        <v>13</v>
      </c>
      <c r="C99" s="1" t="s">
        <v>252</v>
      </c>
      <c r="E99" t="s">
        <v>256</v>
      </c>
      <c r="J99" s="61" t="s">
        <v>257</v>
      </c>
    </row>
    <row r="100" spans="1:13" ht="12.75">
      <c r="A100" t="s">
        <v>103</v>
      </c>
      <c r="B100" t="s">
        <v>13</v>
      </c>
      <c r="C100" s="92" t="s">
        <v>258</v>
      </c>
      <c r="D100" s="92"/>
      <c r="E100" s="64" t="s">
        <v>259</v>
      </c>
      <c r="J100" s="1" t="s">
        <v>260</v>
      </c>
      <c r="M100" t="s">
        <v>261</v>
      </c>
    </row>
    <row r="101" spans="1:13" ht="12.75">
      <c r="A101" t="s">
        <v>103</v>
      </c>
      <c r="B101" t="s">
        <v>13</v>
      </c>
      <c r="C101" s="92" t="s">
        <v>258</v>
      </c>
      <c r="D101" s="92"/>
      <c r="E101" s="64" t="s">
        <v>262</v>
      </c>
      <c r="J101" s="1" t="s">
        <v>263</v>
      </c>
    </row>
    <row r="102" spans="1:13" ht="12.75">
      <c r="A102" t="s">
        <v>103</v>
      </c>
      <c r="B102" t="s">
        <v>13</v>
      </c>
      <c r="C102" s="92" t="s">
        <v>258</v>
      </c>
      <c r="D102" s="92"/>
      <c r="E102" s="64" t="s">
        <v>264</v>
      </c>
      <c r="J102" s="1" t="s">
        <v>265</v>
      </c>
    </row>
    <row r="103" spans="1:13" ht="12.75">
      <c r="A103" t="s">
        <v>103</v>
      </c>
      <c r="B103" t="s">
        <v>13</v>
      </c>
      <c r="C103" s="92" t="s">
        <v>258</v>
      </c>
      <c r="D103" s="92"/>
      <c r="E103" s="64"/>
      <c r="J103" s="1" t="s">
        <v>266</v>
      </c>
    </row>
    <row r="104" spans="1:13" ht="12.75">
      <c r="A104" t="s">
        <v>103</v>
      </c>
      <c r="B104" t="s">
        <v>13</v>
      </c>
      <c r="C104" s="92" t="s">
        <v>258</v>
      </c>
      <c r="D104" s="92"/>
      <c r="E104" s="64"/>
      <c r="J104" s="1" t="s">
        <v>267</v>
      </c>
    </row>
    <row r="105" spans="1:13" ht="12.75">
      <c r="A105" t="s">
        <v>103</v>
      </c>
      <c r="B105" t="s">
        <v>13</v>
      </c>
      <c r="C105" s="82" t="s">
        <v>268</v>
      </c>
      <c r="D105" s="82"/>
      <c r="E105" t="s">
        <v>269</v>
      </c>
      <c r="F105" s="67" t="s">
        <v>90</v>
      </c>
      <c r="J105" s="1" t="s">
        <v>270</v>
      </c>
      <c r="M105" t="s">
        <v>47</v>
      </c>
    </row>
    <row r="106" spans="1:13" ht="12.75">
      <c r="A106" t="s">
        <v>103</v>
      </c>
      <c r="B106" t="s">
        <v>13</v>
      </c>
      <c r="C106" s="82" t="s">
        <v>268</v>
      </c>
      <c r="D106" s="82"/>
      <c r="E106" t="s">
        <v>271</v>
      </c>
      <c r="F106" s="67" t="s">
        <v>90</v>
      </c>
      <c r="J106" s="1" t="s">
        <v>272</v>
      </c>
      <c r="M106" t="s">
        <v>273</v>
      </c>
    </row>
    <row r="107" spans="1:13" ht="12.75">
      <c r="A107" t="s">
        <v>103</v>
      </c>
      <c r="B107" t="s">
        <v>13</v>
      </c>
      <c r="C107" s="82" t="s">
        <v>268</v>
      </c>
      <c r="D107" s="82"/>
      <c r="E107" t="s">
        <v>274</v>
      </c>
      <c r="F107" s="67" t="s">
        <v>90</v>
      </c>
      <c r="J107" s="1" t="s">
        <v>275</v>
      </c>
    </row>
    <row r="108" spans="1:13" ht="12.75">
      <c r="A108" t="s">
        <v>103</v>
      </c>
      <c r="B108" t="s">
        <v>13</v>
      </c>
      <c r="C108" s="82" t="s">
        <v>268</v>
      </c>
      <c r="D108" s="82"/>
      <c r="E108" t="s">
        <v>276</v>
      </c>
      <c r="F108" s="67" t="s">
        <v>90</v>
      </c>
      <c r="J108" s="1" t="s">
        <v>277</v>
      </c>
    </row>
    <row r="109" spans="1:13" ht="12.75">
      <c r="A109" t="s">
        <v>103</v>
      </c>
      <c r="B109" t="s">
        <v>13</v>
      </c>
      <c r="C109" s="82" t="s">
        <v>268</v>
      </c>
      <c r="D109" s="82"/>
      <c r="E109" t="s">
        <v>278</v>
      </c>
      <c r="F109" s="67" t="s">
        <v>90</v>
      </c>
      <c r="J109" s="1" t="s">
        <v>279</v>
      </c>
      <c r="M109" t="s">
        <v>47</v>
      </c>
    </row>
    <row r="110" spans="1:13" ht="12.75">
      <c r="A110" t="s">
        <v>103</v>
      </c>
      <c r="B110" t="s">
        <v>13</v>
      </c>
      <c r="C110" s="82" t="s">
        <v>268</v>
      </c>
      <c r="D110" s="82"/>
      <c r="E110" t="s">
        <v>230</v>
      </c>
      <c r="F110" s="67" t="s">
        <v>90</v>
      </c>
      <c r="J110" s="1" t="s">
        <v>280</v>
      </c>
      <c r="M110" t="s">
        <v>273</v>
      </c>
    </row>
    <row r="111" spans="1:13" ht="12.75">
      <c r="A111" t="s">
        <v>103</v>
      </c>
      <c r="B111" t="s">
        <v>281</v>
      </c>
      <c r="C111" s="86" t="s">
        <v>282</v>
      </c>
      <c r="D111" s="86"/>
      <c r="E111" t="s">
        <v>283</v>
      </c>
      <c r="J111" s="1" t="s">
        <v>284</v>
      </c>
    </row>
    <row r="112" spans="1:13" ht="12.75">
      <c r="A112" t="s">
        <v>103</v>
      </c>
      <c r="B112" t="s">
        <v>281</v>
      </c>
      <c r="C112" s="86" t="s">
        <v>282</v>
      </c>
      <c r="D112" s="86"/>
      <c r="E112" t="s">
        <v>285</v>
      </c>
    </row>
    <row r="113" spans="1:5" ht="12.75">
      <c r="A113" t="s">
        <v>103</v>
      </c>
      <c r="B113" t="s">
        <v>281</v>
      </c>
      <c r="C113" s="86" t="s">
        <v>282</v>
      </c>
      <c r="D113" s="86"/>
      <c r="E113" t="s">
        <v>286</v>
      </c>
    </row>
    <row r="114" spans="1:5" ht="12.75">
      <c r="A114" t="s">
        <v>103</v>
      </c>
      <c r="B114" t="s">
        <v>281</v>
      </c>
      <c r="C114" s="86" t="s">
        <v>282</v>
      </c>
      <c r="D114" s="86"/>
      <c r="E114" t="s">
        <v>287</v>
      </c>
    </row>
    <row r="115" spans="1:5" ht="12.75">
      <c r="A115" t="s">
        <v>103</v>
      </c>
      <c r="B115" t="s">
        <v>281</v>
      </c>
      <c r="C115" s="86" t="s">
        <v>282</v>
      </c>
      <c r="D115" s="86"/>
      <c r="E115" t="s">
        <v>288</v>
      </c>
    </row>
    <row r="116" spans="1:5" ht="12.75">
      <c r="A116" t="s">
        <v>103</v>
      </c>
      <c r="B116" t="s">
        <v>281</v>
      </c>
      <c r="C116" s="86" t="s">
        <v>282</v>
      </c>
      <c r="D116" s="86"/>
    </row>
    <row r="117" spans="1:5" ht="12.75">
      <c r="A117" t="s">
        <v>103</v>
      </c>
      <c r="B117" t="s">
        <v>13</v>
      </c>
      <c r="C117" t="s">
        <v>289</v>
      </c>
      <c r="D117"/>
      <c r="E117" t="s">
        <v>290</v>
      </c>
    </row>
    <row r="118" spans="1:5" ht="12.75">
      <c r="A118" t="s">
        <v>103</v>
      </c>
      <c r="B118" t="s">
        <v>13</v>
      </c>
      <c r="C118" t="s">
        <v>289</v>
      </c>
      <c r="D118"/>
      <c r="E118" t="s">
        <v>291</v>
      </c>
    </row>
    <row r="119" spans="1:5" ht="12.75">
      <c r="A119" t="s">
        <v>103</v>
      </c>
      <c r="B119" t="s">
        <v>13</v>
      </c>
      <c r="C119" t="s">
        <v>289</v>
      </c>
      <c r="D119"/>
      <c r="E119" t="s">
        <v>292</v>
      </c>
    </row>
    <row r="120" spans="1:5" ht="12.75">
      <c r="A120" t="s">
        <v>103</v>
      </c>
      <c r="B120" t="s">
        <v>13</v>
      </c>
      <c r="C120" t="s">
        <v>289</v>
      </c>
      <c r="D120"/>
      <c r="E120" t="s">
        <v>293</v>
      </c>
    </row>
    <row r="121" spans="1:5" ht="12.75">
      <c r="A121" t="s">
        <v>103</v>
      </c>
      <c r="B121" t="s">
        <v>13</v>
      </c>
      <c r="C121" t="s">
        <v>289</v>
      </c>
      <c r="D121"/>
      <c r="E121" t="s">
        <v>294</v>
      </c>
    </row>
    <row r="122" spans="1:5" ht="12.75">
      <c r="A122" t="s">
        <v>103</v>
      </c>
      <c r="B122" t="s">
        <v>13</v>
      </c>
      <c r="C122" t="s">
        <v>289</v>
      </c>
      <c r="D122"/>
    </row>
    <row r="123" spans="1:5" ht="12.75">
      <c r="A123" t="s">
        <v>103</v>
      </c>
      <c r="B123" t="s">
        <v>13</v>
      </c>
      <c r="C123" s="89" t="s">
        <v>295</v>
      </c>
      <c r="D123" s="89"/>
      <c r="E123" t="s">
        <v>188</v>
      </c>
    </row>
    <row r="124" spans="1:5" ht="12.75">
      <c r="A124" t="s">
        <v>103</v>
      </c>
      <c r="B124" t="s">
        <v>13</v>
      </c>
      <c r="C124" s="89" t="s">
        <v>295</v>
      </c>
      <c r="D124" s="89"/>
      <c r="E124" t="s">
        <v>296</v>
      </c>
    </row>
    <row r="125" spans="1:5" ht="12.75">
      <c r="A125" t="s">
        <v>103</v>
      </c>
      <c r="B125" t="s">
        <v>13</v>
      </c>
      <c r="C125" s="89" t="s">
        <v>295</v>
      </c>
      <c r="D125" s="89"/>
      <c r="E125" t="s">
        <v>297</v>
      </c>
    </row>
    <row r="126" spans="1:5" ht="12.75">
      <c r="A126" t="s">
        <v>103</v>
      </c>
      <c r="B126" t="s">
        <v>13</v>
      </c>
      <c r="C126" s="89" t="s">
        <v>295</v>
      </c>
      <c r="D126" s="89"/>
      <c r="E126" t="s">
        <v>298</v>
      </c>
    </row>
    <row r="127" spans="1:5" ht="12.75">
      <c r="A127" t="s">
        <v>103</v>
      </c>
      <c r="B127" t="s">
        <v>13</v>
      </c>
      <c r="C127" s="89" t="s">
        <v>295</v>
      </c>
      <c r="D127" s="89"/>
      <c r="E127" t="s">
        <v>299</v>
      </c>
    </row>
    <row r="128" spans="1:5" ht="12.75">
      <c r="A128" t="s">
        <v>103</v>
      </c>
      <c r="B128" t="s">
        <v>13</v>
      </c>
      <c r="C128" s="89" t="s">
        <v>295</v>
      </c>
      <c r="D128" s="89"/>
      <c r="E128" t="s">
        <v>300</v>
      </c>
    </row>
    <row r="129" spans="1:11" ht="12.75">
      <c r="C129" s="101" t="s">
        <v>301</v>
      </c>
      <c r="D129" s="101"/>
      <c r="E129" t="s">
        <v>302</v>
      </c>
    </row>
    <row r="130" spans="1:11" ht="23.25">
      <c r="A130" t="s">
        <v>103</v>
      </c>
      <c r="B130" t="s">
        <v>13</v>
      </c>
      <c r="C130" s="115" t="s">
        <v>303</v>
      </c>
      <c r="D130" s="115" t="s">
        <v>304</v>
      </c>
      <c r="E130" s="79" t="s">
        <v>305</v>
      </c>
    </row>
    <row r="131" spans="1:11" ht="23.25">
      <c r="C131" s="115" t="s">
        <v>303</v>
      </c>
      <c r="D131" s="115" t="s">
        <v>304</v>
      </c>
      <c r="E131" s="79" t="s">
        <v>306</v>
      </c>
    </row>
    <row r="132" spans="1:11" ht="12.75">
      <c r="A132" t="s">
        <v>307</v>
      </c>
      <c r="C132" s="115"/>
      <c r="D132" s="115" t="s">
        <v>304</v>
      </c>
      <c r="E132" s="79" t="s">
        <v>308</v>
      </c>
    </row>
    <row r="133" spans="1:11" ht="23.25">
      <c r="A133" t="s">
        <v>103</v>
      </c>
      <c r="B133" t="s">
        <v>13</v>
      </c>
      <c r="C133" s="115" t="s">
        <v>303</v>
      </c>
      <c r="D133" s="115" t="s">
        <v>304</v>
      </c>
      <c r="E133" s="79" t="s">
        <v>309</v>
      </c>
      <c r="G133" s="1"/>
      <c r="I133" s="1" t="s">
        <v>310</v>
      </c>
      <c r="J133" t="s">
        <v>311</v>
      </c>
      <c r="K133" s="93"/>
    </row>
    <row r="134" spans="1:11" ht="23.25">
      <c r="A134" t="s">
        <v>103</v>
      </c>
      <c r="B134" t="s">
        <v>13</v>
      </c>
      <c r="C134" s="115" t="s">
        <v>303</v>
      </c>
      <c r="D134" s="115" t="s">
        <v>304</v>
      </c>
      <c r="E134" s="79" t="s">
        <v>312</v>
      </c>
      <c r="G134" s="1"/>
      <c r="I134" s="1" t="s">
        <v>310</v>
      </c>
      <c r="J134" t="s">
        <v>313</v>
      </c>
      <c r="K134" s="93"/>
    </row>
    <row r="135" spans="1:11" ht="23.25">
      <c r="C135" s="115" t="s">
        <v>303</v>
      </c>
      <c r="D135" s="115" t="s">
        <v>304</v>
      </c>
      <c r="E135" s="79"/>
    </row>
    <row r="136" spans="1:11" ht="12.75">
      <c r="A136" s="90" t="s">
        <v>216</v>
      </c>
      <c r="B136" s="90" t="s">
        <v>314</v>
      </c>
      <c r="C136" s="91" t="s">
        <v>315</v>
      </c>
      <c r="D136" s="91"/>
    </row>
    <row r="137" spans="1:11" ht="12.75">
      <c r="A137" s="90" t="s">
        <v>216</v>
      </c>
      <c r="B137" s="90" t="s">
        <v>314</v>
      </c>
      <c r="C137" s="91" t="s">
        <v>316</v>
      </c>
      <c r="D137" s="91"/>
    </row>
    <row r="138" spans="1:11" ht="12.75">
      <c r="A138" s="90" t="s">
        <v>216</v>
      </c>
      <c r="B138" s="90" t="s">
        <v>314</v>
      </c>
      <c r="C138" s="91" t="s">
        <v>317</v>
      </c>
      <c r="D138" s="91"/>
    </row>
    <row r="139" spans="1:11" ht="12.75">
      <c r="A139" s="90" t="s">
        <v>216</v>
      </c>
      <c r="B139" s="90" t="s">
        <v>314</v>
      </c>
      <c r="C139" s="91" t="s">
        <v>318</v>
      </c>
      <c r="D139" s="91"/>
    </row>
    <row r="140" spans="1:11" ht="12.75">
      <c r="A140" s="90" t="s">
        <v>216</v>
      </c>
      <c r="B140" s="90" t="s">
        <v>314</v>
      </c>
      <c r="C140" s="91" t="s">
        <v>319</v>
      </c>
      <c r="D140" s="91"/>
    </row>
    <row r="141" spans="1:11" ht="12.75">
      <c r="A141" s="90" t="s">
        <v>216</v>
      </c>
      <c r="B141" s="90" t="s">
        <v>314</v>
      </c>
      <c r="C141" s="90" t="s">
        <v>320</v>
      </c>
      <c r="D141" s="90"/>
      <c r="E141" t="s">
        <v>79</v>
      </c>
    </row>
    <row r="142" spans="1:11" ht="12.75">
      <c r="A142" s="90" t="s">
        <v>216</v>
      </c>
      <c r="B142" s="90" t="s">
        <v>314</v>
      </c>
      <c r="C142" s="90" t="s">
        <v>320</v>
      </c>
      <c r="D142" s="90"/>
      <c r="E142" t="s">
        <v>321</v>
      </c>
    </row>
    <row r="143" spans="1:11" ht="12.75">
      <c r="A143" s="90" t="s">
        <v>216</v>
      </c>
      <c r="B143" s="90" t="s">
        <v>314</v>
      </c>
      <c r="C143" s="90" t="s">
        <v>320</v>
      </c>
      <c r="D143" s="90"/>
      <c r="E143" t="s">
        <v>322</v>
      </c>
    </row>
    <row r="144" spans="1:11" ht="12.75">
      <c r="A144" t="s">
        <v>103</v>
      </c>
      <c r="B144" t="s">
        <v>13</v>
      </c>
      <c r="C144" s="83" t="s">
        <v>323</v>
      </c>
      <c r="D144" s="83"/>
      <c r="E144" t="s">
        <v>324</v>
      </c>
    </row>
    <row r="145" spans="1:5" ht="12.75">
      <c r="A145" t="s">
        <v>103</v>
      </c>
      <c r="B145" t="s">
        <v>13</v>
      </c>
      <c r="C145" s="83" t="s">
        <v>323</v>
      </c>
      <c r="D145" s="83"/>
      <c r="E145" t="s">
        <v>325</v>
      </c>
    </row>
    <row r="146" spans="1:5" ht="12.75">
      <c r="A146" t="s">
        <v>103</v>
      </c>
      <c r="B146" t="s">
        <v>13</v>
      </c>
      <c r="C146" s="83" t="s">
        <v>323</v>
      </c>
      <c r="D146" s="83"/>
      <c r="E146" t="s">
        <v>326</v>
      </c>
    </row>
    <row r="147" spans="1:5" ht="12.75">
      <c r="A147" t="s">
        <v>103</v>
      </c>
      <c r="B147" t="s">
        <v>13</v>
      </c>
      <c r="C147" s="83" t="s">
        <v>323</v>
      </c>
      <c r="D147" s="83"/>
      <c r="E147" t="s">
        <v>327</v>
      </c>
    </row>
    <row r="148" spans="1:5" ht="12.75">
      <c r="A148" t="s">
        <v>103</v>
      </c>
      <c r="B148" t="s">
        <v>13</v>
      </c>
      <c r="C148" s="83" t="s">
        <v>328</v>
      </c>
      <c r="D148" s="83"/>
      <c r="E148" t="s">
        <v>329</v>
      </c>
    </row>
    <row r="149" spans="1:5" ht="12.75">
      <c r="A149" t="s">
        <v>103</v>
      </c>
      <c r="B149" t="s">
        <v>13</v>
      </c>
      <c r="C149" s="83" t="s">
        <v>328</v>
      </c>
      <c r="D149" s="83"/>
      <c r="E149" t="s">
        <v>330</v>
      </c>
    </row>
    <row r="150" spans="1:5" ht="12.75">
      <c r="A150" t="s">
        <v>103</v>
      </c>
      <c r="B150" t="s">
        <v>13</v>
      </c>
      <c r="C150" s="83" t="s">
        <v>328</v>
      </c>
      <c r="D150" s="83"/>
      <c r="E150" t="s">
        <v>331</v>
      </c>
    </row>
    <row r="151" spans="1:5" ht="12.75">
      <c r="A151" t="s">
        <v>103</v>
      </c>
      <c r="B151" t="s">
        <v>13</v>
      </c>
      <c r="C151" s="83" t="s">
        <v>328</v>
      </c>
      <c r="D151" s="83"/>
      <c r="E151" t="s">
        <v>332</v>
      </c>
    </row>
    <row r="152" spans="1:5" ht="12.75">
      <c r="A152" t="s">
        <v>103</v>
      </c>
      <c r="B152" t="s">
        <v>13</v>
      </c>
      <c r="C152" s="83" t="s">
        <v>328</v>
      </c>
      <c r="D152" s="83"/>
      <c r="E152" t="s">
        <v>333</v>
      </c>
    </row>
    <row r="153" spans="1:5" ht="12.75">
      <c r="A153" t="s">
        <v>103</v>
      </c>
      <c r="B153" t="s">
        <v>13</v>
      </c>
      <c r="C153" s="83" t="s">
        <v>328</v>
      </c>
      <c r="D153" s="83"/>
      <c r="E153" t="s">
        <v>334</v>
      </c>
    </row>
    <row r="154" spans="1:5" ht="12.75">
      <c r="A154" t="s">
        <v>103</v>
      </c>
      <c r="B154" t="s">
        <v>13</v>
      </c>
      <c r="C154" s="83" t="s">
        <v>335</v>
      </c>
      <c r="D154" s="83"/>
      <c r="E154" t="s">
        <v>188</v>
      </c>
    </row>
    <row r="155" spans="1:5" ht="12.75">
      <c r="A155" t="s">
        <v>103</v>
      </c>
      <c r="B155" t="s">
        <v>13</v>
      </c>
      <c r="C155" s="83" t="s">
        <v>335</v>
      </c>
      <c r="D155" s="83"/>
      <c r="E155" t="s">
        <v>336</v>
      </c>
    </row>
    <row r="156" spans="1:5" ht="12.75">
      <c r="A156" t="s">
        <v>103</v>
      </c>
      <c r="B156" t="s">
        <v>13</v>
      </c>
      <c r="C156" s="83" t="s">
        <v>335</v>
      </c>
      <c r="D156" s="83"/>
    </row>
    <row r="157" spans="1:5" ht="12.75">
      <c r="A157" t="s">
        <v>103</v>
      </c>
      <c r="B157" t="s">
        <v>13</v>
      </c>
      <c r="C157" s="83" t="s">
        <v>335</v>
      </c>
      <c r="D157" s="83"/>
      <c r="E157" t="s">
        <v>337</v>
      </c>
    </row>
    <row r="158" spans="1:5" ht="12.75">
      <c r="A158" t="s">
        <v>103</v>
      </c>
      <c r="B158" t="s">
        <v>13</v>
      </c>
      <c r="C158" s="83" t="s">
        <v>338</v>
      </c>
      <c r="D158" s="83"/>
    </row>
    <row r="159" spans="1:5" ht="12.75">
      <c r="A159" t="s">
        <v>103</v>
      </c>
      <c r="B159" t="s">
        <v>13</v>
      </c>
      <c r="C159" s="83" t="s">
        <v>339</v>
      </c>
      <c r="D159" s="83"/>
    </row>
    <row r="160" spans="1:5" ht="12.75">
      <c r="A160" t="s">
        <v>103</v>
      </c>
      <c r="B160" t="s">
        <v>13</v>
      </c>
      <c r="C160" s="83" t="s">
        <v>340</v>
      </c>
      <c r="D160" s="83"/>
      <c r="E160" t="s">
        <v>341</v>
      </c>
    </row>
    <row r="161" spans="1:10" ht="12.75">
      <c r="A161" t="s">
        <v>103</v>
      </c>
      <c r="B161" t="s">
        <v>13</v>
      </c>
      <c r="C161" s="83" t="s">
        <v>340</v>
      </c>
      <c r="D161" s="83"/>
      <c r="E161" t="s">
        <v>342</v>
      </c>
    </row>
    <row r="162" spans="1:10" ht="12.75">
      <c r="A162" t="s">
        <v>103</v>
      </c>
      <c r="B162" t="s">
        <v>13</v>
      </c>
      <c r="C162" s="83" t="s">
        <v>340</v>
      </c>
      <c r="D162" s="83"/>
      <c r="E162" t="s">
        <v>343</v>
      </c>
    </row>
    <row r="163" spans="1:10" ht="12.75">
      <c r="A163" t="s">
        <v>103</v>
      </c>
      <c r="B163" t="s">
        <v>13</v>
      </c>
      <c r="C163" s="83" t="s">
        <v>344</v>
      </c>
      <c r="D163" s="83"/>
      <c r="J163" s="61" t="s">
        <v>345</v>
      </c>
    </row>
    <row r="164" spans="1:10" ht="12.75">
      <c r="A164" t="s">
        <v>103</v>
      </c>
      <c r="B164" t="s">
        <v>13</v>
      </c>
      <c r="C164" s="83" t="s">
        <v>346</v>
      </c>
      <c r="D164" s="83"/>
    </row>
    <row r="165" spans="1:10" ht="12.75">
      <c r="A165" t="s">
        <v>103</v>
      </c>
      <c r="E165" t="s">
        <v>347</v>
      </c>
    </row>
    <row r="166" spans="1:10" ht="12.75">
      <c r="C166"/>
      <c r="D166"/>
    </row>
    <row r="167" spans="1:10" ht="12.75"/>
    <row r="168" spans="1:10" ht="12.75"/>
    <row r="169" spans="1:10" ht="12.75"/>
    <row r="170" spans="1:10" ht="12.75"/>
    <row r="171" spans="1:10" ht="12.75"/>
    <row r="172" spans="1:10" ht="12.75"/>
    <row r="173" spans="1:10" ht="12.75"/>
    <row r="174" spans="1:10" ht="12.75"/>
    <row r="175" spans="1:10" ht="12.75"/>
    <row r="176" spans="1:1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row r="1001" ht="12.75"/>
    <row r="1002" ht="12.75"/>
    <row r="1003" ht="12.75"/>
    <row r="1004" ht="12.75"/>
    <row r="1005" ht="12.75"/>
    <row r="1006" ht="12.75"/>
    <row r="1007" ht="12.75"/>
    <row r="1008" ht="12.75"/>
    <row r="1009" ht="12.75"/>
    <row r="1010" ht="12.75"/>
    <row r="1011" ht="12.75"/>
    <row r="1012" ht="12.75"/>
    <row r="1013" ht="12.75"/>
    <row r="1014" ht="12.75"/>
    <row r="1015" ht="12.75"/>
    <row r="1016" ht="12.75"/>
    <row r="1017" ht="12.75"/>
    <row r="1018" ht="12.75"/>
    <row r="1019" ht="12.75"/>
    <row r="1020" ht="12.75"/>
    <row r="1021" ht="12.75"/>
    <row r="1022" ht="12.75"/>
    <row r="1023" ht="12.75"/>
    <row r="1024" ht="12.75"/>
    <row r="1025" ht="12.75"/>
    <row r="1026" ht="12.75"/>
    <row r="1027" ht="12.75"/>
    <row r="1028" ht="12.75"/>
    <row r="1029" ht="12.75"/>
    <row r="1030" ht="12.75"/>
    <row r="1031" ht="12.75"/>
    <row r="1032" ht="12.75"/>
    <row r="1033" ht="12.75"/>
    <row r="1034" ht="12.75"/>
    <row r="1035" ht="12.75"/>
    <row r="1036" ht="12.75"/>
    <row r="1037" ht="12.75"/>
    <row r="1038" ht="12.75"/>
    <row r="1039" ht="12.75"/>
    <row r="1040" ht="12.75"/>
    <row r="1041" ht="12.75"/>
    <row r="1042" ht="12.75"/>
    <row r="1043" ht="12.75"/>
    <row r="1044" ht="12.75"/>
    <row r="1045" ht="12.75"/>
    <row r="1046" ht="12.75"/>
    <row r="1047" ht="12.75"/>
    <row r="1048" ht="12.75"/>
    <row r="1049" ht="12.75"/>
    <row r="1050" ht="12.75"/>
    <row r="1051" ht="12.75"/>
    <row r="1052" ht="12.75"/>
    <row r="1053" ht="12.75"/>
    <row r="1054" ht="12.75"/>
    <row r="1055" ht="12.75"/>
    <row r="1056" ht="12.75"/>
    <row r="1057" ht="12.75"/>
    <row r="1058" ht="12.75"/>
    <row r="1059" ht="12.75"/>
    <row r="1060" ht="12.75"/>
    <row r="1061" ht="12.75"/>
    <row r="1062" ht="12.75"/>
    <row r="1063" ht="12.75"/>
    <row r="1064" ht="12.75"/>
    <row r="1065" ht="12.75"/>
    <row r="1066" ht="12.75"/>
    <row r="1067" ht="12.75"/>
  </sheetData>
  <hyperlinks>
    <hyperlink ref="K11" r:id="rId1" xr:uid="{5FF4FA02-F94A-456D-8EEE-22112BF3667B}"/>
    <hyperlink ref="K18" r:id="rId2" xr:uid="{60CFC785-80DD-4D80-A0A4-99144B162CC7}"/>
    <hyperlink ref="M10" r:id="rId3" xr:uid="{2A2AAD22-1784-4C63-8EDC-E6919A0E75ED}"/>
    <hyperlink ref="K2" r:id="rId4" xr:uid="{BECE5F24-3C4B-43D4-B894-49D42F8A5B5D}"/>
    <hyperlink ref="M87" r:id="rId5" xr:uid="{94B96C5A-C107-4AC1-B216-09C4B42EE696}"/>
    <hyperlink ref="K12" r:id="rId6" xr:uid="{37EC07EF-F329-47EA-BDC2-383335A5AF5F}"/>
    <hyperlink ref="K3" r:id="rId7" xr:uid="{634B68EA-AD8A-42AB-9062-F8BB4C949DF0}"/>
    <hyperlink ref="K4" r:id="rId8" xr:uid="{109A3905-54C8-4AD8-BF7B-498835E5795E}"/>
    <hyperlink ref="K6" r:id="rId9" xr:uid="{64A0A831-11BC-48EE-9CE4-3262E504B1D0}"/>
    <hyperlink ref="K20" r:id="rId10" xr:uid="{1E398AD6-282E-43AA-9423-C7AC0DF45171}"/>
    <hyperlink ref="K16" r:id="rId11" xr:uid="{B93D8439-ACBE-40FA-8236-5620BE3401EE}"/>
    <hyperlink ref="K8" r:id="rId12" xr:uid="{F26B39B0-2016-4253-B97E-6D0292652326}"/>
  </hyperlinks>
  <pageMargins left="0" right="0" top="0" bottom="0" header="0" footer="0"/>
  <legacy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02"/>
  <sheetViews>
    <sheetView workbookViewId="0">
      <pane ySplit="1" topLeftCell="A34" activePane="bottomLeft" state="frozen"/>
      <selection pane="bottomLeft" activeCell="C15" sqref="C15"/>
    </sheetView>
  </sheetViews>
  <sheetFormatPr defaultColWidth="12.5703125" defaultRowHeight="15.75" customHeight="1"/>
  <cols>
    <col min="1" max="1" width="30.140625" customWidth="1"/>
    <col min="2" max="2" width="17.85546875" customWidth="1"/>
    <col min="3" max="3" width="17.7109375" customWidth="1"/>
    <col min="4" max="4" width="25.140625" customWidth="1"/>
    <col min="5" max="5" width="25.42578125" customWidth="1"/>
    <col min="6" max="6" width="31.42578125" customWidth="1"/>
    <col min="7" max="7" width="19.42578125" customWidth="1"/>
  </cols>
  <sheetData>
    <row r="1" spans="1:11" ht="24.75" customHeight="1">
      <c r="A1" s="133" t="str">
        <f>_xlfn.CONCAT(_xlfn.CONCAT("Goal (", COUNTA(A2:A1000)), ")")</f>
        <v>Goal (6)</v>
      </c>
      <c r="B1" s="133" t="str">
        <f>_xlfn.CONCAT(_xlfn.CONCAT("--deprecated Life Moment (", COUNTA(B2:B1000)), ")")</f>
        <v>--deprecated Life Moment (7)</v>
      </c>
      <c r="C1" s="133" t="str">
        <f>_xlfn.CONCAT(_xlfn.CONCAT("Life Stage (", COUNTA(B2:B1000)), ")")</f>
        <v>Life Stage (7)</v>
      </c>
      <c r="D1" s="134" t="str">
        <f>_xlfn.CONCAT(_xlfn.CONCAT("Content topics (",COUNTA(D2:D1000)),")")</f>
        <v>Content topics (67)</v>
      </c>
      <c r="E1" s="134" t="str">
        <f>_xlfn.CONCAT(_xlfn.CONCAT("Content groups (",COUNTA(E2:E1000)),")")</f>
        <v>Content groups (18)</v>
      </c>
      <c r="F1" s="135" t="str">
        <f>_xlfn.CONCAT(_xlfn.CONCAT("Profile (",COUNTA(F2:F1000)),")")</f>
        <v>Profile (37)</v>
      </c>
      <c r="G1" s="136" t="str">
        <f>_xlfn.CONCAT(_xlfn.CONCAT("Level (",COUNTA(G2:G1000)),")")</f>
        <v>Level (3)</v>
      </c>
      <c r="H1" s="137" t="str">
        <f>_xlfn.CONCAT(_xlfn.CONCAT("Class (",COUNTA(H2:H1000)),")")</f>
        <v>Class (3)</v>
      </c>
      <c r="I1" s="138" t="str">
        <f>_xlfn.CONCAT(_xlfn.CONCAT("Collection (",COUNTA(I2:I1000)),")")</f>
        <v>Collection (0)</v>
      </c>
      <c r="J1" s="138" t="s">
        <v>348</v>
      </c>
      <c r="K1" s="139"/>
    </row>
    <row r="2" spans="1:11" ht="15">
      <c r="A2" s="159" t="s">
        <v>99</v>
      </c>
      <c r="B2" s="160" t="s">
        <v>349</v>
      </c>
      <c r="C2" s="159" t="s">
        <v>350</v>
      </c>
      <c r="D2" s="159" t="s">
        <v>351</v>
      </c>
      <c r="E2" s="159" t="s">
        <v>134</v>
      </c>
      <c r="F2" s="161" t="s">
        <v>19</v>
      </c>
      <c r="G2" s="159" t="s">
        <v>352</v>
      </c>
      <c r="H2" s="159" t="s">
        <v>353</v>
      </c>
      <c r="I2" s="162"/>
      <c r="J2" s="140" t="s">
        <v>354</v>
      </c>
      <c r="K2" s="139"/>
    </row>
    <row r="3" spans="1:11" ht="30">
      <c r="A3" s="159" t="s">
        <v>61</v>
      </c>
      <c r="B3" s="160" t="s">
        <v>355</v>
      </c>
      <c r="C3" s="159" t="s">
        <v>356</v>
      </c>
      <c r="D3" s="159" t="s">
        <v>71</v>
      </c>
      <c r="E3" s="159" t="s">
        <v>87</v>
      </c>
      <c r="F3" s="161" t="s">
        <v>25</v>
      </c>
      <c r="G3" s="159" t="s">
        <v>357</v>
      </c>
      <c r="H3" s="159" t="s">
        <v>358</v>
      </c>
      <c r="I3" s="162"/>
      <c r="J3" s="140" t="s">
        <v>359</v>
      </c>
      <c r="K3" s="139"/>
    </row>
    <row r="4" spans="1:11" ht="30">
      <c r="A4" s="159" t="s">
        <v>90</v>
      </c>
      <c r="B4" s="160" t="s">
        <v>30</v>
      </c>
      <c r="C4" s="159" t="s">
        <v>360</v>
      </c>
      <c r="D4" s="159" t="s">
        <v>361</v>
      </c>
      <c r="E4" s="159" t="s">
        <v>63</v>
      </c>
      <c r="F4" s="161" t="s">
        <v>32</v>
      </c>
      <c r="G4" s="159" t="s">
        <v>362</v>
      </c>
      <c r="H4" s="159" t="s">
        <v>363</v>
      </c>
      <c r="I4" s="162"/>
      <c r="J4" s="140" t="s">
        <v>364</v>
      </c>
      <c r="K4" s="139"/>
    </row>
    <row r="5" spans="1:11" ht="15">
      <c r="A5" s="159" t="s">
        <v>29</v>
      </c>
      <c r="B5" s="163"/>
      <c r="C5" s="162"/>
      <c r="D5" s="164" t="s">
        <v>127</v>
      </c>
      <c r="E5" s="162"/>
      <c r="F5" s="161" t="s">
        <v>35</v>
      </c>
      <c r="G5" s="162"/>
      <c r="H5" s="162"/>
      <c r="I5" s="162"/>
      <c r="J5" s="141"/>
      <c r="K5" s="139"/>
    </row>
    <row r="6" spans="1:11" ht="30">
      <c r="A6" s="159" t="s">
        <v>49</v>
      </c>
      <c r="B6" s="160" t="s">
        <v>23</v>
      </c>
      <c r="C6" s="162"/>
      <c r="D6" s="165" t="s">
        <v>365</v>
      </c>
      <c r="E6" s="159" t="s">
        <v>242</v>
      </c>
      <c r="F6" s="161" t="s">
        <v>37</v>
      </c>
      <c r="G6" s="162"/>
      <c r="H6" s="162"/>
      <c r="I6" s="162"/>
      <c r="J6" s="141"/>
      <c r="K6" s="139"/>
    </row>
    <row r="7" spans="1:11" ht="15">
      <c r="A7" s="159" t="s">
        <v>366</v>
      </c>
      <c r="B7" s="160" t="s">
        <v>367</v>
      </c>
      <c r="C7" s="162"/>
      <c r="D7" s="159" t="s">
        <v>241</v>
      </c>
      <c r="E7" s="159" t="s">
        <v>81</v>
      </c>
      <c r="F7" s="161" t="s">
        <v>40</v>
      </c>
      <c r="G7" s="162"/>
      <c r="H7" s="162"/>
      <c r="I7" s="162"/>
      <c r="J7" s="141"/>
      <c r="K7" s="139"/>
    </row>
    <row r="8" spans="1:11" ht="15">
      <c r="A8" s="159"/>
      <c r="B8" s="160" t="s">
        <v>368</v>
      </c>
      <c r="C8" s="162"/>
      <c r="D8" s="159" t="s">
        <v>369</v>
      </c>
      <c r="E8" s="159" t="s">
        <v>370</v>
      </c>
      <c r="F8" s="161" t="s">
        <v>46</v>
      </c>
      <c r="G8" s="162"/>
      <c r="H8" s="162"/>
      <c r="I8" s="162"/>
      <c r="J8" s="141"/>
      <c r="K8" s="139"/>
    </row>
    <row r="9" spans="1:11" ht="15">
      <c r="A9" s="162"/>
      <c r="B9" s="160" t="s">
        <v>371</v>
      </c>
      <c r="C9" s="162"/>
      <c r="D9" s="159" t="s">
        <v>62</v>
      </c>
      <c r="E9" s="159" t="s">
        <v>372</v>
      </c>
      <c r="F9" s="161" t="s">
        <v>51</v>
      </c>
      <c r="G9" s="162"/>
      <c r="H9" s="162"/>
      <c r="I9" s="162"/>
      <c r="J9" s="141"/>
      <c r="K9" s="139"/>
    </row>
    <row r="10" spans="1:11" ht="15">
      <c r="A10" s="162"/>
      <c r="B10" s="162"/>
      <c r="C10" s="162"/>
      <c r="D10" s="159" t="s">
        <v>231</v>
      </c>
      <c r="E10" s="159" t="s">
        <v>373</v>
      </c>
      <c r="F10" s="161" t="s">
        <v>55</v>
      </c>
      <c r="G10" s="162"/>
      <c r="H10" s="162"/>
      <c r="I10" s="162"/>
      <c r="J10" s="141"/>
      <c r="K10" s="139"/>
    </row>
    <row r="11" spans="1:11" ht="15">
      <c r="A11" s="162"/>
      <c r="B11" s="162"/>
      <c r="C11" s="162"/>
      <c r="D11" s="159" t="s">
        <v>34</v>
      </c>
      <c r="E11" s="159" t="s">
        <v>374</v>
      </c>
      <c r="F11" s="161" t="s">
        <v>64</v>
      </c>
      <c r="G11" s="162"/>
      <c r="H11" s="162"/>
      <c r="I11" s="162"/>
      <c r="J11" s="141"/>
      <c r="K11" s="139"/>
    </row>
    <row r="12" spans="1:11" ht="15">
      <c r="A12" s="162"/>
      <c r="B12" s="162"/>
      <c r="C12" s="162"/>
      <c r="D12" s="159" t="s">
        <v>375</v>
      </c>
      <c r="E12" s="159" t="s">
        <v>376</v>
      </c>
      <c r="F12" s="161" t="s">
        <v>67</v>
      </c>
      <c r="G12" s="162"/>
      <c r="H12" s="162"/>
      <c r="I12" s="162"/>
      <c r="J12" s="141"/>
      <c r="K12" s="139"/>
    </row>
    <row r="13" spans="1:11" ht="15">
      <c r="A13" s="162"/>
      <c r="B13" s="162"/>
      <c r="C13" s="162"/>
      <c r="D13" s="159" t="s">
        <v>91</v>
      </c>
      <c r="E13" s="166" t="s">
        <v>45</v>
      </c>
      <c r="F13" s="161" t="s">
        <v>72</v>
      </c>
      <c r="G13" s="162"/>
      <c r="H13" s="162"/>
      <c r="I13" s="162"/>
      <c r="J13" s="141"/>
      <c r="K13" s="139"/>
    </row>
    <row r="14" spans="1:11" ht="15">
      <c r="A14" s="162"/>
      <c r="B14" s="162"/>
      <c r="C14" s="162"/>
      <c r="D14" s="159" t="s">
        <v>377</v>
      </c>
      <c r="E14" s="164" t="s">
        <v>122</v>
      </c>
      <c r="F14" s="161" t="s">
        <v>378</v>
      </c>
      <c r="G14" s="162"/>
      <c r="H14" s="162"/>
      <c r="I14" s="162"/>
      <c r="J14" s="141"/>
      <c r="K14" s="139"/>
    </row>
    <row r="15" spans="1:11" ht="15">
      <c r="A15" s="162"/>
      <c r="B15" s="162"/>
      <c r="C15" s="162"/>
      <c r="D15" s="159" t="s">
        <v>379</v>
      </c>
      <c r="E15" s="167" t="s">
        <v>380</v>
      </c>
      <c r="F15" s="161" t="s">
        <v>78</v>
      </c>
      <c r="G15" s="162"/>
      <c r="H15" s="162"/>
      <c r="I15" s="162"/>
      <c r="J15" s="141"/>
      <c r="K15" s="139"/>
    </row>
    <row r="16" spans="1:11" ht="15">
      <c r="A16" s="162"/>
      <c r="B16" s="162"/>
      <c r="C16" s="162"/>
      <c r="D16" s="159" t="s">
        <v>381</v>
      </c>
      <c r="E16" s="166" t="s">
        <v>107</v>
      </c>
      <c r="F16" s="168" t="s">
        <v>82</v>
      </c>
      <c r="G16" s="162"/>
      <c r="H16" s="162"/>
      <c r="I16" s="162"/>
      <c r="J16" s="141"/>
      <c r="K16" s="139"/>
    </row>
    <row r="17" spans="1:11" ht="15">
      <c r="A17" s="162"/>
      <c r="B17" s="162"/>
      <c r="C17" s="162"/>
      <c r="D17" s="159" t="s">
        <v>74</v>
      </c>
      <c r="E17" s="169" t="s">
        <v>18</v>
      </c>
      <c r="F17" s="168" t="s">
        <v>88</v>
      </c>
      <c r="G17" s="162"/>
      <c r="H17" s="162"/>
      <c r="I17" s="162"/>
      <c r="J17" s="141"/>
      <c r="K17" s="139"/>
    </row>
    <row r="18" spans="1:11" ht="15">
      <c r="A18" s="162"/>
      <c r="B18" s="162"/>
      <c r="C18" s="162"/>
      <c r="D18" s="159" t="s">
        <v>382</v>
      </c>
      <c r="E18" t="s">
        <v>383</v>
      </c>
      <c r="F18" s="161" t="s">
        <v>92</v>
      </c>
      <c r="G18" s="162"/>
      <c r="H18" s="162"/>
      <c r="I18" s="162"/>
      <c r="J18" s="141"/>
      <c r="K18" s="139"/>
    </row>
    <row r="19" spans="1:11" ht="15">
      <c r="A19" s="162"/>
      <c r="B19" s="162"/>
      <c r="C19" s="162"/>
      <c r="D19" s="159" t="s">
        <v>384</v>
      </c>
      <c r="E19" s="162"/>
      <c r="F19" s="161" t="s">
        <v>97</v>
      </c>
      <c r="G19" s="162"/>
      <c r="H19" s="162"/>
      <c r="I19" s="162"/>
      <c r="J19" s="141"/>
      <c r="K19" s="139"/>
    </row>
    <row r="20" spans="1:11" ht="15">
      <c r="A20" s="162"/>
      <c r="B20" s="162"/>
      <c r="C20" s="162"/>
      <c r="D20" s="159" t="s">
        <v>385</v>
      </c>
      <c r="E20" s="162"/>
      <c r="F20" s="161" t="s">
        <v>108</v>
      </c>
      <c r="G20" s="162"/>
      <c r="H20" s="162"/>
      <c r="I20" s="162"/>
      <c r="J20" s="141"/>
      <c r="K20" s="139"/>
    </row>
    <row r="21" spans="1:11" ht="15">
      <c r="A21" s="162"/>
      <c r="B21" s="162"/>
      <c r="C21" s="162"/>
      <c r="D21" s="166" t="s">
        <v>54</v>
      </c>
      <c r="E21" s="162"/>
      <c r="F21" s="161" t="s">
        <v>110</v>
      </c>
      <c r="G21" s="162"/>
      <c r="H21" s="162"/>
      <c r="I21" s="162"/>
      <c r="J21" s="141"/>
      <c r="K21" s="139"/>
    </row>
    <row r="22" spans="1:11" ht="15">
      <c r="A22" s="162"/>
      <c r="B22" s="162"/>
      <c r="C22" s="162"/>
      <c r="D22" s="159" t="s">
        <v>386</v>
      </c>
      <c r="E22" s="162"/>
      <c r="F22" s="161" t="s">
        <v>112</v>
      </c>
      <c r="G22" s="162"/>
      <c r="H22" s="162"/>
      <c r="I22" s="162"/>
      <c r="J22" s="141"/>
      <c r="K22" s="139"/>
    </row>
    <row r="23" spans="1:11" ht="15">
      <c r="A23" s="162"/>
      <c r="B23" s="162"/>
      <c r="C23" s="162"/>
      <c r="D23" s="164" t="s">
        <v>133</v>
      </c>
      <c r="E23" s="162"/>
      <c r="F23" s="161" t="s">
        <v>114</v>
      </c>
      <c r="G23" s="162"/>
      <c r="H23" s="162"/>
      <c r="I23" s="162"/>
      <c r="J23" s="141"/>
      <c r="K23" s="139"/>
    </row>
    <row r="24" spans="1:11" ht="15">
      <c r="A24" s="162"/>
      <c r="B24" s="162"/>
      <c r="C24" s="162"/>
      <c r="D24" s="159" t="s">
        <v>77</v>
      </c>
      <c r="E24" s="162"/>
      <c r="F24" s="161" t="s">
        <v>116</v>
      </c>
      <c r="G24" s="162"/>
      <c r="H24" s="162"/>
      <c r="I24" s="162"/>
      <c r="J24" s="141"/>
      <c r="K24" s="139"/>
    </row>
    <row r="25" spans="1:11" ht="15">
      <c r="A25" s="162"/>
      <c r="B25" s="162"/>
      <c r="C25" s="162"/>
      <c r="D25" s="159" t="s">
        <v>387</v>
      </c>
      <c r="E25" s="162"/>
      <c r="F25" s="161" t="s">
        <v>120</v>
      </c>
      <c r="G25" s="162"/>
      <c r="H25" s="162"/>
      <c r="I25" s="162"/>
      <c r="J25" s="141"/>
      <c r="K25" s="139"/>
    </row>
    <row r="26" spans="1:11" ht="15">
      <c r="A26" s="162"/>
      <c r="B26" s="162"/>
      <c r="C26" s="162"/>
      <c r="D26" s="159" t="s">
        <v>388</v>
      </c>
      <c r="E26" s="162"/>
      <c r="F26" s="161" t="s">
        <v>123</v>
      </c>
      <c r="G26" s="162"/>
      <c r="H26" s="162"/>
      <c r="I26" s="162"/>
      <c r="J26" s="141"/>
      <c r="K26" s="139"/>
    </row>
    <row r="27" spans="1:11" ht="15">
      <c r="A27" s="162"/>
      <c r="B27" s="162"/>
      <c r="C27" s="162"/>
      <c r="D27" s="159" t="s">
        <v>389</v>
      </c>
      <c r="E27" s="162"/>
      <c r="F27" s="161" t="s">
        <v>125</v>
      </c>
      <c r="G27" s="162"/>
      <c r="H27" s="162"/>
      <c r="I27" s="162"/>
      <c r="J27" s="141"/>
      <c r="K27" s="139"/>
    </row>
    <row r="28" spans="1:11" ht="15">
      <c r="A28" s="162"/>
      <c r="B28" s="162"/>
      <c r="C28" s="162"/>
      <c r="D28" s="159" t="s">
        <v>390</v>
      </c>
      <c r="E28" s="162"/>
      <c r="F28" s="161" t="s">
        <v>128</v>
      </c>
      <c r="G28" s="162"/>
      <c r="H28" s="162"/>
      <c r="I28" s="162"/>
      <c r="J28" s="141"/>
      <c r="K28" s="139"/>
    </row>
    <row r="29" spans="1:11" ht="15">
      <c r="A29" s="162"/>
      <c r="B29" s="162"/>
      <c r="C29" s="162"/>
      <c r="D29" s="159" t="s">
        <v>391</v>
      </c>
      <c r="E29" s="162"/>
      <c r="F29" s="161" t="s">
        <v>135</v>
      </c>
      <c r="G29" s="162"/>
      <c r="H29" s="162"/>
      <c r="I29" s="162"/>
      <c r="J29" s="141"/>
      <c r="K29" s="139"/>
    </row>
    <row r="30" spans="1:11" ht="15">
      <c r="A30" s="162"/>
      <c r="B30" s="162"/>
      <c r="C30" s="162"/>
      <c r="D30" s="159" t="s">
        <v>86</v>
      </c>
      <c r="E30" s="162"/>
      <c r="F30" s="161" t="s">
        <v>137</v>
      </c>
      <c r="G30" s="162"/>
      <c r="H30" s="162"/>
      <c r="I30" s="162"/>
      <c r="J30" s="141"/>
      <c r="K30" s="139"/>
    </row>
    <row r="31" spans="1:11" ht="15">
      <c r="A31" s="162"/>
      <c r="B31" s="162"/>
      <c r="C31" s="162"/>
      <c r="D31" s="159" t="s">
        <v>392</v>
      </c>
      <c r="E31" s="162"/>
      <c r="F31" s="161" t="s">
        <v>139</v>
      </c>
      <c r="G31" s="162"/>
      <c r="H31" s="162"/>
      <c r="I31" s="162"/>
      <c r="J31" s="141"/>
      <c r="K31" s="139"/>
    </row>
    <row r="32" spans="1:11" ht="15">
      <c r="A32" s="162"/>
      <c r="B32" s="162"/>
      <c r="C32" s="162"/>
      <c r="D32" s="166" t="s">
        <v>31</v>
      </c>
      <c r="E32" s="162"/>
      <c r="F32" s="161" t="s">
        <v>141</v>
      </c>
      <c r="G32" s="162"/>
      <c r="H32" s="162"/>
      <c r="I32" s="162"/>
      <c r="J32" s="141"/>
      <c r="K32" s="139"/>
    </row>
    <row r="33" spans="1:11" ht="15">
      <c r="A33" s="162"/>
      <c r="B33" s="162"/>
      <c r="C33" s="162"/>
      <c r="D33" s="159" t="s">
        <v>393</v>
      </c>
      <c r="E33" s="162"/>
      <c r="F33" s="161" t="s">
        <v>143</v>
      </c>
      <c r="G33" s="162"/>
      <c r="H33" s="162"/>
      <c r="I33" s="162"/>
      <c r="J33" s="141"/>
      <c r="K33" s="139"/>
    </row>
    <row r="34" spans="1:11" ht="15">
      <c r="A34" s="162"/>
      <c r="B34" s="162"/>
      <c r="C34" s="162"/>
      <c r="D34" s="159" t="s">
        <v>66</v>
      </c>
      <c r="E34" s="162"/>
      <c r="F34" s="161" t="s">
        <v>145</v>
      </c>
      <c r="G34" s="162"/>
      <c r="H34" s="162"/>
      <c r="I34" s="162"/>
      <c r="J34" s="141"/>
      <c r="K34" s="139"/>
    </row>
    <row r="35" spans="1:11" ht="15">
      <c r="A35" s="162"/>
      <c r="B35" s="162"/>
      <c r="C35" s="162"/>
      <c r="D35" s="159" t="s">
        <v>394</v>
      </c>
      <c r="E35" s="162"/>
      <c r="F35" s="170" t="s">
        <v>150</v>
      </c>
      <c r="G35" s="162"/>
      <c r="H35" s="162"/>
      <c r="I35" s="162"/>
      <c r="J35" s="141"/>
      <c r="K35" s="139"/>
    </row>
    <row r="36" spans="1:11" ht="15">
      <c r="A36" s="162"/>
      <c r="B36" s="162"/>
      <c r="C36" s="162"/>
      <c r="D36" s="159" t="s">
        <v>395</v>
      </c>
      <c r="E36" s="162"/>
      <c r="F36" s="170" t="s">
        <v>152</v>
      </c>
      <c r="G36" s="162"/>
      <c r="H36" s="162"/>
      <c r="I36" s="162"/>
      <c r="J36" s="141"/>
      <c r="K36" s="139"/>
    </row>
    <row r="37" spans="1:11" ht="15">
      <c r="A37" s="162"/>
      <c r="B37" s="162"/>
      <c r="C37" s="162"/>
      <c r="D37" s="166" t="s">
        <v>44</v>
      </c>
      <c r="E37" s="162"/>
      <c r="F37" s="170" t="s">
        <v>154</v>
      </c>
      <c r="G37" s="162"/>
      <c r="H37" s="162"/>
      <c r="I37" s="162"/>
      <c r="J37" s="141"/>
      <c r="K37" s="139"/>
    </row>
    <row r="38" spans="1:11" ht="15">
      <c r="A38" s="162"/>
      <c r="B38" s="162"/>
      <c r="C38" s="162"/>
      <c r="D38" s="159" t="s">
        <v>24</v>
      </c>
      <c r="E38" s="162"/>
      <c r="F38" s="170" t="s">
        <v>156</v>
      </c>
      <c r="G38" s="162"/>
      <c r="H38" s="162"/>
      <c r="I38" s="162"/>
      <c r="J38" s="141"/>
      <c r="K38" s="139"/>
    </row>
    <row r="39" spans="1:11" ht="15">
      <c r="A39" s="162"/>
      <c r="B39" s="162"/>
      <c r="C39" s="162"/>
      <c r="D39" s="166" t="s">
        <v>39</v>
      </c>
      <c r="E39" s="162"/>
      <c r="F39" s="171"/>
      <c r="G39" s="162"/>
      <c r="H39" s="162"/>
      <c r="I39" s="162"/>
      <c r="J39" s="141"/>
      <c r="K39" s="139"/>
    </row>
    <row r="40" spans="1:11" ht="15">
      <c r="A40" s="162"/>
      <c r="B40" s="162"/>
      <c r="C40" s="162"/>
      <c r="D40" s="159" t="s">
        <v>396</v>
      </c>
      <c r="E40" s="162"/>
      <c r="F40" s="171"/>
      <c r="G40" s="162"/>
      <c r="H40" s="162"/>
      <c r="I40" s="162"/>
      <c r="J40" s="141"/>
      <c r="K40" s="139"/>
    </row>
    <row r="41" spans="1:11" ht="15">
      <c r="A41" s="162"/>
      <c r="B41" s="162"/>
      <c r="C41" s="162"/>
      <c r="D41" s="166" t="s">
        <v>50</v>
      </c>
      <c r="E41" s="162"/>
      <c r="F41" s="162"/>
      <c r="G41" s="162"/>
      <c r="H41" s="162"/>
      <c r="I41" s="162"/>
      <c r="J41" s="141"/>
      <c r="K41" s="139"/>
    </row>
    <row r="42" spans="1:11" ht="15">
      <c r="A42" s="162"/>
      <c r="B42" s="162"/>
      <c r="C42" s="162"/>
      <c r="D42" s="159" t="s">
        <v>397</v>
      </c>
      <c r="E42" s="162"/>
      <c r="F42" s="162"/>
      <c r="G42" s="162"/>
      <c r="H42" s="162"/>
      <c r="I42" s="162"/>
      <c r="J42" s="141"/>
      <c r="K42" s="139"/>
    </row>
    <row r="43" spans="1:11" ht="15">
      <c r="A43" s="162"/>
      <c r="B43" s="162"/>
      <c r="C43" s="162"/>
      <c r="D43" s="159" t="s">
        <v>100</v>
      </c>
      <c r="E43" s="162"/>
      <c r="F43" s="162"/>
      <c r="G43" s="162"/>
      <c r="H43" s="162"/>
      <c r="I43" s="162"/>
      <c r="J43" s="141"/>
      <c r="K43" s="139"/>
    </row>
    <row r="44" spans="1:11" ht="15">
      <c r="A44" s="162"/>
      <c r="B44" s="162"/>
      <c r="C44" s="162"/>
      <c r="D44" s="159" t="s">
        <v>398</v>
      </c>
      <c r="E44" s="162"/>
      <c r="F44" s="162"/>
      <c r="G44" s="162"/>
      <c r="H44" s="162"/>
      <c r="I44" s="162"/>
      <c r="J44" s="141"/>
      <c r="K44" s="139"/>
    </row>
    <row r="45" spans="1:11" ht="15">
      <c r="A45" s="162"/>
      <c r="B45" s="162"/>
      <c r="C45" s="162"/>
      <c r="D45" s="159" t="s">
        <v>399</v>
      </c>
      <c r="E45" s="162"/>
      <c r="F45" s="162"/>
      <c r="G45" s="162"/>
      <c r="H45" s="162"/>
      <c r="I45" s="162"/>
      <c r="J45" s="141"/>
      <c r="K45" s="139"/>
    </row>
    <row r="46" spans="1:11" ht="15">
      <c r="A46" s="162"/>
      <c r="B46" s="162"/>
      <c r="C46" s="162"/>
      <c r="D46" s="159" t="s">
        <v>400</v>
      </c>
      <c r="E46" s="162"/>
      <c r="F46" s="162"/>
      <c r="G46" s="162"/>
      <c r="H46" s="162"/>
      <c r="I46" s="162"/>
      <c r="J46" s="141"/>
      <c r="K46" s="139"/>
    </row>
    <row r="47" spans="1:11" ht="15">
      <c r="A47" s="162"/>
      <c r="B47" s="162"/>
      <c r="C47" s="162"/>
      <c r="D47" s="159" t="s">
        <v>401</v>
      </c>
      <c r="E47" s="162"/>
      <c r="F47" s="162"/>
      <c r="G47" s="162"/>
      <c r="H47" s="162"/>
      <c r="I47" s="162"/>
      <c r="J47" s="141"/>
      <c r="K47" s="139"/>
    </row>
    <row r="48" spans="1:11" ht="15">
      <c r="A48" s="162"/>
      <c r="B48" s="162"/>
      <c r="C48" s="162"/>
      <c r="D48" s="159" t="s">
        <v>402</v>
      </c>
      <c r="E48" s="162"/>
      <c r="F48" s="162"/>
      <c r="G48" s="162"/>
      <c r="H48" s="162"/>
      <c r="I48" s="162"/>
      <c r="J48" s="141"/>
      <c r="K48" s="139"/>
    </row>
    <row r="49" spans="1:11" ht="15.75" customHeight="1">
      <c r="A49" s="162"/>
      <c r="B49" s="162"/>
      <c r="C49" s="162"/>
      <c r="D49" s="159" t="s">
        <v>403</v>
      </c>
      <c r="E49" s="162"/>
      <c r="F49" s="162"/>
      <c r="G49" s="162"/>
      <c r="H49" s="162"/>
      <c r="I49" s="162"/>
      <c r="J49" s="141"/>
      <c r="K49" s="139"/>
    </row>
    <row r="50" spans="1:11" ht="15.75" customHeight="1">
      <c r="A50" s="162"/>
      <c r="B50" s="162"/>
      <c r="C50" s="162"/>
      <c r="D50" s="159" t="s">
        <v>404</v>
      </c>
      <c r="E50" s="162"/>
      <c r="F50" s="162"/>
      <c r="G50" s="162"/>
      <c r="H50" s="162"/>
      <c r="I50" s="162"/>
      <c r="J50" s="141"/>
      <c r="K50" s="139"/>
    </row>
    <row r="51" spans="1:11" ht="15.75" customHeight="1">
      <c r="A51" s="162"/>
      <c r="B51" s="162"/>
      <c r="C51" s="162"/>
      <c r="D51" s="159" t="s">
        <v>405</v>
      </c>
      <c r="E51" s="162"/>
      <c r="F51" s="162"/>
      <c r="G51" s="162"/>
      <c r="H51" s="162"/>
      <c r="I51" s="162"/>
      <c r="J51" s="141"/>
      <c r="K51" s="139"/>
    </row>
    <row r="52" spans="1:11" ht="15.75" customHeight="1">
      <c r="A52" s="162"/>
      <c r="B52" s="162"/>
      <c r="C52" s="162"/>
      <c r="D52" s="159" t="s">
        <v>406</v>
      </c>
      <c r="E52" s="162"/>
      <c r="F52" s="162"/>
      <c r="G52" s="162"/>
      <c r="H52" s="162"/>
      <c r="I52" s="162"/>
      <c r="J52" s="141"/>
      <c r="K52" s="139"/>
    </row>
    <row r="53" spans="1:11" ht="15.75" customHeight="1">
      <c r="A53" s="162"/>
      <c r="B53" s="162"/>
      <c r="C53" s="162"/>
      <c r="D53" s="159" t="s">
        <v>96</v>
      </c>
      <c r="E53" s="162"/>
      <c r="F53" s="162"/>
      <c r="G53" s="162"/>
      <c r="H53" s="162"/>
      <c r="I53" s="162"/>
      <c r="J53" s="141"/>
      <c r="K53" s="139"/>
    </row>
    <row r="54" spans="1:11" ht="15.75" customHeight="1">
      <c r="A54" s="162"/>
      <c r="B54" s="162"/>
      <c r="C54" s="162"/>
      <c r="D54" s="159" t="s">
        <v>407</v>
      </c>
      <c r="E54" s="162"/>
      <c r="F54" s="162"/>
      <c r="G54" s="162"/>
      <c r="H54" s="162"/>
      <c r="I54" s="162"/>
      <c r="J54" s="141"/>
      <c r="K54" s="139"/>
    </row>
    <row r="55" spans="1:11" ht="15.75" customHeight="1">
      <c r="A55" s="162"/>
      <c r="B55" s="162"/>
      <c r="C55" s="162"/>
      <c r="D55" s="159" t="s">
        <v>408</v>
      </c>
      <c r="E55" s="162"/>
      <c r="F55" s="162"/>
      <c r="G55" s="162"/>
      <c r="H55" s="162"/>
      <c r="I55" s="162"/>
      <c r="J55" s="141"/>
      <c r="K55" s="139"/>
    </row>
    <row r="56" spans="1:11" ht="15.75" customHeight="1">
      <c r="A56" s="162"/>
      <c r="B56" s="162"/>
      <c r="C56" s="162"/>
      <c r="D56" s="166" t="s">
        <v>409</v>
      </c>
      <c r="E56" s="162"/>
      <c r="F56" s="162"/>
      <c r="G56" s="162"/>
      <c r="H56" s="162"/>
      <c r="I56" s="162"/>
      <c r="J56" s="141"/>
      <c r="K56" s="139"/>
    </row>
    <row r="57" spans="1:11" ht="15.75" customHeight="1">
      <c r="A57" s="162"/>
      <c r="B57" s="162"/>
      <c r="C57" s="162"/>
      <c r="D57" s="166" t="s">
        <v>80</v>
      </c>
      <c r="E57" s="162"/>
      <c r="F57" s="162"/>
      <c r="G57" s="162"/>
      <c r="H57" s="162"/>
      <c r="I57" s="162"/>
      <c r="J57" s="141"/>
      <c r="K57" s="139"/>
    </row>
    <row r="58" spans="1:11" ht="15.75" customHeight="1">
      <c r="A58" s="162"/>
      <c r="B58" s="162"/>
      <c r="C58" s="162"/>
      <c r="D58" s="172" t="s">
        <v>410</v>
      </c>
      <c r="E58" s="162"/>
      <c r="F58" s="162"/>
      <c r="G58" s="162"/>
      <c r="H58" s="162"/>
      <c r="I58" s="162"/>
      <c r="J58" s="141"/>
      <c r="K58" s="139"/>
    </row>
    <row r="59" spans="1:11" ht="15.75" customHeight="1">
      <c r="A59" s="162"/>
      <c r="B59" s="162"/>
      <c r="C59" s="162"/>
      <c r="D59" s="166" t="s">
        <v>411</v>
      </c>
      <c r="E59" s="162"/>
      <c r="F59" s="162"/>
      <c r="G59" s="162"/>
      <c r="H59" s="162"/>
      <c r="I59" s="162"/>
      <c r="J59" s="141"/>
      <c r="K59" s="139"/>
    </row>
    <row r="60" spans="1:11" ht="15.75" customHeight="1">
      <c r="A60" s="162"/>
      <c r="B60" s="162"/>
      <c r="C60" s="162"/>
      <c r="D60" s="173" t="s">
        <v>412</v>
      </c>
      <c r="E60" s="162"/>
      <c r="F60" s="162"/>
      <c r="G60" s="162"/>
      <c r="H60" s="162"/>
      <c r="I60" s="162"/>
      <c r="J60" s="141"/>
      <c r="K60" s="139"/>
    </row>
    <row r="61" spans="1:11" ht="15.75" customHeight="1">
      <c r="A61" s="162"/>
      <c r="B61" s="162"/>
      <c r="C61" s="162"/>
      <c r="D61" s="166" t="s">
        <v>413</v>
      </c>
      <c r="E61" s="162"/>
      <c r="F61" s="162"/>
      <c r="G61" s="162"/>
      <c r="H61" s="162"/>
      <c r="I61" s="162"/>
      <c r="J61" s="141"/>
      <c r="K61" s="139"/>
    </row>
    <row r="62" spans="1:11" ht="15.75" customHeight="1">
      <c r="A62" s="162"/>
      <c r="B62" s="162"/>
      <c r="C62" s="162"/>
      <c r="D62" s="276" t="s">
        <v>414</v>
      </c>
      <c r="F62" s="162"/>
      <c r="G62" s="162"/>
      <c r="H62" s="162"/>
      <c r="I62" s="162"/>
      <c r="J62" s="139"/>
      <c r="K62" s="139"/>
    </row>
    <row r="63" spans="1:11" ht="15.75" customHeight="1">
      <c r="A63" s="162"/>
      <c r="B63" s="162"/>
      <c r="C63" s="162"/>
      <c r="F63" s="162"/>
      <c r="G63" s="162"/>
      <c r="H63" s="162"/>
      <c r="I63" s="162"/>
      <c r="J63" s="139"/>
      <c r="K63" s="139"/>
    </row>
    <row r="64" spans="1:11" ht="15.75" customHeight="1">
      <c r="A64" s="162"/>
      <c r="B64" s="162"/>
      <c r="C64" s="162"/>
      <c r="D64" s="162"/>
      <c r="E64" s="162"/>
      <c r="F64" s="174"/>
      <c r="G64" s="162"/>
      <c r="H64" s="162"/>
      <c r="I64" s="162"/>
      <c r="J64" s="139"/>
      <c r="K64" s="139"/>
    </row>
    <row r="65" spans="1:11" ht="15.75" customHeight="1">
      <c r="A65" s="162"/>
      <c r="B65" s="162"/>
      <c r="C65" s="162"/>
      <c r="D65" s="162"/>
      <c r="E65" s="162"/>
      <c r="F65" s="174"/>
      <c r="G65" s="162"/>
      <c r="H65" s="162"/>
      <c r="I65" s="162"/>
      <c r="J65" s="139"/>
      <c r="K65" s="139"/>
    </row>
    <row r="66" spans="1:11" ht="15.75" customHeight="1">
      <c r="A66" s="139"/>
      <c r="B66" s="139"/>
      <c r="C66" s="139"/>
      <c r="D66" s="139"/>
      <c r="E66" s="139"/>
      <c r="F66" s="140"/>
      <c r="G66" s="139"/>
      <c r="H66" s="139"/>
      <c r="I66" s="139"/>
      <c r="J66" s="139"/>
      <c r="K66" s="139"/>
    </row>
    <row r="67" spans="1:11" ht="15.75" customHeight="1">
      <c r="F67" s="141"/>
    </row>
    <row r="68" spans="1:11" ht="15.75" customHeight="1">
      <c r="F68" s="143"/>
    </row>
    <row r="69" spans="1:11" ht="15.75" customHeight="1">
      <c r="F69" s="143"/>
    </row>
    <row r="70" spans="1:11" ht="15.75" customHeight="1">
      <c r="F70" s="141"/>
    </row>
    <row r="71" spans="1:11" ht="15.75" customHeight="1">
      <c r="F71" s="142"/>
    </row>
    <row r="72" spans="1:11" ht="15.75" customHeight="1">
      <c r="F72" s="142"/>
    </row>
    <row r="73" spans="1:11" ht="15.75" customHeight="1">
      <c r="F73" s="144"/>
    </row>
    <row r="74" spans="1:11" ht="15.75" customHeight="1">
      <c r="F74" s="144"/>
    </row>
    <row r="75" spans="1:11" ht="15.75" customHeight="1">
      <c r="F75" s="144"/>
    </row>
    <row r="76" spans="1:11" ht="15.75" customHeight="1">
      <c r="F76" s="140"/>
    </row>
    <row r="77" spans="1:11" ht="15.75" customHeight="1">
      <c r="F77" s="140"/>
    </row>
    <row r="78" spans="1:11" ht="15.75" customHeight="1">
      <c r="D78" s="275" t="s">
        <v>415</v>
      </c>
      <c r="E78" s="275" t="s">
        <v>416</v>
      </c>
      <c r="F78" s="140"/>
    </row>
    <row r="79" spans="1:11" ht="15.75" customHeight="1">
      <c r="D79" s="275" t="s">
        <v>417</v>
      </c>
      <c r="E79" s="275" t="s">
        <v>418</v>
      </c>
      <c r="F79" s="140"/>
    </row>
    <row r="80" spans="1:11" ht="15.75" customHeight="1">
      <c r="D80" s="275" t="s">
        <v>411</v>
      </c>
      <c r="E80" s="275"/>
      <c r="F80" s="141"/>
    </row>
    <row r="81" spans="4:6" ht="15.75" customHeight="1">
      <c r="D81" s="275" t="s">
        <v>419</v>
      </c>
      <c r="E81" s="275"/>
      <c r="F81" s="140"/>
    </row>
    <row r="82" spans="4:6" ht="15.75" customHeight="1">
      <c r="D82" s="275" t="s">
        <v>420</v>
      </c>
      <c r="E82" s="275"/>
      <c r="F82" s="140"/>
    </row>
    <row r="83" spans="4:6" ht="15.75" customHeight="1">
      <c r="D83" s="275" t="s">
        <v>421</v>
      </c>
      <c r="E83" s="275"/>
      <c r="F83" s="140"/>
    </row>
    <row r="84" spans="4:6" ht="15.75" customHeight="1">
      <c r="F84" s="140"/>
    </row>
    <row r="85" spans="4:6" ht="15.75" customHeight="1">
      <c r="F85" s="141"/>
    </row>
    <row r="86" spans="4:6" ht="15.75" customHeight="1">
      <c r="F86" s="141"/>
    </row>
    <row r="87" spans="4:6" ht="15.75" customHeight="1">
      <c r="F87" s="140"/>
    </row>
    <row r="88" spans="4:6" ht="15.75" customHeight="1">
      <c r="F88" s="140"/>
    </row>
    <row r="89" spans="4:6" ht="15.75" customHeight="1">
      <c r="F89" s="140"/>
    </row>
    <row r="90" spans="4:6" ht="15.75" customHeight="1">
      <c r="F90" s="140"/>
    </row>
    <row r="91" spans="4:6" ht="15.75" customHeight="1">
      <c r="F91" s="140"/>
    </row>
    <row r="92" spans="4:6" ht="15.75" customHeight="1">
      <c r="F92" s="141"/>
    </row>
    <row r="93" spans="4:6" ht="15.75" customHeight="1">
      <c r="F93" s="140"/>
    </row>
    <row r="94" spans="4:6" ht="15.75" customHeight="1">
      <c r="F94" s="140"/>
    </row>
    <row r="95" spans="4:6" ht="15.75" customHeight="1">
      <c r="F95" s="140"/>
    </row>
    <row r="96" spans="4:6" ht="15.75" customHeight="1">
      <c r="F96" s="140"/>
    </row>
    <row r="97" spans="6:6" ht="15.75" customHeight="1">
      <c r="F97" s="140"/>
    </row>
    <row r="98" spans="6:6" ht="15.75" customHeight="1">
      <c r="F98" s="140"/>
    </row>
    <row r="99" spans="6:6" ht="15.75" customHeight="1">
      <c r="F99" s="140"/>
    </row>
    <row r="100" spans="6:6" ht="15.75" customHeight="1">
      <c r="F100" s="143"/>
    </row>
    <row r="101" spans="6:6" ht="15.75" customHeight="1">
      <c r="F101" s="143"/>
    </row>
    <row r="102" spans="6:6" ht="15.75" customHeight="1">
      <c r="F102" s="143"/>
    </row>
  </sheetData>
  <autoFilter ref="A1:K1" xr:uid="{00000000-0001-0000-0100-000000000000}"/>
  <sortState xmlns:xlrd2="http://schemas.microsoft.com/office/spreadsheetml/2017/richdata2" ref="A2:J54">
    <sortCondition ref="D2:D54"/>
  </sortState>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043"/>
  <sheetViews>
    <sheetView workbookViewId="0">
      <pane ySplit="1" topLeftCell="C301" activePane="bottomLeft" state="frozen"/>
      <selection pane="bottomLeft" activeCell="C338" sqref="C338"/>
    </sheetView>
  </sheetViews>
  <sheetFormatPr defaultColWidth="12.5703125" defaultRowHeight="15.75" customHeight="1"/>
  <cols>
    <col min="1" max="1" width="7.42578125" style="157" customWidth="1"/>
    <col min="2" max="2" width="17.140625" style="145" customWidth="1"/>
    <col min="3" max="3" width="24.42578125" style="152" customWidth="1"/>
    <col min="4" max="4" width="16.28515625" style="152" customWidth="1"/>
    <col min="5" max="5" width="13.85546875" style="152" hidden="1" customWidth="1"/>
    <col min="6" max="6" width="0" style="145" hidden="1" customWidth="1"/>
    <col min="7" max="7" width="45.28515625" style="145" customWidth="1"/>
    <col min="8" max="8" width="17.85546875" style="145" customWidth="1"/>
    <col min="9" max="9" width="28.5703125" style="158" bestFit="1" customWidth="1"/>
    <col min="10" max="10" width="18.7109375" style="153" customWidth="1"/>
    <col min="11" max="11" width="20.5703125" style="153" customWidth="1"/>
    <col min="12" max="12" width="9.7109375" style="145" customWidth="1"/>
    <col min="13" max="13" width="14.42578125" style="145" customWidth="1"/>
    <col min="14" max="14" width="13.140625" style="145" customWidth="1"/>
    <col min="15" max="15" width="64.28515625" style="145" customWidth="1"/>
    <col min="16" max="16" width="57" style="145" customWidth="1"/>
    <col min="17" max="16384" width="12.5703125" style="145"/>
  </cols>
  <sheetData>
    <row r="1" spans="1:16" ht="23.25">
      <c r="A1" s="204" t="s">
        <v>422</v>
      </c>
      <c r="B1" s="175" t="s">
        <v>423</v>
      </c>
      <c r="C1" s="175" t="s">
        <v>424</v>
      </c>
      <c r="D1" s="175" t="s">
        <v>425</v>
      </c>
      <c r="E1" s="175" t="s">
        <v>426</v>
      </c>
      <c r="F1" s="175" t="s">
        <v>427</v>
      </c>
      <c r="G1" s="175" t="s">
        <v>428</v>
      </c>
      <c r="H1" s="205" t="s">
        <v>429</v>
      </c>
      <c r="I1" s="206" t="s">
        <v>430</v>
      </c>
      <c r="J1" s="208" t="s">
        <v>431</v>
      </c>
      <c r="K1" s="207" t="s">
        <v>432</v>
      </c>
      <c r="L1" s="208" t="s">
        <v>433</v>
      </c>
      <c r="M1" s="208" t="s">
        <v>434</v>
      </c>
      <c r="N1" s="208" t="s">
        <v>435</v>
      </c>
      <c r="O1" s="209" t="s">
        <v>436</v>
      </c>
      <c r="P1" s="202" t="s">
        <v>437</v>
      </c>
    </row>
    <row r="2" spans="1:16" ht="23.25">
      <c r="A2" s="210" t="s">
        <v>438</v>
      </c>
      <c r="B2" s="176" t="s">
        <v>439</v>
      </c>
      <c r="C2" s="176" t="s">
        <v>440</v>
      </c>
      <c r="D2" s="177"/>
      <c r="E2" s="176" t="s">
        <v>355</v>
      </c>
      <c r="F2" s="176" t="s">
        <v>441</v>
      </c>
      <c r="G2" s="176" t="s">
        <v>442</v>
      </c>
      <c r="H2" s="180" t="s">
        <v>63</v>
      </c>
      <c r="I2" s="178" t="s">
        <v>443</v>
      </c>
      <c r="J2" s="211"/>
      <c r="K2" s="211"/>
      <c r="L2" s="212" t="s">
        <v>353</v>
      </c>
      <c r="M2" s="179" t="s">
        <v>358</v>
      </c>
      <c r="N2" s="213" t="s">
        <v>444</v>
      </c>
      <c r="O2" s="214" t="s">
        <v>445</v>
      </c>
      <c r="P2" s="202" t="s">
        <v>446</v>
      </c>
    </row>
    <row r="3" spans="1:16" ht="92.25">
      <c r="A3" s="210" t="s">
        <v>438</v>
      </c>
      <c r="B3" s="176" t="s">
        <v>447</v>
      </c>
      <c r="C3" s="176" t="s">
        <v>448</v>
      </c>
      <c r="D3" s="176" t="s">
        <v>61</v>
      </c>
      <c r="E3" s="176" t="s">
        <v>355</v>
      </c>
      <c r="F3" s="176" t="s">
        <v>441</v>
      </c>
      <c r="G3" s="176" t="s">
        <v>397</v>
      </c>
      <c r="H3" s="180" t="s">
        <v>449</v>
      </c>
      <c r="I3" s="178" t="s">
        <v>64</v>
      </c>
      <c r="J3" s="234" t="s">
        <v>450</v>
      </c>
      <c r="K3" s="211"/>
      <c r="L3" s="212" t="s">
        <v>353</v>
      </c>
      <c r="M3" s="179"/>
      <c r="N3" s="213"/>
      <c r="O3" s="214" t="s">
        <v>451</v>
      </c>
      <c r="P3" s="202" t="s">
        <v>452</v>
      </c>
    </row>
    <row r="4" spans="1:16" ht="92.25">
      <c r="A4" s="210" t="s">
        <v>453</v>
      </c>
      <c r="B4" s="176" t="s">
        <v>454</v>
      </c>
      <c r="C4" s="176" t="s">
        <v>455</v>
      </c>
      <c r="D4" s="176" t="s">
        <v>61</v>
      </c>
      <c r="E4" s="176" t="s">
        <v>355</v>
      </c>
      <c r="F4" s="176" t="s">
        <v>441</v>
      </c>
      <c r="G4" s="176" t="s">
        <v>397</v>
      </c>
      <c r="H4" s="180" t="s">
        <v>63</v>
      </c>
      <c r="I4" s="186" t="s">
        <v>64</v>
      </c>
      <c r="J4" s="234" t="s">
        <v>456</v>
      </c>
      <c r="K4" s="211"/>
      <c r="L4" s="212" t="s">
        <v>353</v>
      </c>
      <c r="M4" s="179"/>
      <c r="N4" s="213"/>
      <c r="O4" s="214" t="s">
        <v>457</v>
      </c>
      <c r="P4" s="202" t="s">
        <v>458</v>
      </c>
    </row>
    <row r="5" spans="1:16" s="148" customFormat="1" ht="92.25">
      <c r="A5" s="215" t="s">
        <v>453</v>
      </c>
      <c r="B5" s="181" t="s">
        <v>459</v>
      </c>
      <c r="C5" s="181" t="s">
        <v>460</v>
      </c>
      <c r="D5" s="181" t="s">
        <v>29</v>
      </c>
      <c r="E5" s="181"/>
      <c r="F5" s="181"/>
      <c r="G5" s="181" t="s">
        <v>461</v>
      </c>
      <c r="H5" s="216"/>
      <c r="I5" s="178" t="s">
        <v>32</v>
      </c>
      <c r="J5" s="247" t="s">
        <v>462</v>
      </c>
      <c r="K5" s="217"/>
      <c r="L5" s="218" t="s">
        <v>463</v>
      </c>
      <c r="M5" s="182"/>
      <c r="N5" s="219"/>
      <c r="O5" s="220"/>
      <c r="P5" s="220"/>
    </row>
    <row r="6" spans="1:16" ht="92.25">
      <c r="A6" s="210" t="s">
        <v>453</v>
      </c>
      <c r="B6" s="176" t="s">
        <v>464</v>
      </c>
      <c r="C6" s="176" t="s">
        <v>465</v>
      </c>
      <c r="D6" s="176" t="s">
        <v>99</v>
      </c>
      <c r="E6" s="176"/>
      <c r="F6" s="176" t="s">
        <v>441</v>
      </c>
      <c r="G6" s="176" t="s">
        <v>466</v>
      </c>
      <c r="H6" s="180" t="s">
        <v>87</v>
      </c>
      <c r="I6" s="187" t="s">
        <v>82</v>
      </c>
      <c r="J6" s="234" t="s">
        <v>467</v>
      </c>
      <c r="K6" s="211"/>
      <c r="L6" s="221" t="s">
        <v>358</v>
      </c>
      <c r="M6" s="179"/>
      <c r="N6" s="213"/>
      <c r="O6" s="214" t="s">
        <v>468</v>
      </c>
      <c r="P6" s="202" t="s">
        <v>469</v>
      </c>
    </row>
    <row r="7" spans="1:16" s="148" customFormat="1" ht="23.25">
      <c r="A7" s="215" t="s">
        <v>453</v>
      </c>
      <c r="B7" s="181" t="s">
        <v>470</v>
      </c>
      <c r="C7" s="181" t="s">
        <v>471</v>
      </c>
      <c r="D7" s="181" t="s">
        <v>29</v>
      </c>
      <c r="E7" s="181"/>
      <c r="F7" s="181"/>
      <c r="G7" s="181" t="s">
        <v>472</v>
      </c>
      <c r="H7" s="216"/>
      <c r="I7" s="178" t="s">
        <v>473</v>
      </c>
      <c r="J7" s="217"/>
      <c r="K7" s="217"/>
      <c r="L7" s="218" t="s">
        <v>463</v>
      </c>
      <c r="M7" s="182"/>
      <c r="N7" s="219"/>
      <c r="O7" s="220"/>
      <c r="P7" s="220"/>
    </row>
    <row r="8" spans="1:16" ht="92.25">
      <c r="A8" s="210" t="s">
        <v>453</v>
      </c>
      <c r="B8" s="176" t="s">
        <v>474</v>
      </c>
      <c r="C8" s="176" t="s">
        <v>475</v>
      </c>
      <c r="D8" s="176" t="s">
        <v>90</v>
      </c>
      <c r="E8" s="176"/>
      <c r="F8" s="176" t="s">
        <v>441</v>
      </c>
      <c r="G8" s="176" t="s">
        <v>476</v>
      </c>
      <c r="H8" s="180" t="s">
        <v>63</v>
      </c>
      <c r="I8" s="178" t="s">
        <v>78</v>
      </c>
      <c r="J8" s="234" t="s">
        <v>477</v>
      </c>
      <c r="K8" s="211"/>
      <c r="L8" s="222" t="s">
        <v>358</v>
      </c>
      <c r="M8" s="179"/>
      <c r="N8" s="213"/>
      <c r="O8" s="202"/>
      <c r="P8" s="202"/>
    </row>
    <row r="9" spans="1:16" ht="92.25">
      <c r="A9" s="210" t="s">
        <v>453</v>
      </c>
      <c r="B9" s="176" t="s">
        <v>478</v>
      </c>
      <c r="C9" s="176" t="s">
        <v>479</v>
      </c>
      <c r="D9" s="176"/>
      <c r="E9" s="176" t="s">
        <v>367</v>
      </c>
      <c r="F9" s="176" t="s">
        <v>441</v>
      </c>
      <c r="G9" s="176" t="s">
        <v>396</v>
      </c>
      <c r="H9" s="180" t="s">
        <v>134</v>
      </c>
      <c r="I9" s="178" t="s">
        <v>92</v>
      </c>
      <c r="J9" s="234" t="s">
        <v>480</v>
      </c>
      <c r="K9" s="211"/>
      <c r="L9" s="212" t="s">
        <v>353</v>
      </c>
      <c r="M9" s="179" t="s">
        <v>481</v>
      </c>
      <c r="N9" s="213"/>
      <c r="O9" s="214" t="s">
        <v>482</v>
      </c>
      <c r="P9" s="202"/>
    </row>
    <row r="10" spans="1:16" ht="92.25">
      <c r="A10" s="210" t="s">
        <v>453</v>
      </c>
      <c r="B10" s="176" t="s">
        <v>483</v>
      </c>
      <c r="C10" s="176" t="s">
        <v>484</v>
      </c>
      <c r="D10" s="176" t="s">
        <v>366</v>
      </c>
      <c r="E10" s="176" t="s">
        <v>367</v>
      </c>
      <c r="F10" s="176" t="s">
        <v>441</v>
      </c>
      <c r="G10" s="176" t="s">
        <v>231</v>
      </c>
      <c r="H10" s="180" t="s">
        <v>134</v>
      </c>
      <c r="I10" s="178" t="s">
        <v>92</v>
      </c>
      <c r="J10" s="234" t="s">
        <v>485</v>
      </c>
      <c r="K10" s="211"/>
      <c r="L10" s="212" t="s">
        <v>353</v>
      </c>
      <c r="M10" s="179" t="s">
        <v>481</v>
      </c>
      <c r="N10" s="213"/>
      <c r="O10" s="214" t="s">
        <v>486</v>
      </c>
      <c r="P10" s="202"/>
    </row>
    <row r="11" spans="1:16" ht="92.25">
      <c r="A11" s="210" t="s">
        <v>453</v>
      </c>
      <c r="B11" s="176" t="s">
        <v>487</v>
      </c>
      <c r="C11" s="176" t="s">
        <v>488</v>
      </c>
      <c r="D11" s="176" t="s">
        <v>489</v>
      </c>
      <c r="E11" s="176" t="s">
        <v>490</v>
      </c>
      <c r="F11" s="176" t="s">
        <v>441</v>
      </c>
      <c r="G11" s="176" t="s">
        <v>397</v>
      </c>
      <c r="H11" s="180" t="s">
        <v>134</v>
      </c>
      <c r="I11" s="178" t="s">
        <v>491</v>
      </c>
      <c r="J11" s="234" t="s">
        <v>492</v>
      </c>
      <c r="K11" s="211"/>
      <c r="L11" s="212" t="s">
        <v>353</v>
      </c>
      <c r="M11" s="179" t="s">
        <v>481</v>
      </c>
      <c r="N11" s="213"/>
      <c r="O11" s="214" t="s">
        <v>493</v>
      </c>
      <c r="P11" s="202"/>
    </row>
    <row r="12" spans="1:16" ht="92.25">
      <c r="A12" s="210" t="s">
        <v>453</v>
      </c>
      <c r="B12" s="176" t="s">
        <v>494</v>
      </c>
      <c r="C12" s="176" t="s">
        <v>495</v>
      </c>
      <c r="D12" s="176" t="s">
        <v>496</v>
      </c>
      <c r="E12" s="176" t="s">
        <v>367</v>
      </c>
      <c r="F12" s="176"/>
      <c r="G12" s="176" t="s">
        <v>397</v>
      </c>
      <c r="H12" s="180" t="s">
        <v>134</v>
      </c>
      <c r="I12" s="178" t="s">
        <v>491</v>
      </c>
      <c r="J12" s="234" t="s">
        <v>497</v>
      </c>
      <c r="K12" s="211"/>
      <c r="L12" s="212" t="s">
        <v>353</v>
      </c>
      <c r="M12" s="179" t="s">
        <v>481</v>
      </c>
      <c r="N12" s="213"/>
      <c r="O12" s="214" t="s">
        <v>498</v>
      </c>
      <c r="P12" s="202"/>
    </row>
    <row r="13" spans="1:16" ht="92.25">
      <c r="A13" s="210" t="s">
        <v>453</v>
      </c>
      <c r="B13" s="176" t="s">
        <v>499</v>
      </c>
      <c r="C13" s="176" t="s">
        <v>500</v>
      </c>
      <c r="D13" s="176" t="s">
        <v>61</v>
      </c>
      <c r="E13" s="176"/>
      <c r="F13" s="176"/>
      <c r="G13" s="176" t="s">
        <v>397</v>
      </c>
      <c r="H13" s="180" t="s">
        <v>87</v>
      </c>
      <c r="I13" s="178" t="s">
        <v>501</v>
      </c>
      <c r="J13" s="234" t="s">
        <v>502</v>
      </c>
      <c r="K13" s="211"/>
      <c r="L13" s="222" t="s">
        <v>358</v>
      </c>
      <c r="M13" s="179"/>
      <c r="N13" s="213"/>
      <c r="O13" s="214" t="s">
        <v>503</v>
      </c>
      <c r="P13" s="202"/>
    </row>
    <row r="14" spans="1:16" ht="92.25">
      <c r="A14" s="210" t="s">
        <v>453</v>
      </c>
      <c r="B14" s="176" t="s">
        <v>504</v>
      </c>
      <c r="C14" s="176" t="s">
        <v>505</v>
      </c>
      <c r="D14" s="176" t="s">
        <v>61</v>
      </c>
      <c r="E14" s="176"/>
      <c r="F14" s="176"/>
      <c r="G14" s="176" t="s">
        <v>506</v>
      </c>
      <c r="H14" s="180" t="s">
        <v>63</v>
      </c>
      <c r="I14" s="178" t="s">
        <v>501</v>
      </c>
      <c r="J14" s="234" t="s">
        <v>507</v>
      </c>
      <c r="K14" s="211"/>
      <c r="L14" s="212" t="s">
        <v>353</v>
      </c>
      <c r="M14" s="179"/>
      <c r="N14" s="183" t="s">
        <v>508</v>
      </c>
      <c r="O14" s="214" t="s">
        <v>509</v>
      </c>
      <c r="P14" s="202"/>
    </row>
    <row r="15" spans="1:16" ht="92.25">
      <c r="A15" s="210" t="s">
        <v>453</v>
      </c>
      <c r="B15" s="176" t="s">
        <v>510</v>
      </c>
      <c r="C15" s="176" t="s">
        <v>511</v>
      </c>
      <c r="D15" s="176" t="s">
        <v>61</v>
      </c>
      <c r="E15" s="176"/>
      <c r="F15" s="176"/>
      <c r="G15" s="176" t="s">
        <v>397</v>
      </c>
      <c r="H15" s="180" t="s">
        <v>63</v>
      </c>
      <c r="I15" s="178" t="s">
        <v>501</v>
      </c>
      <c r="J15" s="234" t="s">
        <v>512</v>
      </c>
      <c r="K15" s="211"/>
      <c r="L15" s="212" t="s">
        <v>353</v>
      </c>
      <c r="M15" s="179"/>
      <c r="N15" s="184" t="s">
        <v>513</v>
      </c>
      <c r="O15" s="214" t="s">
        <v>514</v>
      </c>
      <c r="P15" s="202"/>
    </row>
    <row r="16" spans="1:16" ht="92.25">
      <c r="A16" s="210" t="s">
        <v>453</v>
      </c>
      <c r="B16" s="176" t="s">
        <v>515</v>
      </c>
      <c r="C16" s="176" t="s">
        <v>516</v>
      </c>
      <c r="D16" s="176" t="s">
        <v>29</v>
      </c>
      <c r="E16" s="176"/>
      <c r="F16" s="176"/>
      <c r="G16" s="176" t="s">
        <v>18</v>
      </c>
      <c r="H16" s="180" t="s">
        <v>134</v>
      </c>
      <c r="I16" s="178" t="s">
        <v>501</v>
      </c>
      <c r="J16" s="234" t="s">
        <v>517</v>
      </c>
      <c r="K16" s="211"/>
      <c r="L16" s="212" t="s">
        <v>353</v>
      </c>
      <c r="M16" s="179"/>
      <c r="N16" s="185" t="s">
        <v>518</v>
      </c>
      <c r="O16" s="214" t="s">
        <v>519</v>
      </c>
      <c r="P16" s="202"/>
    </row>
    <row r="17" spans="1:16" ht="92.25">
      <c r="A17" s="210" t="s">
        <v>453</v>
      </c>
      <c r="B17" s="176" t="s">
        <v>520</v>
      </c>
      <c r="C17" s="176" t="s">
        <v>521</v>
      </c>
      <c r="D17" s="176" t="s">
        <v>29</v>
      </c>
      <c r="E17" s="176"/>
      <c r="F17" s="176"/>
      <c r="G17" s="176" t="s">
        <v>18</v>
      </c>
      <c r="H17" s="180" t="s">
        <v>87</v>
      </c>
      <c r="I17" s="178" t="s">
        <v>473</v>
      </c>
      <c r="J17" s="234" t="s">
        <v>522</v>
      </c>
      <c r="K17" s="211"/>
      <c r="L17" s="212" t="s">
        <v>353</v>
      </c>
      <c r="M17" s="179"/>
      <c r="N17" s="213"/>
      <c r="O17" s="214" t="s">
        <v>523</v>
      </c>
      <c r="P17" s="202"/>
    </row>
    <row r="18" spans="1:16" ht="92.25">
      <c r="A18" s="210" t="s">
        <v>453</v>
      </c>
      <c r="B18" s="176" t="s">
        <v>524</v>
      </c>
      <c r="C18" s="176" t="s">
        <v>525</v>
      </c>
      <c r="D18" s="176" t="s">
        <v>29</v>
      </c>
      <c r="E18" s="176"/>
      <c r="F18" s="176"/>
      <c r="G18" s="176" t="s">
        <v>71</v>
      </c>
      <c r="H18" s="180" t="s">
        <v>526</v>
      </c>
      <c r="I18" s="178" t="s">
        <v>473</v>
      </c>
      <c r="J18" s="234" t="s">
        <v>527</v>
      </c>
      <c r="K18" s="211"/>
      <c r="L18" s="221" t="s">
        <v>353</v>
      </c>
      <c r="M18" s="179"/>
      <c r="N18" s="213"/>
      <c r="O18" s="214" t="s">
        <v>528</v>
      </c>
      <c r="P18" s="202"/>
    </row>
    <row r="19" spans="1:16" ht="92.25">
      <c r="A19" s="210" t="s">
        <v>453</v>
      </c>
      <c r="B19" s="176" t="s">
        <v>529</v>
      </c>
      <c r="C19" s="176" t="s">
        <v>530</v>
      </c>
      <c r="D19" s="176" t="s">
        <v>29</v>
      </c>
      <c r="E19" s="176"/>
      <c r="F19" s="176"/>
      <c r="G19" s="176" t="s">
        <v>531</v>
      </c>
      <c r="H19" s="180" t="s">
        <v>87</v>
      </c>
      <c r="I19" s="178" t="s">
        <v>532</v>
      </c>
      <c r="J19" s="234" t="s">
        <v>533</v>
      </c>
      <c r="K19" s="211"/>
      <c r="L19" s="221" t="s">
        <v>353</v>
      </c>
      <c r="M19" s="179"/>
      <c r="N19" s="213"/>
      <c r="O19" s="214" t="s">
        <v>534</v>
      </c>
      <c r="P19" s="202"/>
    </row>
    <row r="20" spans="1:16" ht="53.25" customHeight="1">
      <c r="A20" s="210" t="s">
        <v>453</v>
      </c>
      <c r="B20" s="176" t="s">
        <v>535</v>
      </c>
      <c r="C20" s="176" t="s">
        <v>536</v>
      </c>
      <c r="D20" s="176"/>
      <c r="E20" s="176"/>
      <c r="F20" s="176"/>
      <c r="G20" s="176" t="s">
        <v>369</v>
      </c>
      <c r="H20" s="180" t="s">
        <v>87</v>
      </c>
      <c r="I20" s="178" t="s">
        <v>532</v>
      </c>
      <c r="J20" s="234" t="s">
        <v>537</v>
      </c>
      <c r="K20" s="211"/>
      <c r="L20" s="212" t="s">
        <v>353</v>
      </c>
      <c r="M20" s="179"/>
      <c r="N20" s="213"/>
      <c r="O20" s="214" t="s">
        <v>538</v>
      </c>
      <c r="P20" s="202"/>
    </row>
    <row r="21" spans="1:16" ht="92.25">
      <c r="A21" s="210" t="s">
        <v>453</v>
      </c>
      <c r="B21" s="176" t="s">
        <v>539</v>
      </c>
      <c r="C21" s="176" t="s">
        <v>540</v>
      </c>
      <c r="D21" s="176" t="s">
        <v>29</v>
      </c>
      <c r="E21" s="176"/>
      <c r="F21" s="176"/>
      <c r="G21" s="176" t="s">
        <v>18</v>
      </c>
      <c r="H21" s="180" t="s">
        <v>63</v>
      </c>
      <c r="I21" s="178" t="s">
        <v>473</v>
      </c>
      <c r="J21" s="234" t="s">
        <v>541</v>
      </c>
      <c r="K21" s="211"/>
      <c r="L21" s="212" t="s">
        <v>353</v>
      </c>
      <c r="M21" s="179"/>
      <c r="N21" s="213"/>
      <c r="O21" s="214" t="s">
        <v>542</v>
      </c>
      <c r="P21" s="202"/>
    </row>
    <row r="22" spans="1:16" ht="92.25">
      <c r="A22" s="210" t="s">
        <v>453</v>
      </c>
      <c r="B22" s="176" t="s">
        <v>543</v>
      </c>
      <c r="C22" s="176" t="s">
        <v>544</v>
      </c>
      <c r="D22" s="176" t="s">
        <v>90</v>
      </c>
      <c r="E22" s="176"/>
      <c r="F22" s="176"/>
      <c r="G22" s="176" t="s">
        <v>545</v>
      </c>
      <c r="H22" s="180" t="s">
        <v>134</v>
      </c>
      <c r="I22" s="178" t="s">
        <v>501</v>
      </c>
      <c r="J22" s="234" t="s">
        <v>546</v>
      </c>
      <c r="K22" s="211"/>
      <c r="L22" s="221" t="s">
        <v>358</v>
      </c>
      <c r="M22" s="179"/>
      <c r="N22" s="213"/>
      <c r="O22" s="214" t="s">
        <v>547</v>
      </c>
      <c r="P22" s="202"/>
    </row>
    <row r="23" spans="1:16" ht="92.25">
      <c r="A23" s="210" t="s">
        <v>453</v>
      </c>
      <c r="B23" s="176" t="s">
        <v>548</v>
      </c>
      <c r="C23" s="176" t="s">
        <v>549</v>
      </c>
      <c r="D23" s="176" t="s">
        <v>90</v>
      </c>
      <c r="E23" s="176"/>
      <c r="F23" s="176"/>
      <c r="G23" s="176" t="s">
        <v>406</v>
      </c>
      <c r="H23" s="180" t="s">
        <v>63</v>
      </c>
      <c r="I23" s="178" t="s">
        <v>550</v>
      </c>
      <c r="J23" s="234" t="s">
        <v>551</v>
      </c>
      <c r="K23" s="211"/>
      <c r="L23" s="212" t="s">
        <v>353</v>
      </c>
      <c r="M23" s="179"/>
      <c r="N23" s="213"/>
      <c r="O23" s="214" t="s">
        <v>552</v>
      </c>
      <c r="P23" s="202"/>
    </row>
    <row r="24" spans="1:16" ht="92.25">
      <c r="A24" s="210" t="s">
        <v>453</v>
      </c>
      <c r="B24" s="176" t="s">
        <v>553</v>
      </c>
      <c r="C24" s="176" t="s">
        <v>554</v>
      </c>
      <c r="D24" s="176" t="s">
        <v>90</v>
      </c>
      <c r="E24" s="176"/>
      <c r="F24" s="176"/>
      <c r="G24" s="176" t="s">
        <v>555</v>
      </c>
      <c r="H24" s="180" t="s">
        <v>63</v>
      </c>
      <c r="I24" s="223" t="s">
        <v>92</v>
      </c>
      <c r="J24" s="234" t="s">
        <v>556</v>
      </c>
      <c r="K24" s="211"/>
      <c r="L24" s="212" t="s">
        <v>353</v>
      </c>
      <c r="M24" s="179"/>
      <c r="N24" s="213"/>
      <c r="O24" s="214" t="s">
        <v>557</v>
      </c>
      <c r="P24" s="202"/>
    </row>
    <row r="25" spans="1:16" ht="79.5" customHeight="1">
      <c r="A25" s="210" t="s">
        <v>453</v>
      </c>
      <c r="B25" s="176" t="s">
        <v>558</v>
      </c>
      <c r="C25" s="176" t="s">
        <v>559</v>
      </c>
      <c r="D25" s="176" t="s">
        <v>90</v>
      </c>
      <c r="E25" s="176"/>
      <c r="F25" s="176"/>
      <c r="G25" s="176" t="s">
        <v>560</v>
      </c>
      <c r="H25" s="180"/>
      <c r="I25" s="178" t="s">
        <v>92</v>
      </c>
      <c r="J25" s="234" t="s">
        <v>561</v>
      </c>
      <c r="K25" s="211"/>
      <c r="L25" s="212" t="s">
        <v>353</v>
      </c>
      <c r="M25" s="179"/>
      <c r="N25" s="213"/>
      <c r="O25" s="214" t="s">
        <v>562</v>
      </c>
      <c r="P25" s="202"/>
    </row>
    <row r="26" spans="1:16" ht="92.25">
      <c r="A26" s="210" t="s">
        <v>453</v>
      </c>
      <c r="B26" s="176" t="s">
        <v>563</v>
      </c>
      <c r="C26" s="176" t="s">
        <v>564</v>
      </c>
      <c r="D26" s="176" t="s">
        <v>90</v>
      </c>
      <c r="E26" s="176"/>
      <c r="F26" s="176"/>
      <c r="G26" s="176" t="s">
        <v>361</v>
      </c>
      <c r="H26" s="180" t="s">
        <v>63</v>
      </c>
      <c r="I26" s="223" t="s">
        <v>92</v>
      </c>
      <c r="J26" s="234" t="s">
        <v>565</v>
      </c>
      <c r="K26" s="211"/>
      <c r="L26" s="212" t="s">
        <v>353</v>
      </c>
      <c r="M26" s="179"/>
      <c r="N26" s="213"/>
      <c r="O26" s="214" t="s">
        <v>566</v>
      </c>
      <c r="P26" s="202"/>
    </row>
    <row r="27" spans="1:16" ht="92.25">
      <c r="A27" s="210" t="s">
        <v>453</v>
      </c>
      <c r="B27" s="176" t="s">
        <v>567</v>
      </c>
      <c r="C27" s="176" t="s">
        <v>568</v>
      </c>
      <c r="D27" s="176" t="s">
        <v>90</v>
      </c>
      <c r="E27" s="176"/>
      <c r="F27" s="176"/>
      <c r="G27" s="176" t="s">
        <v>569</v>
      </c>
      <c r="H27" s="180" t="s">
        <v>63</v>
      </c>
      <c r="I27" s="223" t="s">
        <v>92</v>
      </c>
      <c r="J27" s="234" t="s">
        <v>570</v>
      </c>
      <c r="K27" s="211"/>
      <c r="L27" s="222" t="s">
        <v>358</v>
      </c>
      <c r="M27" s="179"/>
      <c r="N27" s="213"/>
      <c r="O27" s="214" t="s">
        <v>571</v>
      </c>
      <c r="P27" s="202"/>
    </row>
    <row r="28" spans="1:16" ht="92.25">
      <c r="A28" s="210" t="s">
        <v>453</v>
      </c>
      <c r="B28" s="176" t="s">
        <v>572</v>
      </c>
      <c r="C28" s="176" t="s">
        <v>573</v>
      </c>
      <c r="D28" s="176" t="s">
        <v>99</v>
      </c>
      <c r="E28" s="176"/>
      <c r="F28" s="176"/>
      <c r="G28" s="176" t="s">
        <v>100</v>
      </c>
      <c r="H28" s="180" t="s">
        <v>134</v>
      </c>
      <c r="I28" s="186" t="s">
        <v>574</v>
      </c>
      <c r="J28" s="234" t="s">
        <v>575</v>
      </c>
      <c r="K28" s="211"/>
      <c r="L28" s="212" t="s">
        <v>353</v>
      </c>
      <c r="M28" s="179"/>
      <c r="N28" s="213"/>
      <c r="O28" s="214" t="s">
        <v>576</v>
      </c>
      <c r="P28" s="202"/>
    </row>
    <row r="29" spans="1:16" ht="92.25">
      <c r="A29" s="210" t="s">
        <v>453</v>
      </c>
      <c r="B29" s="176" t="s">
        <v>577</v>
      </c>
      <c r="C29" s="176" t="s">
        <v>578</v>
      </c>
      <c r="D29" s="176" t="s">
        <v>99</v>
      </c>
      <c r="E29" s="176"/>
      <c r="F29" s="176"/>
      <c r="G29" s="176" t="s">
        <v>466</v>
      </c>
      <c r="H29" s="180" t="s">
        <v>63</v>
      </c>
      <c r="I29" s="178" t="s">
        <v>579</v>
      </c>
      <c r="J29" s="234" t="s">
        <v>580</v>
      </c>
      <c r="K29" s="211"/>
      <c r="L29" s="212" t="s">
        <v>353</v>
      </c>
      <c r="M29" s="179"/>
      <c r="N29" s="213"/>
      <c r="O29" s="214" t="s">
        <v>581</v>
      </c>
      <c r="P29" s="202"/>
    </row>
    <row r="30" spans="1:16" ht="92.25">
      <c r="A30" s="210" t="s">
        <v>453</v>
      </c>
      <c r="B30" s="176" t="s">
        <v>582</v>
      </c>
      <c r="C30" s="176" t="s">
        <v>583</v>
      </c>
      <c r="D30" s="176" t="s">
        <v>99</v>
      </c>
      <c r="E30" s="176"/>
      <c r="F30" s="176"/>
      <c r="G30" s="176" t="s">
        <v>466</v>
      </c>
      <c r="H30" s="180" t="s">
        <v>134</v>
      </c>
      <c r="I30" s="178" t="s">
        <v>579</v>
      </c>
      <c r="J30" s="234" t="s">
        <v>584</v>
      </c>
      <c r="K30" s="211"/>
      <c r="L30" s="221" t="s">
        <v>353</v>
      </c>
      <c r="M30" s="179"/>
      <c r="N30" s="213"/>
      <c r="O30" s="214" t="s">
        <v>585</v>
      </c>
      <c r="P30" s="202"/>
    </row>
    <row r="31" spans="1:16" ht="92.25">
      <c r="A31" s="210" t="s">
        <v>453</v>
      </c>
      <c r="B31" s="176" t="s">
        <v>586</v>
      </c>
      <c r="C31" s="176" t="s">
        <v>587</v>
      </c>
      <c r="D31" s="176" t="s">
        <v>99</v>
      </c>
      <c r="E31" s="176"/>
      <c r="F31" s="176"/>
      <c r="G31" s="176" t="s">
        <v>100</v>
      </c>
      <c r="H31" s="180" t="s">
        <v>134</v>
      </c>
      <c r="I31" s="178" t="s">
        <v>579</v>
      </c>
      <c r="J31" s="234" t="s">
        <v>588</v>
      </c>
      <c r="K31" s="211"/>
      <c r="L31" s="212" t="s">
        <v>353</v>
      </c>
      <c r="M31" s="179"/>
      <c r="N31" s="213"/>
      <c r="O31" s="214" t="s">
        <v>589</v>
      </c>
      <c r="P31" s="202"/>
    </row>
    <row r="32" spans="1:16" ht="92.25">
      <c r="A32" s="210" t="s">
        <v>453</v>
      </c>
      <c r="B32" s="176" t="s">
        <v>590</v>
      </c>
      <c r="C32" s="176" t="s">
        <v>591</v>
      </c>
      <c r="D32" s="176" t="s">
        <v>99</v>
      </c>
      <c r="E32" s="176"/>
      <c r="F32" s="176"/>
      <c r="G32" s="176" t="s">
        <v>351</v>
      </c>
      <c r="H32" s="180" t="s">
        <v>87</v>
      </c>
      <c r="I32" s="187" t="s">
        <v>82</v>
      </c>
      <c r="J32" s="234" t="s">
        <v>592</v>
      </c>
      <c r="K32" s="211"/>
      <c r="L32" s="221" t="s">
        <v>358</v>
      </c>
      <c r="M32" s="179"/>
      <c r="N32" s="213"/>
      <c r="O32" s="202"/>
      <c r="P32" s="202"/>
    </row>
    <row r="33" spans="1:16" ht="92.25">
      <c r="A33" s="210" t="s">
        <v>453</v>
      </c>
      <c r="B33" s="176" t="s">
        <v>593</v>
      </c>
      <c r="C33" s="176" t="s">
        <v>594</v>
      </c>
      <c r="D33" s="176" t="s">
        <v>99</v>
      </c>
      <c r="E33" s="176"/>
      <c r="F33" s="176"/>
      <c r="G33" s="176" t="s">
        <v>595</v>
      </c>
      <c r="H33" s="180" t="s">
        <v>87</v>
      </c>
      <c r="I33" s="187" t="s">
        <v>82</v>
      </c>
      <c r="J33" s="234" t="s">
        <v>596</v>
      </c>
      <c r="K33" s="211"/>
      <c r="L33" s="221" t="s">
        <v>353</v>
      </c>
      <c r="M33" s="179"/>
      <c r="N33" s="213"/>
      <c r="O33" s="214" t="s">
        <v>597</v>
      </c>
      <c r="P33" s="202"/>
    </row>
    <row r="34" spans="1:16" ht="92.25">
      <c r="A34" s="210" t="s">
        <v>453</v>
      </c>
      <c r="B34" s="176" t="s">
        <v>598</v>
      </c>
      <c r="C34" s="176" t="s">
        <v>599</v>
      </c>
      <c r="D34" s="176" t="s">
        <v>61</v>
      </c>
      <c r="E34" s="176" t="s">
        <v>23</v>
      </c>
      <c r="F34" s="176"/>
      <c r="G34" s="176" t="s">
        <v>397</v>
      </c>
      <c r="H34" s="180" t="s">
        <v>63</v>
      </c>
      <c r="I34" s="178" t="s">
        <v>501</v>
      </c>
      <c r="J34" s="234" t="s">
        <v>600</v>
      </c>
      <c r="K34" s="211"/>
      <c r="L34" s="212" t="s">
        <v>353</v>
      </c>
      <c r="M34" s="179"/>
      <c r="N34" s="213"/>
      <c r="O34" s="214" t="s">
        <v>601</v>
      </c>
      <c r="P34" s="202"/>
    </row>
    <row r="35" spans="1:16" ht="92.25">
      <c r="A35" s="210" t="s">
        <v>453</v>
      </c>
      <c r="B35" s="176" t="s">
        <v>602</v>
      </c>
      <c r="C35" s="176" t="s">
        <v>603</v>
      </c>
      <c r="D35" s="176" t="s">
        <v>604</v>
      </c>
      <c r="E35" s="176" t="s">
        <v>23</v>
      </c>
      <c r="F35" s="176"/>
      <c r="G35" s="176" t="s">
        <v>397</v>
      </c>
      <c r="H35" s="180" t="s">
        <v>134</v>
      </c>
      <c r="I35" s="178" t="s">
        <v>501</v>
      </c>
      <c r="J35" s="234" t="s">
        <v>605</v>
      </c>
      <c r="K35" s="211"/>
      <c r="L35" s="212" t="s">
        <v>353</v>
      </c>
      <c r="M35" s="179"/>
      <c r="N35" s="213"/>
      <c r="O35" s="214" t="s">
        <v>606</v>
      </c>
      <c r="P35" s="202"/>
    </row>
    <row r="36" spans="1:16" ht="23.25">
      <c r="A36" s="210" t="s">
        <v>453</v>
      </c>
      <c r="B36" s="176" t="s">
        <v>607</v>
      </c>
      <c r="C36" s="176" t="s">
        <v>608</v>
      </c>
      <c r="D36" s="176" t="s">
        <v>49</v>
      </c>
      <c r="E36" s="176"/>
      <c r="F36" s="176"/>
      <c r="G36" s="176" t="s">
        <v>609</v>
      </c>
      <c r="H36" s="180" t="s">
        <v>134</v>
      </c>
      <c r="I36" s="223" t="s">
        <v>67</v>
      </c>
      <c r="J36" s="211"/>
      <c r="K36" s="211"/>
      <c r="L36" s="212" t="s">
        <v>353</v>
      </c>
      <c r="M36" s="179"/>
      <c r="N36" s="213"/>
      <c r="O36" s="214" t="s">
        <v>610</v>
      </c>
      <c r="P36" s="202"/>
    </row>
    <row r="37" spans="1:16" ht="92.25">
      <c r="A37" s="210" t="s">
        <v>453</v>
      </c>
      <c r="B37" s="176" t="s">
        <v>611</v>
      </c>
      <c r="C37" s="176" t="s">
        <v>612</v>
      </c>
      <c r="D37" s="176" t="s">
        <v>90</v>
      </c>
      <c r="E37" s="176"/>
      <c r="F37" s="176"/>
      <c r="G37" s="176" t="s">
        <v>407</v>
      </c>
      <c r="H37" s="180" t="s">
        <v>134</v>
      </c>
      <c r="I37" s="178" t="s">
        <v>501</v>
      </c>
      <c r="J37" s="234" t="s">
        <v>613</v>
      </c>
      <c r="K37" s="211"/>
      <c r="L37" s="212" t="s">
        <v>353</v>
      </c>
      <c r="M37" s="179"/>
      <c r="N37" s="213"/>
      <c r="O37" s="214" t="s">
        <v>614</v>
      </c>
      <c r="P37" s="202"/>
    </row>
    <row r="38" spans="1:16" ht="92.25">
      <c r="A38" s="210" t="s">
        <v>453</v>
      </c>
      <c r="B38" s="176" t="s">
        <v>615</v>
      </c>
      <c r="C38" s="176" t="s">
        <v>616</v>
      </c>
      <c r="D38" s="176"/>
      <c r="E38" s="176"/>
      <c r="F38" s="176"/>
      <c r="G38" s="176" t="s">
        <v>407</v>
      </c>
      <c r="H38" s="180" t="s">
        <v>134</v>
      </c>
      <c r="I38" s="178" t="s">
        <v>501</v>
      </c>
      <c r="J38" s="234" t="s">
        <v>617</v>
      </c>
      <c r="K38" s="211"/>
      <c r="L38" s="221" t="s">
        <v>353</v>
      </c>
      <c r="M38" s="179"/>
      <c r="N38" s="213"/>
      <c r="O38" s="214" t="s">
        <v>618</v>
      </c>
      <c r="P38" s="202"/>
    </row>
    <row r="39" spans="1:16" ht="92.25">
      <c r="A39" s="210" t="s">
        <v>453</v>
      </c>
      <c r="B39" s="176" t="s">
        <v>619</v>
      </c>
      <c r="C39" s="176" t="s">
        <v>620</v>
      </c>
      <c r="D39" s="176" t="s">
        <v>90</v>
      </c>
      <c r="E39" s="176"/>
      <c r="F39" s="176"/>
      <c r="G39" s="176" t="s">
        <v>407</v>
      </c>
      <c r="H39" s="180" t="s">
        <v>63</v>
      </c>
      <c r="I39" s="178" t="s">
        <v>501</v>
      </c>
      <c r="J39" s="234" t="s">
        <v>621</v>
      </c>
      <c r="K39" s="211"/>
      <c r="L39" s="212" t="s">
        <v>353</v>
      </c>
      <c r="M39" s="179"/>
      <c r="N39" s="213"/>
      <c r="O39" s="214" t="s">
        <v>622</v>
      </c>
      <c r="P39" s="202"/>
    </row>
    <row r="40" spans="1:16" ht="92.25">
      <c r="A40" s="210" t="s">
        <v>453</v>
      </c>
      <c r="B40" s="176" t="s">
        <v>623</v>
      </c>
      <c r="C40" s="176" t="s">
        <v>624</v>
      </c>
      <c r="D40" s="176"/>
      <c r="E40" s="176"/>
      <c r="F40" s="176"/>
      <c r="G40" s="176" t="s">
        <v>407</v>
      </c>
      <c r="H40" s="180" t="s">
        <v>242</v>
      </c>
      <c r="I40" s="178" t="s">
        <v>501</v>
      </c>
      <c r="J40" s="234" t="s">
        <v>625</v>
      </c>
      <c r="K40" s="211"/>
      <c r="L40" s="212" t="s">
        <v>353</v>
      </c>
      <c r="M40" s="179"/>
      <c r="N40" s="213"/>
      <c r="O40" s="214" t="s">
        <v>626</v>
      </c>
      <c r="P40" s="202"/>
    </row>
    <row r="41" spans="1:16" ht="92.25">
      <c r="A41" s="210" t="s">
        <v>453</v>
      </c>
      <c r="B41" s="176" t="s">
        <v>627</v>
      </c>
      <c r="C41" s="176" t="s">
        <v>628</v>
      </c>
      <c r="D41" s="176" t="s">
        <v>90</v>
      </c>
      <c r="E41" s="176"/>
      <c r="F41" s="176"/>
      <c r="G41" s="176" t="s">
        <v>407</v>
      </c>
      <c r="H41" s="180" t="s">
        <v>63</v>
      </c>
      <c r="I41" s="178" t="s">
        <v>501</v>
      </c>
      <c r="J41" s="234" t="s">
        <v>629</v>
      </c>
      <c r="K41" s="211"/>
      <c r="L41" s="212" t="s">
        <v>353</v>
      </c>
      <c r="M41" s="179"/>
      <c r="N41" s="213"/>
      <c r="O41" s="214" t="s">
        <v>630</v>
      </c>
      <c r="P41" s="202"/>
    </row>
    <row r="42" spans="1:16" ht="92.25">
      <c r="A42" s="210" t="s">
        <v>453</v>
      </c>
      <c r="B42" s="176" t="s">
        <v>631</v>
      </c>
      <c r="C42" s="176" t="s">
        <v>632</v>
      </c>
      <c r="D42" s="176" t="s">
        <v>604</v>
      </c>
      <c r="E42" s="176" t="s">
        <v>633</v>
      </c>
      <c r="F42" s="176"/>
      <c r="G42" s="176" t="s">
        <v>18</v>
      </c>
      <c r="H42" s="180" t="s">
        <v>134</v>
      </c>
      <c r="I42" s="178" t="s">
        <v>501</v>
      </c>
      <c r="J42" s="234" t="s">
        <v>634</v>
      </c>
      <c r="K42" s="211"/>
      <c r="L42" s="222" t="s">
        <v>353</v>
      </c>
      <c r="M42" s="179"/>
      <c r="N42" s="213"/>
      <c r="O42" s="214" t="s">
        <v>635</v>
      </c>
      <c r="P42" s="202"/>
    </row>
    <row r="43" spans="1:16" ht="92.25">
      <c r="A43" s="210" t="s">
        <v>453</v>
      </c>
      <c r="B43" s="176" t="s">
        <v>636</v>
      </c>
      <c r="C43" s="176" t="s">
        <v>637</v>
      </c>
      <c r="D43" s="176" t="s">
        <v>49</v>
      </c>
      <c r="E43" s="176"/>
      <c r="F43" s="176"/>
      <c r="G43" s="176" t="s">
        <v>638</v>
      </c>
      <c r="H43" s="180" t="s">
        <v>134</v>
      </c>
      <c r="I43" s="178" t="s">
        <v>67</v>
      </c>
      <c r="J43" s="234" t="s">
        <v>639</v>
      </c>
      <c r="K43" s="211"/>
      <c r="L43" s="212" t="s">
        <v>353</v>
      </c>
      <c r="M43" s="179"/>
      <c r="N43" s="213"/>
      <c r="O43" s="214" t="s">
        <v>640</v>
      </c>
      <c r="P43" s="202"/>
    </row>
    <row r="44" spans="1:16" ht="92.25">
      <c r="A44" s="210" t="s">
        <v>453</v>
      </c>
      <c r="B44" s="176" t="s">
        <v>641</v>
      </c>
      <c r="C44" s="176" t="s">
        <v>642</v>
      </c>
      <c r="D44" s="176" t="s">
        <v>49</v>
      </c>
      <c r="E44" s="176" t="s">
        <v>633</v>
      </c>
      <c r="F44" s="176"/>
      <c r="G44" s="176" t="s">
        <v>643</v>
      </c>
      <c r="H44" s="180" t="s">
        <v>134</v>
      </c>
      <c r="I44" s="178" t="s">
        <v>67</v>
      </c>
      <c r="J44" s="234" t="s">
        <v>644</v>
      </c>
      <c r="K44" s="211"/>
      <c r="L44" s="212" t="s">
        <v>353</v>
      </c>
      <c r="M44" s="179"/>
      <c r="N44" s="213"/>
      <c r="O44" s="214" t="s">
        <v>645</v>
      </c>
      <c r="P44" s="202"/>
    </row>
    <row r="45" spans="1:16" ht="86.25" customHeight="1">
      <c r="A45" s="210" t="s">
        <v>646</v>
      </c>
      <c r="B45" s="176" t="s">
        <v>647</v>
      </c>
      <c r="C45" s="176" t="s">
        <v>648</v>
      </c>
      <c r="D45" s="176" t="s">
        <v>90</v>
      </c>
      <c r="E45" s="176"/>
      <c r="F45" s="176"/>
      <c r="G45" s="176" t="s">
        <v>649</v>
      </c>
      <c r="H45" s="180" t="s">
        <v>63</v>
      </c>
      <c r="I45" s="178" t="s">
        <v>501</v>
      </c>
      <c r="J45" s="234" t="s">
        <v>650</v>
      </c>
      <c r="K45" s="211"/>
      <c r="L45" s="221" t="s">
        <v>353</v>
      </c>
      <c r="M45" s="179"/>
      <c r="N45" s="213"/>
      <c r="O45" s="214" t="s">
        <v>651</v>
      </c>
      <c r="P45" s="202"/>
    </row>
    <row r="46" spans="1:16" ht="92.25">
      <c r="A46" s="210" t="s">
        <v>646</v>
      </c>
      <c r="B46" s="176" t="s">
        <v>652</v>
      </c>
      <c r="C46" s="176" t="s">
        <v>653</v>
      </c>
      <c r="D46" s="176"/>
      <c r="E46" s="176"/>
      <c r="F46" s="176"/>
      <c r="G46" s="176" t="s">
        <v>654</v>
      </c>
      <c r="H46" s="180" t="s">
        <v>242</v>
      </c>
      <c r="I46" s="178" t="s">
        <v>501</v>
      </c>
      <c r="J46" s="234" t="s">
        <v>655</v>
      </c>
      <c r="K46" s="211"/>
      <c r="L46" s="212" t="s">
        <v>353</v>
      </c>
      <c r="M46" s="179"/>
      <c r="N46" s="213"/>
      <c r="O46" s="214" t="s">
        <v>656</v>
      </c>
      <c r="P46" s="202"/>
    </row>
    <row r="47" spans="1:16" ht="92.25">
      <c r="A47" s="210" t="s">
        <v>646</v>
      </c>
      <c r="B47" s="176" t="s">
        <v>657</v>
      </c>
      <c r="C47" s="176" t="s">
        <v>658</v>
      </c>
      <c r="D47" s="176"/>
      <c r="E47" s="176" t="s">
        <v>355</v>
      </c>
      <c r="F47" s="176"/>
      <c r="G47" s="176" t="s">
        <v>241</v>
      </c>
      <c r="H47" s="180" t="s">
        <v>372</v>
      </c>
      <c r="I47" s="178" t="s">
        <v>659</v>
      </c>
      <c r="J47" s="214"/>
      <c r="K47" s="214" t="s">
        <v>660</v>
      </c>
      <c r="L47" s="212" t="s">
        <v>353</v>
      </c>
      <c r="M47" s="179"/>
      <c r="N47" s="213"/>
      <c r="O47" s="214" t="s">
        <v>661</v>
      </c>
      <c r="P47" s="202"/>
    </row>
    <row r="48" spans="1:16" ht="46.5">
      <c r="A48" s="210" t="s">
        <v>646</v>
      </c>
      <c r="B48" s="176" t="s">
        <v>662</v>
      </c>
      <c r="C48" s="176" t="s">
        <v>663</v>
      </c>
      <c r="D48" s="176" t="s">
        <v>90</v>
      </c>
      <c r="E48" s="176"/>
      <c r="F48" s="176"/>
      <c r="G48" s="176" t="s">
        <v>664</v>
      </c>
      <c r="H48" s="180" t="s">
        <v>75</v>
      </c>
      <c r="I48" s="178" t="s">
        <v>665</v>
      </c>
      <c r="J48" s="211"/>
      <c r="K48" s="211"/>
      <c r="L48" s="222" t="s">
        <v>363</v>
      </c>
      <c r="M48" s="179"/>
      <c r="N48" s="213"/>
      <c r="O48" s="214" t="s">
        <v>666</v>
      </c>
      <c r="P48" s="202"/>
    </row>
    <row r="49" spans="1:16" ht="92.25">
      <c r="A49" s="210" t="s">
        <v>646</v>
      </c>
      <c r="B49" s="176" t="s">
        <v>667</v>
      </c>
      <c r="C49" s="176" t="s">
        <v>668</v>
      </c>
      <c r="D49" s="176" t="s">
        <v>99</v>
      </c>
      <c r="E49" s="176"/>
      <c r="F49" s="176"/>
      <c r="G49" s="176" t="s">
        <v>669</v>
      </c>
      <c r="H49" s="180" t="s">
        <v>75</v>
      </c>
      <c r="I49" s="187" t="s">
        <v>82</v>
      </c>
      <c r="J49" s="214"/>
      <c r="K49" s="214" t="s">
        <v>670</v>
      </c>
      <c r="L49" s="222" t="s">
        <v>358</v>
      </c>
      <c r="M49" s="179"/>
      <c r="N49" s="213"/>
      <c r="O49" s="214" t="s">
        <v>671</v>
      </c>
      <c r="P49" s="202"/>
    </row>
    <row r="50" spans="1:16" ht="92.25">
      <c r="A50" s="210" t="s">
        <v>646</v>
      </c>
      <c r="B50" s="176" t="s">
        <v>672</v>
      </c>
      <c r="C50" s="176" t="s">
        <v>673</v>
      </c>
      <c r="D50" s="176"/>
      <c r="E50" s="176"/>
      <c r="F50" s="176"/>
      <c r="G50" s="176" t="s">
        <v>400</v>
      </c>
      <c r="H50" s="180" t="s">
        <v>81</v>
      </c>
      <c r="I50" s="187" t="s">
        <v>82</v>
      </c>
      <c r="J50" s="214"/>
      <c r="K50" s="214" t="s">
        <v>674</v>
      </c>
      <c r="L50" s="221" t="s">
        <v>353</v>
      </c>
      <c r="M50" s="179"/>
      <c r="N50" s="213"/>
      <c r="O50" s="214" t="s">
        <v>675</v>
      </c>
      <c r="P50" s="202"/>
    </row>
    <row r="51" spans="1:16" ht="92.25">
      <c r="A51" s="210" t="s">
        <v>646</v>
      </c>
      <c r="B51" s="176" t="s">
        <v>676</v>
      </c>
      <c r="C51" s="176" t="s">
        <v>677</v>
      </c>
      <c r="D51" s="176"/>
      <c r="E51" s="176"/>
      <c r="F51" s="176"/>
      <c r="G51" s="176" t="s">
        <v>409</v>
      </c>
      <c r="H51" s="180" t="s">
        <v>81</v>
      </c>
      <c r="I51" s="187" t="s">
        <v>82</v>
      </c>
      <c r="J51" s="214"/>
      <c r="K51" s="214" t="s">
        <v>678</v>
      </c>
      <c r="L51" s="212" t="s">
        <v>353</v>
      </c>
      <c r="M51" s="179"/>
      <c r="N51" s="213"/>
      <c r="O51" s="214" t="s">
        <v>675</v>
      </c>
      <c r="P51" s="202"/>
    </row>
    <row r="52" spans="1:16" ht="92.25">
      <c r="A52" s="210" t="s">
        <v>646</v>
      </c>
      <c r="B52" s="176" t="s">
        <v>679</v>
      </c>
      <c r="C52" s="176" t="s">
        <v>680</v>
      </c>
      <c r="D52" s="176"/>
      <c r="E52" s="176"/>
      <c r="F52" s="176"/>
      <c r="G52" s="176" t="s">
        <v>681</v>
      </c>
      <c r="H52" s="180" t="s">
        <v>81</v>
      </c>
      <c r="I52" s="187" t="s">
        <v>82</v>
      </c>
      <c r="J52" s="214"/>
      <c r="K52" s="214" t="s">
        <v>682</v>
      </c>
      <c r="L52" s="212" t="s">
        <v>353</v>
      </c>
      <c r="M52" s="179"/>
      <c r="N52" s="213"/>
      <c r="O52" s="214" t="s">
        <v>683</v>
      </c>
      <c r="P52" s="202"/>
    </row>
    <row r="53" spans="1:16" ht="92.25">
      <c r="A53" s="210" t="s">
        <v>646</v>
      </c>
      <c r="B53" s="176" t="s">
        <v>684</v>
      </c>
      <c r="C53" s="176" t="s">
        <v>685</v>
      </c>
      <c r="D53" s="176" t="s">
        <v>90</v>
      </c>
      <c r="E53" s="176"/>
      <c r="F53" s="176"/>
      <c r="G53" s="176" t="s">
        <v>407</v>
      </c>
      <c r="H53" s="180" t="s">
        <v>63</v>
      </c>
      <c r="I53" s="178" t="s">
        <v>501</v>
      </c>
      <c r="J53" s="234" t="s">
        <v>686</v>
      </c>
      <c r="K53" s="211"/>
      <c r="L53" s="212" t="s">
        <v>353</v>
      </c>
      <c r="M53" s="179"/>
      <c r="N53" s="213"/>
      <c r="O53" s="214" t="s">
        <v>687</v>
      </c>
      <c r="P53" s="202"/>
    </row>
    <row r="54" spans="1:16" ht="92.25">
      <c r="A54" s="210" t="s">
        <v>646</v>
      </c>
      <c r="B54" s="176" t="s">
        <v>688</v>
      </c>
      <c r="C54" s="176" t="s">
        <v>689</v>
      </c>
      <c r="D54" s="176"/>
      <c r="E54" s="176"/>
      <c r="F54" s="176"/>
      <c r="G54" s="176" t="s">
        <v>407</v>
      </c>
      <c r="H54" s="180" t="s">
        <v>63</v>
      </c>
      <c r="I54" s="178" t="s">
        <v>501</v>
      </c>
      <c r="J54" s="234" t="s">
        <v>690</v>
      </c>
      <c r="K54" s="211"/>
      <c r="L54" s="221" t="s">
        <v>353</v>
      </c>
      <c r="M54" s="179"/>
      <c r="N54" s="213"/>
      <c r="O54" s="214" t="s">
        <v>691</v>
      </c>
      <c r="P54" s="202"/>
    </row>
    <row r="55" spans="1:16" ht="92.25">
      <c r="A55" s="210" t="s">
        <v>646</v>
      </c>
      <c r="B55" s="176" t="s">
        <v>692</v>
      </c>
      <c r="C55" s="176" t="s">
        <v>693</v>
      </c>
      <c r="D55" s="176"/>
      <c r="E55" s="176"/>
      <c r="F55" s="176"/>
      <c r="G55" s="176" t="s">
        <v>694</v>
      </c>
      <c r="H55" s="180" t="s">
        <v>81</v>
      </c>
      <c r="I55" s="187" t="s">
        <v>532</v>
      </c>
      <c r="J55" s="214"/>
      <c r="K55" s="214" t="s">
        <v>695</v>
      </c>
      <c r="L55" s="221" t="s">
        <v>358</v>
      </c>
      <c r="M55" s="179"/>
      <c r="N55" s="213"/>
      <c r="O55" s="214" t="s">
        <v>696</v>
      </c>
      <c r="P55" s="202"/>
    </row>
    <row r="56" spans="1:16" ht="92.25">
      <c r="A56" s="210" t="s">
        <v>646</v>
      </c>
      <c r="B56" s="176" t="s">
        <v>697</v>
      </c>
      <c r="C56" s="176" t="s">
        <v>698</v>
      </c>
      <c r="D56" s="176"/>
      <c r="E56" s="176"/>
      <c r="F56" s="176"/>
      <c r="G56" s="176" t="s">
        <v>681</v>
      </c>
      <c r="H56" s="180" t="s">
        <v>81</v>
      </c>
      <c r="I56" s="188" t="s">
        <v>532</v>
      </c>
      <c r="J56" s="214"/>
      <c r="K56" s="214" t="s">
        <v>699</v>
      </c>
      <c r="L56" s="212" t="s">
        <v>353</v>
      </c>
      <c r="M56" s="179"/>
      <c r="N56" s="213"/>
      <c r="O56" s="214" t="s">
        <v>700</v>
      </c>
      <c r="P56" s="202"/>
    </row>
    <row r="57" spans="1:16" ht="92.25">
      <c r="A57" s="210" t="s">
        <v>646</v>
      </c>
      <c r="B57" s="176" t="s">
        <v>701</v>
      </c>
      <c r="C57" s="176" t="s">
        <v>702</v>
      </c>
      <c r="D57" s="176"/>
      <c r="E57" s="176"/>
      <c r="F57" s="176"/>
      <c r="G57" s="176" t="s">
        <v>389</v>
      </c>
      <c r="H57" s="180" t="s">
        <v>81</v>
      </c>
      <c r="I57" s="188" t="s">
        <v>532</v>
      </c>
      <c r="J57" s="214"/>
      <c r="K57" s="214" t="s">
        <v>703</v>
      </c>
      <c r="L57" s="212" t="s">
        <v>353</v>
      </c>
      <c r="M57" s="179"/>
      <c r="N57" s="213"/>
      <c r="O57" s="214" t="s">
        <v>704</v>
      </c>
      <c r="P57" s="202"/>
    </row>
    <row r="58" spans="1:16" ht="92.25">
      <c r="A58" s="210" t="s">
        <v>646</v>
      </c>
      <c r="B58" s="176" t="s">
        <v>705</v>
      </c>
      <c r="C58" s="176" t="s">
        <v>706</v>
      </c>
      <c r="D58" s="176"/>
      <c r="E58" s="176"/>
      <c r="F58" s="176"/>
      <c r="G58" s="176" t="s">
        <v>400</v>
      </c>
      <c r="H58" s="180" t="s">
        <v>81</v>
      </c>
      <c r="I58" s="188" t="s">
        <v>532</v>
      </c>
      <c r="J58" s="214"/>
      <c r="K58" s="214" t="s">
        <v>707</v>
      </c>
      <c r="L58" s="212" t="s">
        <v>353</v>
      </c>
      <c r="M58" s="179"/>
      <c r="N58" s="213"/>
      <c r="O58" s="214" t="s">
        <v>708</v>
      </c>
      <c r="P58" s="202"/>
    </row>
    <row r="59" spans="1:16" ht="23.25">
      <c r="A59" s="210" t="s">
        <v>646</v>
      </c>
      <c r="B59" s="176" t="s">
        <v>709</v>
      </c>
      <c r="C59" s="176" t="s">
        <v>710</v>
      </c>
      <c r="D59" s="176" t="s">
        <v>29</v>
      </c>
      <c r="E59" s="176" t="s">
        <v>633</v>
      </c>
      <c r="F59" s="176"/>
      <c r="G59" s="176" t="s">
        <v>711</v>
      </c>
      <c r="H59" s="180" t="s">
        <v>134</v>
      </c>
      <c r="I59" s="188" t="s">
        <v>473</v>
      </c>
      <c r="J59" s="211"/>
      <c r="K59" s="211"/>
      <c r="L59" s="212" t="s">
        <v>353</v>
      </c>
      <c r="M59" s="179"/>
      <c r="N59" s="213"/>
      <c r="O59" s="214" t="s">
        <v>712</v>
      </c>
      <c r="P59" s="202"/>
    </row>
    <row r="60" spans="1:16" ht="92.25">
      <c r="A60" s="210" t="s">
        <v>646</v>
      </c>
      <c r="B60" s="176" t="s">
        <v>713</v>
      </c>
      <c r="C60" s="176" t="s">
        <v>714</v>
      </c>
      <c r="D60" s="176"/>
      <c r="E60" s="176" t="s">
        <v>355</v>
      </c>
      <c r="F60" s="176"/>
      <c r="G60" s="176" t="s">
        <v>410</v>
      </c>
      <c r="H60" s="180" t="s">
        <v>372</v>
      </c>
      <c r="I60" s="178" t="s">
        <v>491</v>
      </c>
      <c r="J60" s="214"/>
      <c r="K60" s="214" t="s">
        <v>715</v>
      </c>
      <c r="L60" s="212" t="s">
        <v>353</v>
      </c>
      <c r="M60" s="179"/>
      <c r="N60" s="213"/>
      <c r="O60" s="214" t="s">
        <v>716</v>
      </c>
      <c r="P60" s="202"/>
    </row>
    <row r="61" spans="1:16" ht="92.25">
      <c r="A61" s="210" t="s">
        <v>646</v>
      </c>
      <c r="B61" s="176" t="s">
        <v>717</v>
      </c>
      <c r="C61" s="176" t="s">
        <v>718</v>
      </c>
      <c r="D61" s="176"/>
      <c r="E61" s="176"/>
      <c r="F61" s="176"/>
      <c r="G61" s="176" t="s">
        <v>410</v>
      </c>
      <c r="H61" s="180" t="s">
        <v>372</v>
      </c>
      <c r="I61" s="178" t="s">
        <v>491</v>
      </c>
      <c r="J61" s="214"/>
      <c r="K61" s="214" t="s">
        <v>719</v>
      </c>
      <c r="L61" s="221" t="s">
        <v>353</v>
      </c>
      <c r="M61" s="179"/>
      <c r="N61" s="213"/>
      <c r="O61" s="214" t="s">
        <v>720</v>
      </c>
      <c r="P61" s="202"/>
    </row>
    <row r="62" spans="1:16" ht="92.25">
      <c r="A62" s="210" t="s">
        <v>646</v>
      </c>
      <c r="B62" s="176" t="s">
        <v>721</v>
      </c>
      <c r="C62" s="176" t="s">
        <v>722</v>
      </c>
      <c r="D62" s="176"/>
      <c r="E62" s="176"/>
      <c r="F62" s="176"/>
      <c r="G62" s="176" t="s">
        <v>410</v>
      </c>
      <c r="H62" s="180" t="s">
        <v>372</v>
      </c>
      <c r="I62" s="178" t="s">
        <v>491</v>
      </c>
      <c r="J62" s="214"/>
      <c r="K62" s="214" t="s">
        <v>723</v>
      </c>
      <c r="L62" s="221" t="s">
        <v>353</v>
      </c>
      <c r="M62" s="179"/>
      <c r="N62" s="213"/>
      <c r="O62" s="214" t="s">
        <v>724</v>
      </c>
      <c r="P62" s="202"/>
    </row>
    <row r="63" spans="1:16" ht="58.5">
      <c r="A63" s="210" t="s">
        <v>725</v>
      </c>
      <c r="B63" s="176" t="s">
        <v>726</v>
      </c>
      <c r="C63" s="176" t="s">
        <v>726</v>
      </c>
      <c r="D63" s="176"/>
      <c r="E63" s="176"/>
      <c r="F63" s="176"/>
      <c r="G63" s="176" t="s">
        <v>727</v>
      </c>
      <c r="H63" s="180" t="s">
        <v>81</v>
      </c>
      <c r="I63" s="178" t="s">
        <v>532</v>
      </c>
      <c r="J63" s="211"/>
      <c r="K63" s="211"/>
      <c r="L63" s="222" t="s">
        <v>363</v>
      </c>
      <c r="M63" s="179" t="s">
        <v>728</v>
      </c>
      <c r="N63" s="213"/>
      <c r="O63" s="214" t="s">
        <v>729</v>
      </c>
      <c r="P63" s="202"/>
    </row>
    <row r="64" spans="1:16" ht="35.25">
      <c r="A64" s="210" t="s">
        <v>725</v>
      </c>
      <c r="B64" s="176" t="s">
        <v>730</v>
      </c>
      <c r="C64" s="176" t="s">
        <v>731</v>
      </c>
      <c r="D64" s="176"/>
      <c r="E64" s="176" t="s">
        <v>355</v>
      </c>
      <c r="F64" s="176"/>
      <c r="G64" s="176" t="s">
        <v>732</v>
      </c>
      <c r="H64" s="180" t="s">
        <v>81</v>
      </c>
      <c r="I64" s="178" t="s">
        <v>97</v>
      </c>
      <c r="J64" s="211"/>
      <c r="K64" s="211"/>
      <c r="L64" s="222" t="s">
        <v>363</v>
      </c>
      <c r="M64" s="179" t="s">
        <v>728</v>
      </c>
      <c r="N64" s="213"/>
      <c r="O64" s="214" t="s">
        <v>733</v>
      </c>
      <c r="P64" s="202"/>
    </row>
    <row r="65" spans="1:16" ht="12.75" customHeight="1">
      <c r="A65" s="210" t="s">
        <v>725</v>
      </c>
      <c r="B65" s="176" t="s">
        <v>734</v>
      </c>
      <c r="C65" s="176" t="s">
        <v>735</v>
      </c>
      <c r="D65" s="176"/>
      <c r="E65" s="176"/>
      <c r="F65" s="176"/>
      <c r="G65" s="176" t="s">
        <v>400</v>
      </c>
      <c r="H65" s="180" t="s">
        <v>370</v>
      </c>
      <c r="I65" s="178" t="s">
        <v>532</v>
      </c>
      <c r="J65" s="214"/>
      <c r="K65" s="214" t="s">
        <v>736</v>
      </c>
      <c r="L65" s="221" t="s">
        <v>353</v>
      </c>
      <c r="M65" s="179" t="s">
        <v>737</v>
      </c>
      <c r="N65" s="213"/>
      <c r="O65" s="214" t="s">
        <v>738</v>
      </c>
      <c r="P65" s="202"/>
    </row>
    <row r="66" spans="1:16" ht="15" customHeight="1">
      <c r="A66" s="210" t="s">
        <v>725</v>
      </c>
      <c r="B66" s="176" t="s">
        <v>739</v>
      </c>
      <c r="C66" s="176" t="s">
        <v>740</v>
      </c>
      <c r="D66" s="176"/>
      <c r="E66" s="176"/>
      <c r="F66" s="176"/>
      <c r="G66" s="176" t="s">
        <v>741</v>
      </c>
      <c r="H66" s="180" t="s">
        <v>370</v>
      </c>
      <c r="I66" s="178" t="s">
        <v>532</v>
      </c>
      <c r="J66" s="214"/>
      <c r="K66" s="214" t="s">
        <v>742</v>
      </c>
      <c r="L66" s="221" t="s">
        <v>353</v>
      </c>
      <c r="M66" s="179"/>
      <c r="N66" s="213"/>
      <c r="O66" s="214" t="s">
        <v>743</v>
      </c>
      <c r="P66" s="202"/>
    </row>
    <row r="67" spans="1:16" ht="92.25">
      <c r="A67" s="210" t="s">
        <v>725</v>
      </c>
      <c r="B67" s="176" t="s">
        <v>744</v>
      </c>
      <c r="C67" s="176" t="s">
        <v>745</v>
      </c>
      <c r="D67" s="176"/>
      <c r="E67" s="176"/>
      <c r="F67" s="176"/>
      <c r="G67" s="176" t="s">
        <v>741</v>
      </c>
      <c r="H67" s="180" t="s">
        <v>81</v>
      </c>
      <c r="I67" s="178" t="s">
        <v>532</v>
      </c>
      <c r="J67" s="214"/>
      <c r="K67" s="214" t="s">
        <v>746</v>
      </c>
      <c r="L67" s="222" t="s">
        <v>358</v>
      </c>
      <c r="M67" s="179"/>
      <c r="N67" s="213"/>
      <c r="O67" s="214" t="s">
        <v>747</v>
      </c>
      <c r="P67" s="202"/>
    </row>
    <row r="68" spans="1:16" ht="92.25">
      <c r="A68" s="210" t="s">
        <v>725</v>
      </c>
      <c r="B68" s="176" t="s">
        <v>748</v>
      </c>
      <c r="C68" s="176" t="s">
        <v>749</v>
      </c>
      <c r="D68" s="176"/>
      <c r="E68" s="176"/>
      <c r="F68" s="176"/>
      <c r="G68" s="176" t="s">
        <v>750</v>
      </c>
      <c r="H68" s="180" t="s">
        <v>370</v>
      </c>
      <c r="I68" s="178" t="s">
        <v>532</v>
      </c>
      <c r="J68" s="214"/>
      <c r="K68" s="214" t="s">
        <v>751</v>
      </c>
      <c r="L68" s="221" t="s">
        <v>353</v>
      </c>
      <c r="M68" s="179"/>
      <c r="N68" s="213"/>
      <c r="O68" s="214" t="s">
        <v>752</v>
      </c>
      <c r="P68" s="202"/>
    </row>
    <row r="69" spans="1:16" ht="92.25">
      <c r="A69" s="210" t="s">
        <v>725</v>
      </c>
      <c r="B69" s="176" t="s">
        <v>753</v>
      </c>
      <c r="C69" s="176" t="s">
        <v>754</v>
      </c>
      <c r="D69" s="176"/>
      <c r="E69" s="176"/>
      <c r="F69" s="176"/>
      <c r="G69" s="176" t="s">
        <v>755</v>
      </c>
      <c r="H69" s="180" t="s">
        <v>370</v>
      </c>
      <c r="I69" s="178" t="s">
        <v>532</v>
      </c>
      <c r="J69" s="214"/>
      <c r="K69" s="214" t="s">
        <v>756</v>
      </c>
      <c r="L69" s="221" t="s">
        <v>353</v>
      </c>
      <c r="M69" s="179"/>
      <c r="N69" s="213"/>
      <c r="O69" s="214" t="s">
        <v>757</v>
      </c>
      <c r="P69" s="202"/>
    </row>
    <row r="70" spans="1:16" ht="58.5">
      <c r="A70" s="210" t="s">
        <v>725</v>
      </c>
      <c r="B70" s="176" t="s">
        <v>758</v>
      </c>
      <c r="C70" s="176" t="s">
        <v>759</v>
      </c>
      <c r="D70" s="176"/>
      <c r="E70" s="176"/>
      <c r="F70" s="176"/>
      <c r="G70" s="176" t="s">
        <v>755</v>
      </c>
      <c r="H70" s="180" t="s">
        <v>370</v>
      </c>
      <c r="I70" s="178" t="s">
        <v>532</v>
      </c>
      <c r="J70" s="211"/>
      <c r="K70" s="211"/>
      <c r="L70" s="221" t="s">
        <v>353</v>
      </c>
      <c r="M70" s="179"/>
      <c r="N70" s="213"/>
      <c r="O70" s="214" t="s">
        <v>760</v>
      </c>
      <c r="P70" s="202"/>
    </row>
    <row r="71" spans="1:16" ht="92.25">
      <c r="A71" s="210" t="s">
        <v>725</v>
      </c>
      <c r="B71" s="176" t="s">
        <v>761</v>
      </c>
      <c r="C71" s="176" t="s">
        <v>762</v>
      </c>
      <c r="D71" s="176" t="s">
        <v>99</v>
      </c>
      <c r="E71" s="176"/>
      <c r="F71" s="176"/>
      <c r="G71" s="176" t="s">
        <v>763</v>
      </c>
      <c r="H71" s="180"/>
      <c r="I71" s="192" t="s">
        <v>92</v>
      </c>
      <c r="J71" s="214"/>
      <c r="K71" s="214" t="s">
        <v>764</v>
      </c>
      <c r="L71" s="221" t="s">
        <v>353</v>
      </c>
      <c r="M71" s="179"/>
      <c r="N71" s="213"/>
      <c r="O71" s="214" t="s">
        <v>765</v>
      </c>
      <c r="P71" s="202"/>
    </row>
    <row r="72" spans="1:16" ht="92.25">
      <c r="A72" s="210" t="s">
        <v>725</v>
      </c>
      <c r="B72" s="176" t="s">
        <v>766</v>
      </c>
      <c r="C72" s="176" t="s">
        <v>767</v>
      </c>
      <c r="D72" s="176" t="s">
        <v>99</v>
      </c>
      <c r="E72" s="176"/>
      <c r="F72" s="176"/>
      <c r="G72" s="176" t="s">
        <v>763</v>
      </c>
      <c r="H72" s="180"/>
      <c r="I72" s="192" t="s">
        <v>92</v>
      </c>
      <c r="J72" s="214"/>
      <c r="K72" s="214" t="s">
        <v>768</v>
      </c>
      <c r="L72" s="221" t="s">
        <v>353</v>
      </c>
      <c r="M72" s="179"/>
      <c r="N72" s="213"/>
      <c r="O72" s="214" t="s">
        <v>769</v>
      </c>
      <c r="P72" s="202"/>
    </row>
    <row r="73" spans="1:16" ht="92.25">
      <c r="A73" s="210" t="s">
        <v>725</v>
      </c>
      <c r="B73" s="176" t="s">
        <v>770</v>
      </c>
      <c r="C73" s="176" t="s">
        <v>771</v>
      </c>
      <c r="D73" s="176" t="s">
        <v>99</v>
      </c>
      <c r="E73" s="176"/>
      <c r="F73" s="176"/>
      <c r="G73" s="176" t="s">
        <v>763</v>
      </c>
      <c r="H73" s="180"/>
      <c r="I73" s="192" t="s">
        <v>92</v>
      </c>
      <c r="J73" s="214"/>
      <c r="K73" s="214" t="s">
        <v>772</v>
      </c>
      <c r="L73" s="221" t="s">
        <v>353</v>
      </c>
      <c r="M73" s="179"/>
      <c r="N73" s="213"/>
      <c r="O73" s="214" t="s">
        <v>773</v>
      </c>
      <c r="P73" s="202"/>
    </row>
    <row r="74" spans="1:16" ht="92.25">
      <c r="A74" s="210" t="s">
        <v>725</v>
      </c>
      <c r="B74" s="176" t="s">
        <v>774</v>
      </c>
      <c r="C74" s="176" t="s">
        <v>775</v>
      </c>
      <c r="D74" s="176" t="s">
        <v>99</v>
      </c>
      <c r="E74" s="176"/>
      <c r="F74" s="176"/>
      <c r="G74" s="176" t="s">
        <v>763</v>
      </c>
      <c r="H74" s="180"/>
      <c r="I74" s="192" t="s">
        <v>92</v>
      </c>
      <c r="J74" s="214"/>
      <c r="K74" s="214" t="s">
        <v>776</v>
      </c>
      <c r="L74" s="221" t="s">
        <v>358</v>
      </c>
      <c r="M74" s="179"/>
      <c r="N74" s="213"/>
      <c r="O74" s="214" t="s">
        <v>777</v>
      </c>
      <c r="P74" s="202"/>
    </row>
    <row r="75" spans="1:16" ht="92.25">
      <c r="A75" s="210" t="s">
        <v>725</v>
      </c>
      <c r="B75" s="176" t="s">
        <v>778</v>
      </c>
      <c r="C75" s="176" t="s">
        <v>779</v>
      </c>
      <c r="D75" s="176" t="s">
        <v>99</v>
      </c>
      <c r="E75" s="176"/>
      <c r="F75" s="176"/>
      <c r="G75" s="176" t="s">
        <v>763</v>
      </c>
      <c r="H75" s="180"/>
      <c r="I75" s="192" t="s">
        <v>92</v>
      </c>
      <c r="J75" s="214"/>
      <c r="K75" s="214" t="s">
        <v>780</v>
      </c>
      <c r="L75" s="221" t="s">
        <v>353</v>
      </c>
      <c r="M75" s="179"/>
      <c r="N75" s="213"/>
      <c r="O75" s="214" t="s">
        <v>781</v>
      </c>
      <c r="P75" s="202"/>
    </row>
    <row r="76" spans="1:16" ht="92.25">
      <c r="A76" s="210" t="s">
        <v>725</v>
      </c>
      <c r="B76" s="176" t="s">
        <v>782</v>
      </c>
      <c r="C76" s="176" t="s">
        <v>783</v>
      </c>
      <c r="D76" s="176"/>
      <c r="E76" s="176"/>
      <c r="F76" s="176"/>
      <c r="G76" s="176" t="s">
        <v>784</v>
      </c>
      <c r="H76" s="180" t="s">
        <v>81</v>
      </c>
      <c r="I76" s="178" t="s">
        <v>532</v>
      </c>
      <c r="J76" s="214"/>
      <c r="K76" s="214" t="s">
        <v>785</v>
      </c>
      <c r="L76" s="222" t="s">
        <v>353</v>
      </c>
      <c r="M76" s="179"/>
      <c r="N76" s="213"/>
      <c r="O76" s="214" t="s">
        <v>786</v>
      </c>
      <c r="P76" s="202"/>
    </row>
    <row r="77" spans="1:16" ht="92.25">
      <c r="A77" s="210" t="s">
        <v>725</v>
      </c>
      <c r="B77" s="176" t="s">
        <v>787</v>
      </c>
      <c r="C77" s="176" t="s">
        <v>788</v>
      </c>
      <c r="D77" s="176"/>
      <c r="E77" s="176"/>
      <c r="F77" s="176"/>
      <c r="G77" s="176" t="s">
        <v>789</v>
      </c>
      <c r="H77" s="180" t="s">
        <v>370</v>
      </c>
      <c r="I77" s="178" t="s">
        <v>532</v>
      </c>
      <c r="J77" s="214"/>
      <c r="K77" s="214" t="s">
        <v>790</v>
      </c>
      <c r="L77" s="221" t="s">
        <v>353</v>
      </c>
      <c r="M77" s="179"/>
      <c r="N77" s="213"/>
      <c r="O77" s="214" t="s">
        <v>791</v>
      </c>
      <c r="P77" s="202"/>
    </row>
    <row r="78" spans="1:16" ht="92.25">
      <c r="A78" s="210" t="s">
        <v>725</v>
      </c>
      <c r="B78" s="176" t="s">
        <v>792</v>
      </c>
      <c r="C78" s="176" t="s">
        <v>793</v>
      </c>
      <c r="D78" s="176"/>
      <c r="E78" s="176"/>
      <c r="F78" s="176"/>
      <c r="G78" s="176" t="s">
        <v>794</v>
      </c>
      <c r="H78" s="180" t="s">
        <v>81</v>
      </c>
      <c r="I78" s="178" t="s">
        <v>532</v>
      </c>
      <c r="J78" s="214"/>
      <c r="K78" s="214" t="s">
        <v>795</v>
      </c>
      <c r="L78" s="221" t="s">
        <v>353</v>
      </c>
      <c r="M78" s="179"/>
      <c r="N78" s="213"/>
      <c r="O78" s="214" t="s">
        <v>796</v>
      </c>
      <c r="P78" s="202"/>
    </row>
    <row r="79" spans="1:16" ht="92.25">
      <c r="A79" s="210" t="s">
        <v>725</v>
      </c>
      <c r="B79" s="176" t="s">
        <v>797</v>
      </c>
      <c r="C79" s="176" t="s">
        <v>798</v>
      </c>
      <c r="D79" s="176"/>
      <c r="E79" s="176"/>
      <c r="F79" s="176"/>
      <c r="G79" s="176" t="s">
        <v>789</v>
      </c>
      <c r="H79" s="180" t="s">
        <v>81</v>
      </c>
      <c r="I79" s="178" t="s">
        <v>532</v>
      </c>
      <c r="J79" s="214"/>
      <c r="K79" s="214" t="s">
        <v>799</v>
      </c>
      <c r="L79" s="221" t="s">
        <v>353</v>
      </c>
      <c r="M79" s="179"/>
      <c r="N79" s="213"/>
      <c r="O79" s="214" t="s">
        <v>800</v>
      </c>
      <c r="P79" s="202"/>
    </row>
    <row r="80" spans="1:16" ht="92.25">
      <c r="A80" s="210" t="s">
        <v>725</v>
      </c>
      <c r="B80" s="176" t="s">
        <v>801</v>
      </c>
      <c r="C80" s="176" t="s">
        <v>802</v>
      </c>
      <c r="D80" s="176"/>
      <c r="E80" s="176"/>
      <c r="F80" s="176"/>
      <c r="G80" s="176" t="s">
        <v>741</v>
      </c>
      <c r="H80" s="180" t="s">
        <v>81</v>
      </c>
      <c r="I80" s="178" t="s">
        <v>532</v>
      </c>
      <c r="J80" s="214"/>
      <c r="K80" s="214" t="s">
        <v>803</v>
      </c>
      <c r="L80" s="221" t="s">
        <v>353</v>
      </c>
      <c r="M80" s="179"/>
      <c r="N80" s="213"/>
      <c r="O80" s="214" t="s">
        <v>804</v>
      </c>
      <c r="P80" s="202"/>
    </row>
    <row r="81" spans="1:16" ht="92.25">
      <c r="A81" s="210" t="s">
        <v>725</v>
      </c>
      <c r="B81" s="176" t="s">
        <v>805</v>
      </c>
      <c r="C81" s="176" t="s">
        <v>806</v>
      </c>
      <c r="D81" s="176"/>
      <c r="E81" s="176"/>
      <c r="F81" s="176"/>
      <c r="G81" s="176" t="s">
        <v>784</v>
      </c>
      <c r="H81" s="180" t="s">
        <v>81</v>
      </c>
      <c r="I81" s="178" t="s">
        <v>532</v>
      </c>
      <c r="J81" s="214"/>
      <c r="K81" s="214" t="s">
        <v>807</v>
      </c>
      <c r="L81" s="221" t="s">
        <v>353</v>
      </c>
      <c r="M81" s="179"/>
      <c r="N81" s="213"/>
      <c r="O81" s="214" t="s">
        <v>808</v>
      </c>
      <c r="P81" s="202"/>
    </row>
    <row r="82" spans="1:16" ht="92.25">
      <c r="A82" s="210" t="s">
        <v>725</v>
      </c>
      <c r="B82" s="176" t="s">
        <v>809</v>
      </c>
      <c r="C82" s="176" t="s">
        <v>810</v>
      </c>
      <c r="D82" s="176"/>
      <c r="E82" s="176"/>
      <c r="F82" s="176"/>
      <c r="G82" s="176" t="s">
        <v>811</v>
      </c>
      <c r="H82" s="180" t="s">
        <v>81</v>
      </c>
      <c r="I82" s="178" t="s">
        <v>532</v>
      </c>
      <c r="J82" s="214"/>
      <c r="K82" s="214" t="s">
        <v>812</v>
      </c>
      <c r="L82" s="221" t="s">
        <v>353</v>
      </c>
      <c r="M82" s="179"/>
      <c r="N82" s="213"/>
      <c r="O82" s="214" t="s">
        <v>813</v>
      </c>
      <c r="P82" s="202"/>
    </row>
    <row r="83" spans="1:16" ht="35.25">
      <c r="A83" s="210" t="s">
        <v>814</v>
      </c>
      <c r="B83" s="176" t="s">
        <v>815</v>
      </c>
      <c r="C83" s="176" t="s">
        <v>816</v>
      </c>
      <c r="D83" s="224" t="s">
        <v>90</v>
      </c>
      <c r="E83" s="176"/>
      <c r="F83" s="176"/>
      <c r="G83" s="176" t="s">
        <v>817</v>
      </c>
      <c r="H83" s="180" t="s">
        <v>63</v>
      </c>
      <c r="I83" s="178" t="s">
        <v>818</v>
      </c>
      <c r="J83" s="211"/>
      <c r="K83" s="211"/>
      <c r="L83" s="221" t="s">
        <v>353</v>
      </c>
      <c r="M83" s="179" t="s">
        <v>819</v>
      </c>
      <c r="N83" s="213"/>
      <c r="O83" s="214" t="s">
        <v>820</v>
      </c>
      <c r="P83" s="202"/>
    </row>
    <row r="84" spans="1:16" ht="35.25">
      <c r="A84" s="210" t="s">
        <v>814</v>
      </c>
      <c r="B84" s="176" t="s">
        <v>821</v>
      </c>
      <c r="C84" s="176" t="s">
        <v>822</v>
      </c>
      <c r="D84" s="176" t="s">
        <v>90</v>
      </c>
      <c r="E84" s="176"/>
      <c r="F84" s="176"/>
      <c r="G84" s="176" t="s">
        <v>817</v>
      </c>
      <c r="H84" s="180" t="s">
        <v>63</v>
      </c>
      <c r="I84" s="178" t="s">
        <v>818</v>
      </c>
      <c r="J84" s="211"/>
      <c r="K84" s="211"/>
      <c r="L84" s="221" t="s">
        <v>353</v>
      </c>
      <c r="M84" s="179" t="s">
        <v>819</v>
      </c>
      <c r="N84" s="213"/>
      <c r="O84" s="214" t="s">
        <v>823</v>
      </c>
      <c r="P84" s="202"/>
    </row>
    <row r="85" spans="1:16" ht="92.25">
      <c r="A85" s="210" t="s">
        <v>814</v>
      </c>
      <c r="B85" s="176" t="s">
        <v>824</v>
      </c>
      <c r="C85" s="176" t="s">
        <v>825</v>
      </c>
      <c r="D85" s="176"/>
      <c r="E85" s="176"/>
      <c r="F85" s="176"/>
      <c r="G85" s="176" t="s">
        <v>826</v>
      </c>
      <c r="H85" s="180" t="s">
        <v>75</v>
      </c>
      <c r="I85" s="178" t="s">
        <v>532</v>
      </c>
      <c r="J85" s="214"/>
      <c r="K85" s="214" t="s">
        <v>827</v>
      </c>
      <c r="L85" s="222" t="s">
        <v>363</v>
      </c>
      <c r="M85" s="179"/>
      <c r="N85" s="213"/>
      <c r="O85" s="214" t="s">
        <v>828</v>
      </c>
      <c r="P85" s="202"/>
    </row>
    <row r="86" spans="1:16" ht="92.25">
      <c r="A86" s="210" t="s">
        <v>814</v>
      </c>
      <c r="B86" s="176" t="s">
        <v>829</v>
      </c>
      <c r="C86" s="176" t="s">
        <v>830</v>
      </c>
      <c r="D86" s="176"/>
      <c r="E86" s="176"/>
      <c r="F86" s="176"/>
      <c r="G86" s="176" t="s">
        <v>826</v>
      </c>
      <c r="H86" s="180" t="s">
        <v>75</v>
      </c>
      <c r="I86" s="178" t="s">
        <v>532</v>
      </c>
      <c r="J86" s="214"/>
      <c r="K86" s="214" t="s">
        <v>831</v>
      </c>
      <c r="L86" s="221" t="s">
        <v>358</v>
      </c>
      <c r="M86" s="179"/>
      <c r="N86" s="213"/>
      <c r="O86" s="214" t="s">
        <v>832</v>
      </c>
      <c r="P86" s="202"/>
    </row>
    <row r="87" spans="1:16" ht="92.25">
      <c r="A87" s="210" t="s">
        <v>814</v>
      </c>
      <c r="B87" s="176" t="s">
        <v>833</v>
      </c>
      <c r="C87" s="176" t="s">
        <v>834</v>
      </c>
      <c r="D87" s="176"/>
      <c r="E87" s="176"/>
      <c r="F87" s="176"/>
      <c r="G87" s="176" t="s">
        <v>835</v>
      </c>
      <c r="H87" s="180" t="s">
        <v>75</v>
      </c>
      <c r="I87" s="178" t="s">
        <v>532</v>
      </c>
      <c r="J87" s="214"/>
      <c r="K87" s="214" t="s">
        <v>836</v>
      </c>
      <c r="L87" s="222" t="s">
        <v>363</v>
      </c>
      <c r="M87" s="179"/>
      <c r="N87" s="213"/>
      <c r="O87" s="214" t="s">
        <v>837</v>
      </c>
      <c r="P87" s="202"/>
    </row>
    <row r="88" spans="1:16" ht="92.25">
      <c r="A88" s="210" t="s">
        <v>814</v>
      </c>
      <c r="B88" s="176" t="s">
        <v>662</v>
      </c>
      <c r="C88" s="176" t="s">
        <v>838</v>
      </c>
      <c r="D88" s="176"/>
      <c r="E88" s="176"/>
      <c r="F88" s="176"/>
      <c r="G88" s="176" t="s">
        <v>241</v>
      </c>
      <c r="H88" s="180" t="s">
        <v>75</v>
      </c>
      <c r="I88" s="178" t="s">
        <v>665</v>
      </c>
      <c r="J88" s="214"/>
      <c r="K88" s="214" t="s">
        <v>839</v>
      </c>
      <c r="L88" s="222" t="s">
        <v>363</v>
      </c>
      <c r="M88" s="179"/>
      <c r="N88" s="213"/>
      <c r="O88" s="214" t="s">
        <v>666</v>
      </c>
      <c r="P88" s="202"/>
    </row>
    <row r="89" spans="1:16" ht="58.5">
      <c r="A89" s="210" t="s">
        <v>814</v>
      </c>
      <c r="B89" s="176" t="s">
        <v>840</v>
      </c>
      <c r="C89" s="176" t="s">
        <v>841</v>
      </c>
      <c r="D89" s="176" t="s">
        <v>99</v>
      </c>
      <c r="E89" s="176" t="s">
        <v>355</v>
      </c>
      <c r="F89" s="176"/>
      <c r="G89" s="176" t="s">
        <v>842</v>
      </c>
      <c r="H89" s="180" t="s">
        <v>75</v>
      </c>
      <c r="I89" s="178" t="s">
        <v>532</v>
      </c>
      <c r="J89" s="211"/>
      <c r="K89" s="211"/>
      <c r="L89" s="222" t="s">
        <v>363</v>
      </c>
      <c r="M89" s="179"/>
      <c r="N89" s="213"/>
      <c r="O89" s="214" t="s">
        <v>843</v>
      </c>
      <c r="P89" s="202"/>
    </row>
    <row r="90" spans="1:16" ht="92.25">
      <c r="A90" s="210" t="s">
        <v>814</v>
      </c>
      <c r="B90" s="176" t="s">
        <v>844</v>
      </c>
      <c r="C90" s="176" t="s">
        <v>845</v>
      </c>
      <c r="D90" s="176" t="s">
        <v>99</v>
      </c>
      <c r="E90" s="176"/>
      <c r="F90" s="176"/>
      <c r="G90" s="176" t="s">
        <v>846</v>
      </c>
      <c r="H90" s="180" t="s">
        <v>75</v>
      </c>
      <c r="I90" s="178" t="s">
        <v>532</v>
      </c>
      <c r="J90" s="214"/>
      <c r="K90" s="214" t="s">
        <v>847</v>
      </c>
      <c r="L90" s="222" t="s">
        <v>358</v>
      </c>
      <c r="M90" s="179"/>
      <c r="N90" s="213"/>
      <c r="O90" s="214" t="s">
        <v>848</v>
      </c>
      <c r="P90" s="202"/>
    </row>
    <row r="91" spans="1:16" s="148" customFormat="1" ht="92.25">
      <c r="A91" s="215" t="s">
        <v>814</v>
      </c>
      <c r="B91" s="181" t="s">
        <v>844</v>
      </c>
      <c r="C91" s="181" t="s">
        <v>845</v>
      </c>
      <c r="D91" s="181"/>
      <c r="E91" s="181"/>
      <c r="F91" s="181"/>
      <c r="G91" s="181"/>
      <c r="H91" s="216"/>
      <c r="I91" s="178" t="s">
        <v>532</v>
      </c>
      <c r="J91" s="225"/>
      <c r="K91" s="225" t="s">
        <v>849</v>
      </c>
      <c r="L91" s="218"/>
      <c r="M91" s="182"/>
      <c r="N91" s="219"/>
      <c r="O91" s="220"/>
      <c r="P91" s="220"/>
    </row>
    <row r="92" spans="1:16" ht="92.25">
      <c r="A92" s="210" t="s">
        <v>814</v>
      </c>
      <c r="B92" s="176" t="s">
        <v>850</v>
      </c>
      <c r="C92" s="176" t="s">
        <v>851</v>
      </c>
      <c r="D92" s="176"/>
      <c r="E92" s="176"/>
      <c r="F92" s="176"/>
      <c r="G92" s="176" t="s">
        <v>852</v>
      </c>
      <c r="H92" s="180" t="s">
        <v>87</v>
      </c>
      <c r="I92" s="178" t="s">
        <v>78</v>
      </c>
      <c r="J92" s="214"/>
      <c r="K92" s="214" t="s">
        <v>853</v>
      </c>
      <c r="L92" s="221" t="s">
        <v>358</v>
      </c>
      <c r="M92" s="179"/>
      <c r="N92" s="213"/>
      <c r="O92" s="214" t="s">
        <v>854</v>
      </c>
      <c r="P92" s="202"/>
    </row>
    <row r="93" spans="1:16" s="148" customFormat="1" ht="92.25">
      <c r="A93" s="215" t="s">
        <v>814</v>
      </c>
      <c r="B93" s="181" t="s">
        <v>855</v>
      </c>
      <c r="C93" s="181" t="s">
        <v>856</v>
      </c>
      <c r="D93" s="176"/>
      <c r="E93" s="176"/>
      <c r="F93" s="176"/>
      <c r="G93" s="176" t="s">
        <v>241</v>
      </c>
      <c r="H93" s="180" t="s">
        <v>75</v>
      </c>
      <c r="I93" s="178" t="s">
        <v>78</v>
      </c>
      <c r="J93" s="225"/>
      <c r="K93" s="225" t="s">
        <v>857</v>
      </c>
      <c r="L93" s="221" t="s">
        <v>353</v>
      </c>
      <c r="M93" s="182"/>
      <c r="N93" s="219"/>
      <c r="O93" s="225" t="s">
        <v>858</v>
      </c>
      <c r="P93" s="220"/>
    </row>
    <row r="94" spans="1:16" ht="92.25">
      <c r="A94" s="210" t="s">
        <v>814</v>
      </c>
      <c r="B94" s="176" t="s">
        <v>859</v>
      </c>
      <c r="C94" s="176" t="s">
        <v>860</v>
      </c>
      <c r="D94" s="176"/>
      <c r="E94" s="176"/>
      <c r="F94" s="176"/>
      <c r="G94" s="176" t="s">
        <v>852</v>
      </c>
      <c r="H94" s="180" t="s">
        <v>87</v>
      </c>
      <c r="I94" s="178" t="s">
        <v>78</v>
      </c>
      <c r="J94" s="214"/>
      <c r="K94" s="214" t="s">
        <v>861</v>
      </c>
      <c r="L94" s="221" t="s">
        <v>353</v>
      </c>
      <c r="M94" s="179"/>
      <c r="N94" s="213"/>
      <c r="O94" s="214" t="s">
        <v>862</v>
      </c>
      <c r="P94" s="202"/>
    </row>
    <row r="95" spans="1:16" s="148" customFormat="1" ht="92.25">
      <c r="A95" s="215" t="s">
        <v>814</v>
      </c>
      <c r="B95" s="181" t="s">
        <v>863</v>
      </c>
      <c r="C95" s="181" t="s">
        <v>864</v>
      </c>
      <c r="D95" s="181"/>
      <c r="E95" s="181"/>
      <c r="F95" s="181"/>
      <c r="G95" s="181"/>
      <c r="H95" s="216"/>
      <c r="I95" s="178" t="s">
        <v>78</v>
      </c>
      <c r="J95" s="225"/>
      <c r="K95" s="225" t="s">
        <v>865</v>
      </c>
      <c r="L95" s="218"/>
      <c r="M95" s="182"/>
      <c r="N95" s="219"/>
      <c r="O95" s="220"/>
      <c r="P95" s="220"/>
    </row>
    <row r="96" spans="1:16" ht="23.25">
      <c r="A96" s="210" t="s">
        <v>814</v>
      </c>
      <c r="B96" s="176" t="s">
        <v>866</v>
      </c>
      <c r="C96" s="176" t="s">
        <v>867</v>
      </c>
      <c r="D96" s="176"/>
      <c r="E96" s="176"/>
      <c r="F96" s="176"/>
      <c r="G96" s="176" t="s">
        <v>868</v>
      </c>
      <c r="H96" s="180" t="s">
        <v>87</v>
      </c>
      <c r="I96" s="178" t="s">
        <v>78</v>
      </c>
      <c r="J96" s="211"/>
      <c r="K96" s="211"/>
      <c r="L96" s="221" t="s">
        <v>358</v>
      </c>
      <c r="M96" s="179"/>
      <c r="N96" s="213"/>
      <c r="O96" s="214" t="s">
        <v>869</v>
      </c>
      <c r="P96" s="202"/>
    </row>
    <row r="97" spans="1:16" ht="58.5">
      <c r="A97" s="210" t="s">
        <v>814</v>
      </c>
      <c r="B97" s="176" t="s">
        <v>870</v>
      </c>
      <c r="C97" s="176" t="s">
        <v>871</v>
      </c>
      <c r="D97" s="176"/>
      <c r="E97" s="176"/>
      <c r="F97" s="176"/>
      <c r="G97" s="176" t="s">
        <v>872</v>
      </c>
      <c r="H97" s="180" t="s">
        <v>370</v>
      </c>
      <c r="I97" s="178" t="s">
        <v>532</v>
      </c>
      <c r="J97" s="211"/>
      <c r="K97" s="211"/>
      <c r="L97" s="212" t="s">
        <v>353</v>
      </c>
      <c r="M97" s="179"/>
      <c r="N97" s="213"/>
      <c r="O97" s="214" t="s">
        <v>873</v>
      </c>
      <c r="P97" s="202"/>
    </row>
    <row r="98" spans="1:16" ht="58.5">
      <c r="A98" s="210" t="s">
        <v>814</v>
      </c>
      <c r="B98" s="176" t="s">
        <v>874</v>
      </c>
      <c r="C98" s="176" t="s">
        <v>875</v>
      </c>
      <c r="D98" s="176"/>
      <c r="E98" s="176"/>
      <c r="F98" s="176"/>
      <c r="G98" s="176" t="s">
        <v>400</v>
      </c>
      <c r="H98" s="180" t="s">
        <v>81</v>
      </c>
      <c r="I98" s="178" t="s">
        <v>532</v>
      </c>
      <c r="J98" s="211"/>
      <c r="K98" s="211"/>
      <c r="L98" s="222" t="s">
        <v>353</v>
      </c>
      <c r="M98" s="179"/>
      <c r="N98" s="213"/>
      <c r="O98" s="214" t="s">
        <v>876</v>
      </c>
      <c r="P98" s="202"/>
    </row>
    <row r="99" spans="1:16" s="148" customFormat="1" ht="92.25">
      <c r="A99" s="215" t="s">
        <v>814</v>
      </c>
      <c r="B99" s="181" t="s">
        <v>863</v>
      </c>
      <c r="C99" s="181" t="s">
        <v>877</v>
      </c>
      <c r="D99" s="181"/>
      <c r="E99" s="181"/>
      <c r="F99" s="181"/>
      <c r="G99" s="181"/>
      <c r="H99" s="216"/>
      <c r="I99" s="178"/>
      <c r="J99" s="225"/>
      <c r="K99" s="225" t="s">
        <v>878</v>
      </c>
      <c r="L99" s="218"/>
      <c r="M99" s="182"/>
      <c r="N99" s="219"/>
      <c r="O99" s="220"/>
      <c r="P99" s="220"/>
    </row>
    <row r="100" spans="1:16" s="148" customFormat="1" ht="92.25">
      <c r="A100" s="215" t="s">
        <v>814</v>
      </c>
      <c r="B100" s="181" t="s">
        <v>863</v>
      </c>
      <c r="C100" s="181" t="s">
        <v>879</v>
      </c>
      <c r="D100" s="181"/>
      <c r="E100" s="181"/>
      <c r="F100" s="181"/>
      <c r="G100" s="181"/>
      <c r="H100" s="216"/>
      <c r="I100" s="178"/>
      <c r="J100" s="225"/>
      <c r="K100" s="225" t="s">
        <v>880</v>
      </c>
      <c r="L100" s="218"/>
      <c r="M100" s="182"/>
      <c r="N100" s="219"/>
      <c r="O100" s="220"/>
      <c r="P100" s="220"/>
    </row>
    <row r="101" spans="1:16" s="148" customFormat="1" ht="92.25">
      <c r="A101" s="215" t="s">
        <v>814</v>
      </c>
      <c r="B101" s="181" t="s">
        <v>863</v>
      </c>
      <c r="C101" s="181" t="s">
        <v>881</v>
      </c>
      <c r="D101" s="181"/>
      <c r="E101" s="181"/>
      <c r="F101" s="181"/>
      <c r="G101" s="181"/>
      <c r="H101" s="216"/>
      <c r="I101" s="178"/>
      <c r="J101" s="225"/>
      <c r="K101" s="225" t="s">
        <v>882</v>
      </c>
      <c r="L101" s="218"/>
      <c r="M101" s="182"/>
      <c r="N101" s="219"/>
      <c r="O101" s="220"/>
      <c r="P101" s="220"/>
    </row>
    <row r="102" spans="1:16" s="148" customFormat="1" ht="92.25">
      <c r="A102" s="215" t="s">
        <v>814</v>
      </c>
      <c r="B102" s="181" t="s">
        <v>863</v>
      </c>
      <c r="C102" s="181" t="s">
        <v>883</v>
      </c>
      <c r="D102" s="181"/>
      <c r="E102" s="181"/>
      <c r="F102" s="181"/>
      <c r="G102" s="181"/>
      <c r="H102" s="216"/>
      <c r="I102" s="178"/>
      <c r="J102" s="225"/>
      <c r="K102" s="225" t="s">
        <v>884</v>
      </c>
      <c r="L102" s="218"/>
      <c r="M102" s="182"/>
      <c r="N102" s="219"/>
      <c r="O102" s="220"/>
      <c r="P102" s="220"/>
    </row>
    <row r="103" spans="1:16" s="148" customFormat="1" ht="92.25">
      <c r="A103" s="215" t="s">
        <v>814</v>
      </c>
      <c r="B103" s="181" t="s">
        <v>863</v>
      </c>
      <c r="C103" s="181" t="s">
        <v>885</v>
      </c>
      <c r="D103" s="181"/>
      <c r="E103" s="181"/>
      <c r="F103" s="181"/>
      <c r="G103" s="181"/>
      <c r="H103" s="216"/>
      <c r="I103" s="178"/>
      <c r="J103" s="225"/>
      <c r="K103" s="225" t="s">
        <v>886</v>
      </c>
      <c r="L103" s="218"/>
      <c r="M103" s="182"/>
      <c r="N103" s="219"/>
      <c r="O103" s="220"/>
      <c r="P103" s="220"/>
    </row>
    <row r="104" spans="1:16" ht="92.25">
      <c r="A104" s="210" t="s">
        <v>887</v>
      </c>
      <c r="B104" s="176" t="s">
        <v>888</v>
      </c>
      <c r="C104" s="176" t="s">
        <v>889</v>
      </c>
      <c r="D104" s="176"/>
      <c r="E104" s="176"/>
      <c r="F104" s="176"/>
      <c r="G104" s="176" t="s">
        <v>890</v>
      </c>
      <c r="H104" s="180" t="s">
        <v>75</v>
      </c>
      <c r="I104" s="178" t="s">
        <v>818</v>
      </c>
      <c r="J104" s="214"/>
      <c r="K104" s="214" t="s">
        <v>891</v>
      </c>
      <c r="L104" s="221" t="s">
        <v>358</v>
      </c>
      <c r="M104" s="179" t="s">
        <v>819</v>
      </c>
      <c r="N104" s="213"/>
      <c r="O104" s="214" t="s">
        <v>892</v>
      </c>
      <c r="P104" s="202"/>
    </row>
    <row r="105" spans="1:16" ht="92.25">
      <c r="A105" s="210" t="s">
        <v>887</v>
      </c>
      <c r="B105" s="176" t="s">
        <v>893</v>
      </c>
      <c r="C105" s="176" t="s">
        <v>894</v>
      </c>
      <c r="D105" s="176"/>
      <c r="E105" s="176"/>
      <c r="F105" s="176"/>
      <c r="G105" s="176" t="s">
        <v>895</v>
      </c>
      <c r="H105" s="180" t="s">
        <v>242</v>
      </c>
      <c r="I105" s="178" t="s">
        <v>78</v>
      </c>
      <c r="J105" s="214"/>
      <c r="K105" s="214" t="s">
        <v>896</v>
      </c>
      <c r="L105" s="221" t="s">
        <v>358</v>
      </c>
      <c r="M105" s="179"/>
      <c r="N105" s="213"/>
      <c r="O105" s="214" t="s">
        <v>897</v>
      </c>
      <c r="P105" s="202"/>
    </row>
    <row r="106" spans="1:16" ht="23.25">
      <c r="A106" s="210" t="s">
        <v>887</v>
      </c>
      <c r="B106" s="176" t="s">
        <v>898</v>
      </c>
      <c r="C106" s="176" t="s">
        <v>899</v>
      </c>
      <c r="D106" s="176"/>
      <c r="E106" s="176"/>
      <c r="F106" s="176"/>
      <c r="G106" s="176" t="s">
        <v>900</v>
      </c>
      <c r="H106" s="180" t="s">
        <v>75</v>
      </c>
      <c r="I106" s="178" t="s">
        <v>78</v>
      </c>
      <c r="J106" s="211"/>
      <c r="K106" s="211"/>
      <c r="L106" s="221" t="s">
        <v>363</v>
      </c>
      <c r="M106" s="179"/>
      <c r="N106" s="213"/>
      <c r="O106" s="214" t="s">
        <v>901</v>
      </c>
      <c r="P106" s="202"/>
    </row>
    <row r="107" spans="1:16" s="148" customFormat="1" ht="92.25">
      <c r="A107" s="215" t="s">
        <v>887</v>
      </c>
      <c r="B107" s="181" t="s">
        <v>902</v>
      </c>
      <c r="C107" s="181" t="s">
        <v>903</v>
      </c>
      <c r="D107" s="181"/>
      <c r="E107" s="181"/>
      <c r="F107" s="181"/>
      <c r="G107" s="181" t="s">
        <v>86</v>
      </c>
      <c r="H107" s="180" t="s">
        <v>75</v>
      </c>
      <c r="I107" s="178" t="s">
        <v>904</v>
      </c>
      <c r="J107" s="225"/>
      <c r="K107" s="225" t="s">
        <v>905</v>
      </c>
      <c r="L107" s="218"/>
      <c r="M107" s="182"/>
      <c r="N107" s="219"/>
      <c r="O107" s="220"/>
      <c r="P107" s="220"/>
    </row>
    <row r="108" spans="1:16" s="148" customFormat="1" ht="92.25">
      <c r="A108" s="215" t="s">
        <v>887</v>
      </c>
      <c r="B108" s="181" t="s">
        <v>906</v>
      </c>
      <c r="C108" s="181" t="s">
        <v>907</v>
      </c>
      <c r="D108" s="181"/>
      <c r="E108" s="181" t="s">
        <v>633</v>
      </c>
      <c r="F108" s="181"/>
      <c r="G108" s="181" t="s">
        <v>908</v>
      </c>
      <c r="H108" s="180" t="s">
        <v>75</v>
      </c>
      <c r="I108" s="178" t="s">
        <v>904</v>
      </c>
      <c r="J108" s="225"/>
      <c r="K108" s="225" t="s">
        <v>909</v>
      </c>
      <c r="L108" s="218" t="s">
        <v>358</v>
      </c>
      <c r="M108" s="182"/>
      <c r="N108" s="219"/>
      <c r="O108" s="225" t="s">
        <v>910</v>
      </c>
      <c r="P108" s="220"/>
    </row>
    <row r="109" spans="1:16" s="148" customFormat="1" ht="92.25">
      <c r="A109" s="215" t="s">
        <v>887</v>
      </c>
      <c r="B109" s="181" t="s">
        <v>911</v>
      </c>
      <c r="C109" s="181" t="s">
        <v>912</v>
      </c>
      <c r="D109" s="181"/>
      <c r="E109" s="181"/>
      <c r="F109" s="181"/>
      <c r="G109" s="181" t="s">
        <v>908</v>
      </c>
      <c r="H109" s="180" t="s">
        <v>75</v>
      </c>
      <c r="I109" s="178" t="s">
        <v>904</v>
      </c>
      <c r="J109" s="225"/>
      <c r="K109" s="225" t="s">
        <v>913</v>
      </c>
      <c r="L109" s="218"/>
      <c r="M109" s="182"/>
      <c r="N109" s="219"/>
      <c r="O109" s="220"/>
      <c r="P109" s="220" t="s">
        <v>914</v>
      </c>
    </row>
    <row r="110" spans="1:16" s="148" customFormat="1" ht="92.25">
      <c r="A110" s="215" t="s">
        <v>887</v>
      </c>
      <c r="B110" s="181" t="s">
        <v>915</v>
      </c>
      <c r="C110" s="181" t="s">
        <v>916</v>
      </c>
      <c r="D110" s="181"/>
      <c r="E110" s="181"/>
      <c r="F110" s="181"/>
      <c r="G110" s="181" t="s">
        <v>908</v>
      </c>
      <c r="H110" s="180" t="s">
        <v>75</v>
      </c>
      <c r="I110" s="178" t="s">
        <v>904</v>
      </c>
      <c r="J110" s="225"/>
      <c r="K110" s="225" t="s">
        <v>917</v>
      </c>
      <c r="L110" s="218"/>
      <c r="M110" s="182"/>
      <c r="N110" s="219"/>
      <c r="O110" s="225"/>
      <c r="P110" s="220"/>
    </row>
    <row r="111" spans="1:16" ht="92.25">
      <c r="A111" s="210" t="s">
        <v>887</v>
      </c>
      <c r="B111" s="178" t="s">
        <v>906</v>
      </c>
      <c r="C111" s="176" t="s">
        <v>918</v>
      </c>
      <c r="D111" s="176"/>
      <c r="E111" s="176"/>
      <c r="F111" s="176"/>
      <c r="G111" s="176" t="s">
        <v>908</v>
      </c>
      <c r="H111" s="180" t="s">
        <v>75</v>
      </c>
      <c r="I111" s="178" t="s">
        <v>904</v>
      </c>
      <c r="J111" s="214"/>
      <c r="K111" s="214" t="s">
        <v>919</v>
      </c>
      <c r="L111" s="222"/>
      <c r="M111" s="179"/>
      <c r="N111" s="213"/>
      <c r="O111" s="214" t="s">
        <v>910</v>
      </c>
      <c r="P111" s="202"/>
    </row>
    <row r="112" spans="1:16" ht="58.5">
      <c r="A112" s="210" t="s">
        <v>887</v>
      </c>
      <c r="B112" s="176" t="s">
        <v>920</v>
      </c>
      <c r="C112" s="176" t="s">
        <v>921</v>
      </c>
      <c r="D112" s="176"/>
      <c r="E112" s="176"/>
      <c r="F112" s="176"/>
      <c r="G112" s="176" t="s">
        <v>922</v>
      </c>
      <c r="H112" s="180" t="s">
        <v>75</v>
      </c>
      <c r="I112" s="178" t="s">
        <v>532</v>
      </c>
      <c r="J112" s="211"/>
      <c r="K112" s="211"/>
      <c r="L112" s="222" t="s">
        <v>358</v>
      </c>
      <c r="M112" s="179"/>
      <c r="N112" s="213"/>
      <c r="O112" s="214" t="s">
        <v>923</v>
      </c>
      <c r="P112" s="202"/>
    </row>
    <row r="113" spans="1:16" ht="46.5">
      <c r="A113" s="210" t="s">
        <v>887</v>
      </c>
      <c r="B113" s="176" t="s">
        <v>924</v>
      </c>
      <c r="C113" s="176" t="s">
        <v>925</v>
      </c>
      <c r="D113" s="176"/>
      <c r="E113" s="176"/>
      <c r="F113" s="176"/>
      <c r="G113" s="176" t="s">
        <v>926</v>
      </c>
      <c r="H113" s="180" t="s">
        <v>75</v>
      </c>
      <c r="I113" s="178" t="s">
        <v>927</v>
      </c>
      <c r="J113" s="211"/>
      <c r="K113" s="211"/>
      <c r="L113" s="222" t="s">
        <v>358</v>
      </c>
      <c r="M113" s="179" t="s">
        <v>928</v>
      </c>
      <c r="N113" s="213"/>
      <c r="O113" s="214" t="s">
        <v>929</v>
      </c>
      <c r="P113" s="202"/>
    </row>
    <row r="114" spans="1:16" ht="92.25">
      <c r="A114" s="210" t="s">
        <v>887</v>
      </c>
      <c r="B114" s="176" t="s">
        <v>930</v>
      </c>
      <c r="C114" s="176" t="s">
        <v>931</v>
      </c>
      <c r="D114" s="176"/>
      <c r="E114" s="176"/>
      <c r="F114" s="176"/>
      <c r="G114" s="176" t="s">
        <v>932</v>
      </c>
      <c r="H114" s="180" t="s">
        <v>373</v>
      </c>
      <c r="I114" s="178" t="s">
        <v>532</v>
      </c>
      <c r="J114" s="214"/>
      <c r="K114" s="214" t="s">
        <v>933</v>
      </c>
      <c r="L114" s="221" t="s">
        <v>353</v>
      </c>
      <c r="M114" s="179"/>
      <c r="N114" s="213"/>
      <c r="O114" s="214" t="s">
        <v>934</v>
      </c>
      <c r="P114" s="202"/>
    </row>
    <row r="115" spans="1:16" ht="92.25">
      <c r="A115" s="210" t="s">
        <v>887</v>
      </c>
      <c r="B115" s="176" t="s">
        <v>935</v>
      </c>
      <c r="C115" s="176" t="s">
        <v>936</v>
      </c>
      <c r="D115" s="176"/>
      <c r="E115" s="176"/>
      <c r="F115" s="176"/>
      <c r="G115" s="176" t="s">
        <v>937</v>
      </c>
      <c r="H115" s="180" t="s">
        <v>370</v>
      </c>
      <c r="I115" s="226" t="s">
        <v>82</v>
      </c>
      <c r="J115" s="214"/>
      <c r="K115" s="214" t="s">
        <v>938</v>
      </c>
      <c r="L115" s="212" t="s">
        <v>353</v>
      </c>
      <c r="M115" s="179"/>
      <c r="N115" s="213"/>
      <c r="O115" s="214" t="s">
        <v>939</v>
      </c>
      <c r="P115" s="202"/>
    </row>
    <row r="116" spans="1:16" ht="23.25">
      <c r="A116" s="210" t="s">
        <v>887</v>
      </c>
      <c r="B116" s="176" t="s">
        <v>940</v>
      </c>
      <c r="C116" s="176" t="s">
        <v>941</v>
      </c>
      <c r="D116" s="176" t="s">
        <v>99</v>
      </c>
      <c r="E116" s="176"/>
      <c r="F116" s="176"/>
      <c r="G116" s="176" t="s">
        <v>351</v>
      </c>
      <c r="H116" s="180" t="s">
        <v>87</v>
      </c>
      <c r="I116" s="226" t="s">
        <v>82</v>
      </c>
      <c r="J116" s="211"/>
      <c r="K116" s="211"/>
      <c r="L116" s="221" t="s">
        <v>353</v>
      </c>
      <c r="M116" s="179"/>
      <c r="N116" s="213"/>
      <c r="O116" s="214" t="s">
        <v>942</v>
      </c>
      <c r="P116" s="202"/>
    </row>
    <row r="117" spans="1:16" ht="92.25">
      <c r="A117" s="210" t="s">
        <v>887</v>
      </c>
      <c r="B117" s="176" t="s">
        <v>943</v>
      </c>
      <c r="C117" s="176" t="s">
        <v>944</v>
      </c>
      <c r="D117" s="176"/>
      <c r="E117" s="176"/>
      <c r="F117" s="176"/>
      <c r="G117" s="176" t="s">
        <v>932</v>
      </c>
      <c r="H117" s="180" t="s">
        <v>81</v>
      </c>
      <c r="I117" s="226" t="s">
        <v>82</v>
      </c>
      <c r="J117" s="214"/>
      <c r="K117" s="214" t="s">
        <v>945</v>
      </c>
      <c r="L117" s="221" t="s">
        <v>353</v>
      </c>
      <c r="M117" s="179"/>
      <c r="N117" s="213"/>
      <c r="O117" s="214" t="s">
        <v>946</v>
      </c>
      <c r="P117" s="202"/>
    </row>
    <row r="118" spans="1:16" ht="23.25">
      <c r="A118" s="210" t="s">
        <v>887</v>
      </c>
      <c r="B118" s="176" t="s">
        <v>947</v>
      </c>
      <c r="C118" s="176" t="s">
        <v>948</v>
      </c>
      <c r="D118" s="176"/>
      <c r="E118" s="176"/>
      <c r="F118" s="176"/>
      <c r="G118" s="176" t="s">
        <v>86</v>
      </c>
      <c r="H118" s="180" t="s">
        <v>75</v>
      </c>
      <c r="I118" s="192" t="s">
        <v>110</v>
      </c>
      <c r="J118" s="211"/>
      <c r="K118" s="211"/>
      <c r="L118" s="222" t="s">
        <v>353</v>
      </c>
      <c r="M118" s="179"/>
      <c r="N118" s="213"/>
      <c r="O118" s="214" t="s">
        <v>949</v>
      </c>
      <c r="P118" s="202"/>
    </row>
    <row r="119" spans="1:16" ht="92.25">
      <c r="A119" s="210" t="s">
        <v>887</v>
      </c>
      <c r="B119" s="176" t="s">
        <v>950</v>
      </c>
      <c r="C119" s="176" t="s">
        <v>951</v>
      </c>
      <c r="D119" s="176"/>
      <c r="E119" s="176"/>
      <c r="F119" s="176"/>
      <c r="G119" s="176" t="s">
        <v>952</v>
      </c>
      <c r="H119" s="180" t="s">
        <v>373</v>
      </c>
      <c r="I119" s="178" t="s">
        <v>532</v>
      </c>
      <c r="J119" s="214"/>
      <c r="K119" s="214" t="s">
        <v>953</v>
      </c>
      <c r="L119" s="221" t="s">
        <v>353</v>
      </c>
      <c r="M119" s="179"/>
      <c r="N119" s="213"/>
      <c r="O119" s="214" t="s">
        <v>954</v>
      </c>
      <c r="P119" s="202"/>
    </row>
    <row r="120" spans="1:16" ht="92.25">
      <c r="A120" s="210" t="s">
        <v>887</v>
      </c>
      <c r="B120" s="176" t="s">
        <v>955</v>
      </c>
      <c r="C120" s="176" t="s">
        <v>956</v>
      </c>
      <c r="D120" s="176" t="s">
        <v>957</v>
      </c>
      <c r="E120" s="176"/>
      <c r="F120" s="176"/>
      <c r="G120" s="176" t="s">
        <v>96</v>
      </c>
      <c r="H120" s="180" t="s">
        <v>63</v>
      </c>
      <c r="I120" s="192" t="s">
        <v>97</v>
      </c>
      <c r="J120" s="214"/>
      <c r="K120" s="214" t="s">
        <v>958</v>
      </c>
      <c r="L120" s="221" t="s">
        <v>353</v>
      </c>
      <c r="M120" s="179"/>
      <c r="N120" s="213"/>
      <c r="O120" s="214" t="s">
        <v>959</v>
      </c>
      <c r="P120" s="202"/>
    </row>
    <row r="121" spans="1:16" ht="23.25">
      <c r="A121" s="210" t="s">
        <v>887</v>
      </c>
      <c r="B121" s="176" t="s">
        <v>960</v>
      </c>
      <c r="C121" s="176" t="s">
        <v>961</v>
      </c>
      <c r="D121" s="176"/>
      <c r="E121" s="176"/>
      <c r="F121" s="176"/>
      <c r="G121" s="176" t="s">
        <v>379</v>
      </c>
      <c r="H121" s="180" t="s">
        <v>370</v>
      </c>
      <c r="I121" s="226" t="s">
        <v>82</v>
      </c>
      <c r="J121" s="211"/>
      <c r="K121" s="211"/>
      <c r="L121" s="221" t="s">
        <v>353</v>
      </c>
      <c r="M121" s="179"/>
      <c r="N121" s="213"/>
      <c r="O121" s="214" t="s">
        <v>962</v>
      </c>
      <c r="P121" s="202"/>
    </row>
    <row r="122" spans="1:16" ht="92.25">
      <c r="A122" s="210" t="s">
        <v>887</v>
      </c>
      <c r="B122" s="178" t="s">
        <v>963</v>
      </c>
      <c r="C122" s="176" t="s">
        <v>964</v>
      </c>
      <c r="D122" s="176"/>
      <c r="E122" s="176"/>
      <c r="F122" s="176"/>
      <c r="G122" s="176"/>
      <c r="H122" s="180"/>
      <c r="I122" s="178" t="s">
        <v>818</v>
      </c>
      <c r="J122" s="214"/>
      <c r="K122" s="214" t="s">
        <v>965</v>
      </c>
      <c r="L122" s="221"/>
      <c r="M122" s="179"/>
      <c r="N122" s="213"/>
      <c r="O122" s="202"/>
      <c r="P122" s="202" t="s">
        <v>914</v>
      </c>
    </row>
    <row r="123" spans="1:16" ht="92.25">
      <c r="A123" s="210" t="s">
        <v>887</v>
      </c>
      <c r="B123" s="176" t="s">
        <v>966</v>
      </c>
      <c r="C123" s="176" t="s">
        <v>967</v>
      </c>
      <c r="D123" s="176"/>
      <c r="E123" s="176"/>
      <c r="F123" s="176"/>
      <c r="G123" s="176" t="s">
        <v>968</v>
      </c>
      <c r="H123" s="180" t="s">
        <v>370</v>
      </c>
      <c r="I123" s="178" t="s">
        <v>532</v>
      </c>
      <c r="J123" s="214"/>
      <c r="K123" s="214" t="s">
        <v>969</v>
      </c>
      <c r="L123" s="221" t="s">
        <v>353</v>
      </c>
      <c r="M123" s="179"/>
      <c r="N123" s="213"/>
      <c r="O123" s="214" t="s">
        <v>970</v>
      </c>
      <c r="P123" s="202"/>
    </row>
    <row r="124" spans="1:16" ht="92.25">
      <c r="A124" s="210" t="s">
        <v>887</v>
      </c>
      <c r="B124" s="176" t="s">
        <v>971</v>
      </c>
      <c r="C124" s="176" t="s">
        <v>972</v>
      </c>
      <c r="D124" s="176" t="s">
        <v>49</v>
      </c>
      <c r="E124" s="176"/>
      <c r="F124" s="176"/>
      <c r="G124" s="176" t="s">
        <v>385</v>
      </c>
      <c r="H124" s="180" t="s">
        <v>373</v>
      </c>
      <c r="I124" s="192" t="s">
        <v>67</v>
      </c>
      <c r="J124" s="214"/>
      <c r="K124" s="214" t="s">
        <v>973</v>
      </c>
      <c r="L124" s="221" t="s">
        <v>353</v>
      </c>
      <c r="M124" s="179"/>
      <c r="N124" s="213"/>
      <c r="O124" s="214" t="s">
        <v>974</v>
      </c>
      <c r="P124" s="202"/>
    </row>
    <row r="125" spans="1:16" ht="92.25">
      <c r="A125" s="210" t="s">
        <v>887</v>
      </c>
      <c r="B125" s="176" t="s">
        <v>975</v>
      </c>
      <c r="C125" s="176" t="s">
        <v>976</v>
      </c>
      <c r="D125" s="176" t="s">
        <v>29</v>
      </c>
      <c r="E125" s="176"/>
      <c r="F125" s="176"/>
      <c r="G125" s="176" t="s">
        <v>977</v>
      </c>
      <c r="H125" s="180" t="s">
        <v>87</v>
      </c>
      <c r="I125" s="178" t="s">
        <v>532</v>
      </c>
      <c r="J125" s="214"/>
      <c r="K125" s="214" t="s">
        <v>978</v>
      </c>
      <c r="L125" s="222" t="s">
        <v>353</v>
      </c>
      <c r="M125" s="179"/>
      <c r="N125" s="213"/>
      <c r="O125" s="214" t="s">
        <v>979</v>
      </c>
      <c r="P125" s="202"/>
    </row>
    <row r="126" spans="1:16" s="148" customFormat="1" ht="92.25">
      <c r="A126" s="215" t="s">
        <v>887</v>
      </c>
      <c r="B126" s="181" t="s">
        <v>980</v>
      </c>
      <c r="C126" s="181" t="s">
        <v>981</v>
      </c>
      <c r="D126" s="181"/>
      <c r="E126" s="181"/>
      <c r="F126" s="181"/>
      <c r="G126" s="181" t="s">
        <v>96</v>
      </c>
      <c r="H126" s="216" t="s">
        <v>63</v>
      </c>
      <c r="I126" s="192" t="s">
        <v>97</v>
      </c>
      <c r="J126" s="225"/>
      <c r="K126" s="225" t="s">
        <v>982</v>
      </c>
      <c r="L126" s="218" t="s">
        <v>353</v>
      </c>
      <c r="M126" s="182"/>
      <c r="N126" s="219"/>
      <c r="O126" s="220"/>
      <c r="P126" s="220" t="s">
        <v>914</v>
      </c>
    </row>
    <row r="127" spans="1:16" ht="92.25">
      <c r="A127" s="210" t="s">
        <v>887</v>
      </c>
      <c r="B127" s="176" t="s">
        <v>983</v>
      </c>
      <c r="C127" s="176" t="s">
        <v>984</v>
      </c>
      <c r="D127" s="176"/>
      <c r="E127" s="176" t="s">
        <v>633</v>
      </c>
      <c r="F127" s="176"/>
      <c r="G127" s="176" t="s">
        <v>86</v>
      </c>
      <c r="H127" s="180" t="s">
        <v>134</v>
      </c>
      <c r="I127" s="192" t="s">
        <v>110</v>
      </c>
      <c r="J127" s="214"/>
      <c r="K127" s="214" t="s">
        <v>985</v>
      </c>
      <c r="L127" s="222" t="s">
        <v>353</v>
      </c>
      <c r="M127" s="179"/>
      <c r="N127" s="213"/>
      <c r="O127" s="214" t="s">
        <v>986</v>
      </c>
      <c r="P127" s="202"/>
    </row>
    <row r="128" spans="1:16" ht="92.25">
      <c r="A128" s="210" t="s">
        <v>887</v>
      </c>
      <c r="B128" s="178" t="s">
        <v>947</v>
      </c>
      <c r="C128" s="176" t="s">
        <v>948</v>
      </c>
      <c r="D128" s="176"/>
      <c r="E128" s="176"/>
      <c r="F128" s="176"/>
      <c r="G128" s="176" t="s">
        <v>86</v>
      </c>
      <c r="H128" s="180" t="s">
        <v>134</v>
      </c>
      <c r="I128" s="192" t="s">
        <v>110</v>
      </c>
      <c r="J128" s="214"/>
      <c r="K128" s="214" t="s">
        <v>987</v>
      </c>
      <c r="L128" s="222"/>
      <c r="M128" s="179"/>
      <c r="N128" s="213"/>
      <c r="O128" s="214" t="s">
        <v>949</v>
      </c>
      <c r="P128" s="202"/>
    </row>
    <row r="129" spans="1:16" ht="92.25">
      <c r="A129" s="210" t="s">
        <v>887</v>
      </c>
      <c r="B129" s="176" t="s">
        <v>988</v>
      </c>
      <c r="C129" s="176" t="s">
        <v>989</v>
      </c>
      <c r="D129" s="176"/>
      <c r="E129" s="176"/>
      <c r="F129" s="176"/>
      <c r="G129" s="176" t="s">
        <v>990</v>
      </c>
      <c r="H129" s="180" t="s">
        <v>81</v>
      </c>
      <c r="I129" s="178" t="s">
        <v>532</v>
      </c>
      <c r="J129" s="214"/>
      <c r="K129" s="214" t="s">
        <v>991</v>
      </c>
      <c r="L129" s="221" t="s">
        <v>353</v>
      </c>
      <c r="M129" s="179"/>
      <c r="N129" s="213"/>
      <c r="O129" s="214" t="s">
        <v>992</v>
      </c>
      <c r="P129" s="202"/>
    </row>
    <row r="130" spans="1:16" s="149" customFormat="1" ht="58.5">
      <c r="A130" s="227" t="s">
        <v>887</v>
      </c>
      <c r="B130" s="189" t="s">
        <v>993</v>
      </c>
      <c r="C130" s="189" t="s">
        <v>993</v>
      </c>
      <c r="D130" s="189"/>
      <c r="E130" s="189"/>
      <c r="F130" s="189"/>
      <c r="G130" s="189" t="s">
        <v>994</v>
      </c>
      <c r="H130" s="228"/>
      <c r="I130" s="178" t="s">
        <v>532</v>
      </c>
      <c r="J130" s="229"/>
      <c r="K130" s="229"/>
      <c r="L130" s="230" t="s">
        <v>353</v>
      </c>
      <c r="M130" s="190"/>
      <c r="N130" s="231"/>
      <c r="O130" s="232"/>
      <c r="P130" s="232"/>
    </row>
    <row r="131" spans="1:16" ht="92.25">
      <c r="A131" s="210" t="s">
        <v>887</v>
      </c>
      <c r="B131" s="176" t="s">
        <v>995</v>
      </c>
      <c r="C131" s="176" t="s">
        <v>996</v>
      </c>
      <c r="D131" s="176"/>
      <c r="E131" s="176"/>
      <c r="F131" s="176"/>
      <c r="G131" s="176" t="s">
        <v>997</v>
      </c>
      <c r="H131" s="180" t="s">
        <v>370</v>
      </c>
      <c r="I131" s="226" t="s">
        <v>82</v>
      </c>
      <c r="J131" s="214"/>
      <c r="K131" s="214" t="s">
        <v>998</v>
      </c>
      <c r="L131" s="212" t="s">
        <v>353</v>
      </c>
      <c r="M131" s="179"/>
      <c r="N131" s="213"/>
      <c r="O131" s="214" t="s">
        <v>999</v>
      </c>
      <c r="P131" s="202"/>
    </row>
    <row r="132" spans="1:16" ht="92.25">
      <c r="A132" s="210" t="s">
        <v>1000</v>
      </c>
      <c r="B132" s="176" t="s">
        <v>1001</v>
      </c>
      <c r="C132" s="176" t="s">
        <v>1002</v>
      </c>
      <c r="D132" s="176"/>
      <c r="E132" s="176"/>
      <c r="F132" s="176"/>
      <c r="G132" s="176" t="s">
        <v>872</v>
      </c>
      <c r="H132" s="180" t="s">
        <v>373</v>
      </c>
      <c r="I132" s="192" t="s">
        <v>92</v>
      </c>
      <c r="J132" s="234" t="s">
        <v>1003</v>
      </c>
      <c r="K132" s="211"/>
      <c r="L132" s="221" t="s">
        <v>353</v>
      </c>
      <c r="M132" s="179" t="s">
        <v>819</v>
      </c>
      <c r="N132" s="213"/>
      <c r="O132" s="214" t="s">
        <v>1004</v>
      </c>
      <c r="P132" s="202"/>
    </row>
    <row r="133" spans="1:16" ht="92.25">
      <c r="A133" s="210" t="s">
        <v>1000</v>
      </c>
      <c r="B133" s="176" t="s">
        <v>1005</v>
      </c>
      <c r="C133" s="176" t="s">
        <v>1006</v>
      </c>
      <c r="D133" s="176"/>
      <c r="E133" s="176" t="s">
        <v>633</v>
      </c>
      <c r="F133" s="176"/>
      <c r="G133" s="176" t="s">
        <v>1007</v>
      </c>
      <c r="H133" s="180" t="s">
        <v>75</v>
      </c>
      <c r="I133" s="192" t="s">
        <v>378</v>
      </c>
      <c r="J133" s="234" t="s">
        <v>1008</v>
      </c>
      <c r="K133" s="211"/>
      <c r="L133" s="222" t="s">
        <v>358</v>
      </c>
      <c r="M133" s="179"/>
      <c r="N133" s="213"/>
      <c r="O133" s="214" t="s">
        <v>1009</v>
      </c>
      <c r="P133" s="202"/>
    </row>
    <row r="134" spans="1:16" ht="92.25">
      <c r="A134" s="210" t="s">
        <v>1000</v>
      </c>
      <c r="B134" s="176" t="s">
        <v>1010</v>
      </c>
      <c r="C134" s="176" t="s">
        <v>1011</v>
      </c>
      <c r="D134" s="176"/>
      <c r="E134" s="176"/>
      <c r="F134" s="176"/>
      <c r="G134" s="176" t="s">
        <v>241</v>
      </c>
      <c r="H134" s="180" t="s">
        <v>373</v>
      </c>
      <c r="I134" s="233" t="s">
        <v>78</v>
      </c>
      <c r="J134" s="234" t="s">
        <v>1012</v>
      </c>
      <c r="K134" s="211"/>
      <c r="L134" s="221" t="s">
        <v>353</v>
      </c>
      <c r="M134" s="179"/>
      <c r="N134" s="213"/>
      <c r="O134" s="214" t="s">
        <v>1013</v>
      </c>
      <c r="P134" s="202"/>
    </row>
    <row r="135" spans="1:16" ht="35.25">
      <c r="A135" s="210" t="s">
        <v>1000</v>
      </c>
      <c r="B135" s="176" t="s">
        <v>1014</v>
      </c>
      <c r="C135" s="176" t="s">
        <v>1015</v>
      </c>
      <c r="D135" s="176"/>
      <c r="E135" s="176"/>
      <c r="F135" s="176"/>
      <c r="G135" s="176" t="s">
        <v>654</v>
      </c>
      <c r="H135" s="180"/>
      <c r="I135" s="178" t="s">
        <v>818</v>
      </c>
      <c r="J135" s="211"/>
      <c r="K135" s="211"/>
      <c r="L135" s="221" t="s">
        <v>353</v>
      </c>
      <c r="M135" s="179"/>
      <c r="N135" s="213"/>
      <c r="O135" s="214" t="s">
        <v>1016</v>
      </c>
      <c r="P135" s="202"/>
    </row>
    <row r="136" spans="1:16" ht="92.25">
      <c r="A136" s="210" t="s">
        <v>1000</v>
      </c>
      <c r="B136" s="176" t="s">
        <v>1017</v>
      </c>
      <c r="C136" s="176" t="s">
        <v>1018</v>
      </c>
      <c r="D136" s="176"/>
      <c r="E136" s="176"/>
      <c r="F136" s="176"/>
      <c r="G136" s="176" t="s">
        <v>1019</v>
      </c>
      <c r="H136" s="180" t="s">
        <v>373</v>
      </c>
      <c r="I136" s="178" t="s">
        <v>1020</v>
      </c>
      <c r="J136" s="234" t="s">
        <v>1021</v>
      </c>
      <c r="K136" s="214" t="s">
        <v>1022</v>
      </c>
      <c r="L136" s="221" t="s">
        <v>353</v>
      </c>
      <c r="M136" s="179"/>
      <c r="N136" s="213"/>
      <c r="O136" s="234" t="s">
        <v>1023</v>
      </c>
      <c r="P136" s="202"/>
    </row>
    <row r="137" spans="1:16" s="149" customFormat="1" ht="23.25">
      <c r="A137" s="235" t="s">
        <v>1000</v>
      </c>
      <c r="B137" s="191" t="s">
        <v>1024</v>
      </c>
      <c r="C137" s="191" t="s">
        <v>1024</v>
      </c>
      <c r="D137" s="191"/>
      <c r="E137" s="191"/>
      <c r="F137" s="191"/>
      <c r="G137" s="191" t="s">
        <v>1025</v>
      </c>
      <c r="H137" s="236"/>
      <c r="I137" s="178"/>
      <c r="J137" s="237"/>
      <c r="K137" s="237"/>
      <c r="L137" s="230" t="s">
        <v>353</v>
      </c>
      <c r="M137" s="190"/>
      <c r="N137" s="231"/>
      <c r="O137" s="232"/>
      <c r="P137" s="232"/>
    </row>
    <row r="138" spans="1:16" ht="92.25">
      <c r="A138" s="210" t="s">
        <v>1000</v>
      </c>
      <c r="B138" s="176" t="s">
        <v>1026</v>
      </c>
      <c r="C138" s="176" t="s">
        <v>1027</v>
      </c>
      <c r="D138" s="176" t="s">
        <v>90</v>
      </c>
      <c r="E138" s="176"/>
      <c r="F138" s="176"/>
      <c r="G138" s="176" t="s">
        <v>1028</v>
      </c>
      <c r="H138" s="180"/>
      <c r="I138" s="178" t="s">
        <v>1020</v>
      </c>
      <c r="J138" s="234" t="s">
        <v>1029</v>
      </c>
      <c r="K138" s="211"/>
      <c r="L138" s="221" t="s">
        <v>353</v>
      </c>
      <c r="M138" s="179"/>
      <c r="N138" s="213"/>
      <c r="O138" s="214" t="s">
        <v>1030</v>
      </c>
      <c r="P138" s="202"/>
    </row>
    <row r="139" spans="1:16" s="149" customFormat="1" ht="35.25">
      <c r="A139" s="235" t="s">
        <v>1000</v>
      </c>
      <c r="B139" s="191" t="s">
        <v>1031</v>
      </c>
      <c r="C139" s="191" t="s">
        <v>1031</v>
      </c>
      <c r="D139" s="191"/>
      <c r="E139" s="191"/>
      <c r="F139" s="191"/>
      <c r="G139" s="191" t="s">
        <v>1025</v>
      </c>
      <c r="H139" s="236"/>
      <c r="I139" s="178" t="s">
        <v>1020</v>
      </c>
      <c r="J139" s="237"/>
      <c r="K139" s="237"/>
      <c r="L139" s="230" t="s">
        <v>353</v>
      </c>
      <c r="M139" s="190"/>
      <c r="N139" s="231"/>
      <c r="O139" s="232"/>
      <c r="P139" s="232"/>
    </row>
    <row r="140" spans="1:16" ht="92.25">
      <c r="A140" s="210" t="s">
        <v>1000</v>
      </c>
      <c r="B140" s="176" t="s">
        <v>1032</v>
      </c>
      <c r="C140" s="176" t="s">
        <v>1033</v>
      </c>
      <c r="D140" s="176" t="s">
        <v>99</v>
      </c>
      <c r="E140" s="176"/>
      <c r="F140" s="176"/>
      <c r="G140" s="176" t="s">
        <v>1034</v>
      </c>
      <c r="H140" s="180"/>
      <c r="I140" s="226" t="s">
        <v>82</v>
      </c>
      <c r="J140" s="234" t="s">
        <v>1035</v>
      </c>
      <c r="K140" s="214" t="s">
        <v>1036</v>
      </c>
      <c r="L140" s="222" t="s">
        <v>353</v>
      </c>
      <c r="M140" s="179"/>
      <c r="N140" s="213"/>
      <c r="O140" s="214" t="s">
        <v>1037</v>
      </c>
      <c r="P140" s="202"/>
    </row>
    <row r="141" spans="1:16" s="148" customFormat="1" ht="12.75">
      <c r="A141" s="215" t="s">
        <v>1000</v>
      </c>
      <c r="B141" s="181" t="s">
        <v>1038</v>
      </c>
      <c r="C141" s="181" t="s">
        <v>1038</v>
      </c>
      <c r="D141" s="181"/>
      <c r="E141" s="181"/>
      <c r="F141" s="181"/>
      <c r="G141" s="181" t="s">
        <v>1039</v>
      </c>
      <c r="H141" s="216"/>
      <c r="I141" s="178"/>
      <c r="J141" s="217"/>
      <c r="K141" s="217"/>
      <c r="L141" s="218" t="s">
        <v>353</v>
      </c>
      <c r="M141" s="182"/>
      <c r="N141" s="219"/>
      <c r="O141" s="220"/>
      <c r="P141" s="220"/>
    </row>
    <row r="142" spans="1:16" ht="92.25">
      <c r="A142" s="210" t="s">
        <v>1000</v>
      </c>
      <c r="B142" s="176" t="s">
        <v>1040</v>
      </c>
      <c r="C142" s="176" t="s">
        <v>1041</v>
      </c>
      <c r="D142" s="176" t="s">
        <v>90</v>
      </c>
      <c r="E142" s="176"/>
      <c r="F142" s="176"/>
      <c r="G142" s="176" t="s">
        <v>1042</v>
      </c>
      <c r="H142" s="180" t="s">
        <v>134</v>
      </c>
      <c r="I142" s="178" t="s">
        <v>818</v>
      </c>
      <c r="J142" s="234" t="s">
        <v>1043</v>
      </c>
      <c r="K142" s="214" t="s">
        <v>1044</v>
      </c>
      <c r="L142" s="222" t="s">
        <v>353</v>
      </c>
      <c r="M142" s="179"/>
      <c r="N142" s="213"/>
      <c r="O142" s="214" t="s">
        <v>1045</v>
      </c>
      <c r="P142" s="202"/>
    </row>
    <row r="143" spans="1:16" s="148" customFormat="1" ht="35.25">
      <c r="A143" s="215" t="s">
        <v>1000</v>
      </c>
      <c r="B143" s="181" t="s">
        <v>1046</v>
      </c>
      <c r="C143" s="181" t="s">
        <v>1046</v>
      </c>
      <c r="D143" s="181" t="s">
        <v>90</v>
      </c>
      <c r="E143" s="181"/>
      <c r="F143" s="181"/>
      <c r="G143" s="181" t="s">
        <v>1047</v>
      </c>
      <c r="H143" s="216"/>
      <c r="I143" s="178" t="s">
        <v>818</v>
      </c>
      <c r="J143" s="217"/>
      <c r="K143" s="217"/>
      <c r="L143" s="218" t="s">
        <v>353</v>
      </c>
      <c r="M143" s="182"/>
      <c r="N143" s="219"/>
      <c r="O143" s="220"/>
      <c r="P143" s="220"/>
    </row>
    <row r="144" spans="1:16" ht="92.25">
      <c r="A144" s="210" t="s">
        <v>1000</v>
      </c>
      <c r="B144" s="176" t="s">
        <v>1048</v>
      </c>
      <c r="C144" s="176" t="s">
        <v>1049</v>
      </c>
      <c r="D144" s="176"/>
      <c r="E144" s="176"/>
      <c r="F144" s="176"/>
      <c r="G144" s="176" t="s">
        <v>990</v>
      </c>
      <c r="H144" s="180" t="s">
        <v>81</v>
      </c>
      <c r="I144" s="178" t="s">
        <v>532</v>
      </c>
      <c r="J144" s="234" t="s">
        <v>1050</v>
      </c>
      <c r="K144" s="214" t="s">
        <v>1051</v>
      </c>
      <c r="L144" s="221" t="s">
        <v>353</v>
      </c>
      <c r="M144" s="179"/>
      <c r="N144" s="213"/>
      <c r="O144" s="214" t="s">
        <v>1052</v>
      </c>
      <c r="P144" s="202"/>
    </row>
    <row r="145" spans="1:16" s="148" customFormat="1" ht="58.5">
      <c r="A145" s="215" t="s">
        <v>1000</v>
      </c>
      <c r="B145" s="181" t="s">
        <v>993</v>
      </c>
      <c r="C145" s="181" t="s">
        <v>993</v>
      </c>
      <c r="D145" s="181"/>
      <c r="E145" s="181"/>
      <c r="F145" s="181"/>
      <c r="G145" s="181" t="s">
        <v>1053</v>
      </c>
      <c r="H145" s="216"/>
      <c r="I145" s="178" t="s">
        <v>532</v>
      </c>
      <c r="J145" s="217"/>
      <c r="K145" s="217"/>
      <c r="L145" s="218" t="s">
        <v>353</v>
      </c>
      <c r="M145" s="182"/>
      <c r="N145" s="219"/>
      <c r="O145" s="220"/>
      <c r="P145" s="220"/>
    </row>
    <row r="146" spans="1:16" ht="92.25">
      <c r="A146" s="210" t="s">
        <v>1000</v>
      </c>
      <c r="B146" s="176" t="s">
        <v>1054</v>
      </c>
      <c r="C146" s="176" t="s">
        <v>1055</v>
      </c>
      <c r="D146" s="176" t="s">
        <v>90</v>
      </c>
      <c r="E146" s="176"/>
      <c r="F146" s="176"/>
      <c r="G146" s="176" t="s">
        <v>1056</v>
      </c>
      <c r="H146" s="180" t="s">
        <v>63</v>
      </c>
      <c r="I146" s="178" t="s">
        <v>818</v>
      </c>
      <c r="J146" s="234" t="s">
        <v>1057</v>
      </c>
      <c r="K146" s="214" t="s">
        <v>1058</v>
      </c>
      <c r="L146" s="222" t="s">
        <v>353</v>
      </c>
      <c r="M146" s="179"/>
      <c r="N146" s="213"/>
      <c r="O146" s="214" t="s">
        <v>1059</v>
      </c>
      <c r="P146" s="202"/>
    </row>
    <row r="147" spans="1:16" s="148" customFormat="1" ht="35.25">
      <c r="A147" s="215" t="s">
        <v>1000</v>
      </c>
      <c r="B147" s="181" t="s">
        <v>1060</v>
      </c>
      <c r="C147" s="181" t="s">
        <v>1060</v>
      </c>
      <c r="D147" s="181" t="s">
        <v>90</v>
      </c>
      <c r="E147" s="181"/>
      <c r="F147" s="181"/>
      <c r="G147" s="181" t="s">
        <v>1047</v>
      </c>
      <c r="H147" s="216"/>
      <c r="I147" s="178" t="s">
        <v>818</v>
      </c>
      <c r="J147" s="217"/>
      <c r="K147" s="217"/>
      <c r="L147" s="218" t="s">
        <v>353</v>
      </c>
      <c r="M147" s="182"/>
      <c r="N147" s="219"/>
      <c r="O147" s="220"/>
      <c r="P147" s="220"/>
    </row>
    <row r="148" spans="1:16" ht="92.25">
      <c r="A148" s="210" t="s">
        <v>1000</v>
      </c>
      <c r="B148" s="176" t="s">
        <v>1061</v>
      </c>
      <c r="C148" s="176" t="s">
        <v>1062</v>
      </c>
      <c r="D148" s="176"/>
      <c r="E148" s="176"/>
      <c r="F148" s="176"/>
      <c r="G148" s="176" t="s">
        <v>784</v>
      </c>
      <c r="H148" s="180" t="s">
        <v>370</v>
      </c>
      <c r="I148" s="178" t="s">
        <v>532</v>
      </c>
      <c r="J148" s="234" t="s">
        <v>1063</v>
      </c>
      <c r="K148" s="211"/>
      <c r="L148" s="221" t="s">
        <v>353</v>
      </c>
      <c r="M148" s="179"/>
      <c r="N148" s="213"/>
      <c r="O148" s="214" t="s">
        <v>1064</v>
      </c>
      <c r="P148" s="202"/>
    </row>
    <row r="149" spans="1:16" s="148" customFormat="1" ht="58.5">
      <c r="A149" s="215" t="s">
        <v>1000</v>
      </c>
      <c r="B149" s="181" t="s">
        <v>993</v>
      </c>
      <c r="C149" s="181" t="s">
        <v>993</v>
      </c>
      <c r="D149" s="181"/>
      <c r="E149" s="181"/>
      <c r="F149" s="181"/>
      <c r="G149" s="181" t="s">
        <v>1053</v>
      </c>
      <c r="H149" s="216"/>
      <c r="I149" s="178" t="s">
        <v>532</v>
      </c>
      <c r="J149" s="217"/>
      <c r="K149" s="217"/>
      <c r="L149" s="218" t="s">
        <v>353</v>
      </c>
      <c r="M149" s="182"/>
      <c r="N149" s="219"/>
      <c r="O149" s="220"/>
      <c r="P149" s="220"/>
    </row>
    <row r="150" spans="1:16" s="148" customFormat="1" ht="23.25">
      <c r="A150" s="215" t="s">
        <v>1000</v>
      </c>
      <c r="B150" s="181" t="s">
        <v>1065</v>
      </c>
      <c r="C150" s="181" t="s">
        <v>1065</v>
      </c>
      <c r="D150" s="181"/>
      <c r="E150" s="181"/>
      <c r="F150" s="181"/>
      <c r="G150" s="181" t="s">
        <v>1025</v>
      </c>
      <c r="H150" s="216"/>
      <c r="I150" s="192"/>
      <c r="J150" s="217"/>
      <c r="K150" s="217"/>
      <c r="L150" s="218" t="s">
        <v>353</v>
      </c>
      <c r="M150" s="182"/>
      <c r="N150" s="219"/>
      <c r="O150" s="220"/>
      <c r="P150" s="220"/>
    </row>
    <row r="151" spans="1:16" s="148" customFormat="1" ht="23.25">
      <c r="A151" s="215" t="s">
        <v>1000</v>
      </c>
      <c r="B151" s="181" t="s">
        <v>1066</v>
      </c>
      <c r="C151" s="181" t="s">
        <v>1066</v>
      </c>
      <c r="D151" s="181"/>
      <c r="E151" s="181"/>
      <c r="F151" s="181"/>
      <c r="G151" s="181" t="s">
        <v>1025</v>
      </c>
      <c r="H151" s="216"/>
      <c r="I151" s="192" t="s">
        <v>378</v>
      </c>
      <c r="J151" s="217"/>
      <c r="K151" s="217"/>
      <c r="L151" s="218" t="s">
        <v>353</v>
      </c>
      <c r="M151" s="182"/>
      <c r="N151" s="219"/>
      <c r="O151" s="220"/>
      <c r="P151" s="220"/>
    </row>
    <row r="152" spans="1:16" ht="92.25">
      <c r="A152" s="210" t="s">
        <v>1000</v>
      </c>
      <c r="B152" s="176" t="s">
        <v>1067</v>
      </c>
      <c r="C152" s="176" t="s">
        <v>1068</v>
      </c>
      <c r="D152" s="176"/>
      <c r="E152" s="176"/>
      <c r="F152" s="176"/>
      <c r="G152" s="176" t="s">
        <v>1069</v>
      </c>
      <c r="H152" s="180" t="s">
        <v>81</v>
      </c>
      <c r="I152" s="178" t="s">
        <v>532</v>
      </c>
      <c r="J152" s="234" t="s">
        <v>1070</v>
      </c>
      <c r="K152" s="211"/>
      <c r="L152" s="221" t="s">
        <v>353</v>
      </c>
      <c r="M152" s="179"/>
      <c r="N152" s="213"/>
      <c r="O152" s="214" t="s">
        <v>1071</v>
      </c>
      <c r="P152" s="202"/>
    </row>
    <row r="153" spans="1:16" s="148" customFormat="1" ht="58.5">
      <c r="A153" s="215" t="s">
        <v>1000</v>
      </c>
      <c r="B153" s="181" t="s">
        <v>1072</v>
      </c>
      <c r="C153" s="181" t="s">
        <v>1072</v>
      </c>
      <c r="D153" s="181"/>
      <c r="E153" s="181"/>
      <c r="F153" s="181"/>
      <c r="G153" s="181" t="s">
        <v>994</v>
      </c>
      <c r="H153" s="216"/>
      <c r="I153" s="178" t="s">
        <v>532</v>
      </c>
      <c r="J153" s="217"/>
      <c r="K153" s="217"/>
      <c r="L153" s="218" t="s">
        <v>353</v>
      </c>
      <c r="M153" s="182"/>
      <c r="N153" s="219"/>
      <c r="O153" s="220"/>
      <c r="P153" s="220"/>
    </row>
    <row r="154" spans="1:16" s="148" customFormat="1" ht="23.25">
      <c r="A154" s="215" t="s">
        <v>1000</v>
      </c>
      <c r="B154" s="181" t="s">
        <v>1073</v>
      </c>
      <c r="C154" s="181" t="s">
        <v>1073</v>
      </c>
      <c r="D154" s="181"/>
      <c r="E154" s="181"/>
      <c r="F154" s="181"/>
      <c r="G154" s="181" t="s">
        <v>1025</v>
      </c>
      <c r="H154" s="216"/>
      <c r="I154" s="233" t="s">
        <v>78</v>
      </c>
      <c r="J154" s="217"/>
      <c r="K154" s="217"/>
      <c r="L154" s="218" t="s">
        <v>353</v>
      </c>
      <c r="M154" s="182"/>
      <c r="N154" s="219"/>
      <c r="O154" s="220"/>
      <c r="P154" s="220"/>
    </row>
    <row r="155" spans="1:16" ht="92.25">
      <c r="A155" s="210" t="s">
        <v>1000</v>
      </c>
      <c r="B155" s="176" t="s">
        <v>1074</v>
      </c>
      <c r="C155" s="176" t="s">
        <v>1075</v>
      </c>
      <c r="D155" s="176"/>
      <c r="E155" s="176"/>
      <c r="F155" s="176"/>
      <c r="G155" s="176" t="s">
        <v>1076</v>
      </c>
      <c r="H155" s="180" t="s">
        <v>63</v>
      </c>
      <c r="I155" s="233" t="s">
        <v>78</v>
      </c>
      <c r="J155" s="234" t="s">
        <v>1077</v>
      </c>
      <c r="K155" s="214" t="s">
        <v>1078</v>
      </c>
      <c r="L155" s="222" t="s">
        <v>358</v>
      </c>
      <c r="M155" s="179"/>
      <c r="N155" s="213"/>
      <c r="O155" s="214" t="s">
        <v>1079</v>
      </c>
      <c r="P155" s="202"/>
    </row>
    <row r="156" spans="1:16" ht="92.25">
      <c r="A156" s="210" t="s">
        <v>1000</v>
      </c>
      <c r="B156" s="176" t="s">
        <v>1080</v>
      </c>
      <c r="C156" s="176" t="s">
        <v>1081</v>
      </c>
      <c r="D156" s="176" t="s">
        <v>49</v>
      </c>
      <c r="E156" s="176"/>
      <c r="F156" s="176"/>
      <c r="G156" s="176" t="s">
        <v>1082</v>
      </c>
      <c r="H156" s="180" t="s">
        <v>134</v>
      </c>
      <c r="I156" s="192" t="s">
        <v>1083</v>
      </c>
      <c r="J156" s="234" t="s">
        <v>1084</v>
      </c>
      <c r="K156" s="211"/>
      <c r="L156" s="222" t="s">
        <v>358</v>
      </c>
      <c r="M156" s="179"/>
      <c r="N156" s="213"/>
      <c r="O156" s="214" t="s">
        <v>1085</v>
      </c>
      <c r="P156" s="202"/>
    </row>
    <row r="157" spans="1:16" s="148" customFormat="1" ht="12.75">
      <c r="A157" s="215" t="s">
        <v>1000</v>
      </c>
      <c r="B157" s="181" t="s">
        <v>1086</v>
      </c>
      <c r="C157" s="181" t="s">
        <v>1086</v>
      </c>
      <c r="D157" s="181"/>
      <c r="E157" s="181"/>
      <c r="F157" s="181"/>
      <c r="G157" s="181" t="s">
        <v>1087</v>
      </c>
      <c r="H157" s="216"/>
      <c r="I157" s="233" t="s">
        <v>78</v>
      </c>
      <c r="J157" s="217"/>
      <c r="K157" s="217"/>
      <c r="L157" s="218" t="s">
        <v>353</v>
      </c>
      <c r="M157" s="182"/>
      <c r="N157" s="219"/>
      <c r="O157" s="220"/>
      <c r="P157" s="220"/>
    </row>
    <row r="158" spans="1:16" s="148" customFormat="1" ht="23.25">
      <c r="A158" s="215" t="s">
        <v>1000</v>
      </c>
      <c r="B158" s="181" t="s">
        <v>1088</v>
      </c>
      <c r="C158" s="181" t="s">
        <v>1088</v>
      </c>
      <c r="D158" s="181" t="s">
        <v>49</v>
      </c>
      <c r="E158" s="181"/>
      <c r="F158" s="181"/>
      <c r="G158" s="181" t="s">
        <v>1089</v>
      </c>
      <c r="H158" s="216"/>
      <c r="I158" s="192" t="s">
        <v>1083</v>
      </c>
      <c r="J158" s="217"/>
      <c r="K158" s="217"/>
      <c r="L158" s="218" t="s">
        <v>353</v>
      </c>
      <c r="M158" s="182"/>
      <c r="N158" s="219"/>
      <c r="O158" s="220"/>
      <c r="P158" s="220"/>
    </row>
    <row r="159" spans="1:16" ht="92.25">
      <c r="A159" s="210" t="s">
        <v>1000</v>
      </c>
      <c r="B159" s="176" t="s">
        <v>1090</v>
      </c>
      <c r="C159" s="176" t="s">
        <v>1091</v>
      </c>
      <c r="D159" s="176"/>
      <c r="E159" s="176"/>
      <c r="F159" s="176"/>
      <c r="G159" s="176" t="s">
        <v>784</v>
      </c>
      <c r="H159" s="180" t="s">
        <v>81</v>
      </c>
      <c r="I159" s="178" t="s">
        <v>532</v>
      </c>
      <c r="J159" s="234" t="s">
        <v>1092</v>
      </c>
      <c r="K159" s="211"/>
      <c r="L159" s="222" t="s">
        <v>353</v>
      </c>
      <c r="M159" s="179"/>
      <c r="N159" s="213"/>
      <c r="O159" s="214" t="s">
        <v>1093</v>
      </c>
      <c r="P159" s="202"/>
    </row>
    <row r="160" spans="1:16" ht="92.25">
      <c r="A160" s="210" t="s">
        <v>1000</v>
      </c>
      <c r="B160" s="176" t="s">
        <v>1094</v>
      </c>
      <c r="C160" s="176" t="s">
        <v>1095</v>
      </c>
      <c r="D160" s="176"/>
      <c r="E160" s="176" t="s">
        <v>633</v>
      </c>
      <c r="F160" s="176"/>
      <c r="G160" s="176" t="s">
        <v>1007</v>
      </c>
      <c r="H160" s="180"/>
      <c r="I160" s="192" t="s">
        <v>378</v>
      </c>
      <c r="J160" s="234" t="s">
        <v>1096</v>
      </c>
      <c r="K160" s="211"/>
      <c r="L160" s="222" t="s">
        <v>353</v>
      </c>
      <c r="M160" s="179"/>
      <c r="N160" s="213"/>
      <c r="O160" s="214" t="s">
        <v>1097</v>
      </c>
      <c r="P160" s="202"/>
    </row>
    <row r="161" spans="1:16" ht="92.25">
      <c r="A161" s="210" t="s">
        <v>1000</v>
      </c>
      <c r="B161" s="176" t="s">
        <v>1098</v>
      </c>
      <c r="C161" s="176" t="s">
        <v>1099</v>
      </c>
      <c r="D161" s="176"/>
      <c r="E161" s="176"/>
      <c r="F161" s="176"/>
      <c r="G161" s="176" t="s">
        <v>784</v>
      </c>
      <c r="H161" s="180" t="s">
        <v>370</v>
      </c>
      <c r="I161" s="178" t="s">
        <v>532</v>
      </c>
      <c r="J161" s="234" t="s">
        <v>1100</v>
      </c>
      <c r="K161" s="211"/>
      <c r="L161" s="221" t="s">
        <v>353</v>
      </c>
      <c r="M161" s="179"/>
      <c r="N161" s="213"/>
      <c r="O161" s="214" t="s">
        <v>1101</v>
      </c>
      <c r="P161" s="202"/>
    </row>
    <row r="162" spans="1:16" ht="92.25">
      <c r="A162" s="210" t="s">
        <v>1000</v>
      </c>
      <c r="B162" s="176" t="s">
        <v>1102</v>
      </c>
      <c r="C162" s="176" t="s">
        <v>1103</v>
      </c>
      <c r="D162" s="176" t="s">
        <v>49</v>
      </c>
      <c r="E162" s="176"/>
      <c r="F162" s="176"/>
      <c r="G162" s="176" t="s">
        <v>1082</v>
      </c>
      <c r="H162" s="180" t="s">
        <v>134</v>
      </c>
      <c r="I162" s="178" t="s">
        <v>1083</v>
      </c>
      <c r="J162" s="234" t="s">
        <v>1104</v>
      </c>
      <c r="K162" s="211"/>
      <c r="L162" s="222" t="s">
        <v>358</v>
      </c>
      <c r="M162" s="179"/>
      <c r="N162" s="213"/>
      <c r="O162" s="214" t="s">
        <v>1105</v>
      </c>
      <c r="P162" s="202"/>
    </row>
    <row r="163" spans="1:16" s="150" customFormat="1" ht="92.25">
      <c r="A163" s="238" t="s">
        <v>1000</v>
      </c>
      <c r="B163" s="176" t="s">
        <v>1106</v>
      </c>
      <c r="C163" s="178" t="s">
        <v>1107</v>
      </c>
      <c r="D163" s="178"/>
      <c r="E163" s="178"/>
      <c r="F163" s="178"/>
      <c r="G163" s="178"/>
      <c r="H163" s="239"/>
      <c r="I163" s="233" t="s">
        <v>78</v>
      </c>
      <c r="J163" s="250" t="s">
        <v>1108</v>
      </c>
      <c r="K163" s="240" t="s">
        <v>1109</v>
      </c>
      <c r="L163" s="241"/>
      <c r="M163" s="193"/>
      <c r="N163" s="242"/>
      <c r="O163" s="243"/>
      <c r="P163" s="243" t="s">
        <v>914</v>
      </c>
    </row>
    <row r="164" spans="1:16" s="148" customFormat="1" ht="58.5">
      <c r="A164" s="215" t="s">
        <v>1000</v>
      </c>
      <c r="B164" s="181" t="s">
        <v>993</v>
      </c>
      <c r="C164" s="181" t="s">
        <v>993</v>
      </c>
      <c r="D164" s="181"/>
      <c r="E164" s="181"/>
      <c r="F164" s="181"/>
      <c r="G164" s="181" t="s">
        <v>1053</v>
      </c>
      <c r="H164" s="216"/>
      <c r="I164" s="178" t="s">
        <v>532</v>
      </c>
      <c r="J164" s="217"/>
      <c r="K164" s="217"/>
      <c r="L164" s="218" t="s">
        <v>353</v>
      </c>
      <c r="M164" s="182"/>
      <c r="N164" s="219"/>
      <c r="O164" s="220"/>
      <c r="P164" s="220"/>
    </row>
    <row r="165" spans="1:16" s="148" customFormat="1" ht="23.25">
      <c r="A165" s="215" t="s">
        <v>1000</v>
      </c>
      <c r="B165" s="181" t="s">
        <v>1066</v>
      </c>
      <c r="C165" s="181" t="s">
        <v>1066</v>
      </c>
      <c r="D165" s="181"/>
      <c r="E165" s="181"/>
      <c r="F165" s="181"/>
      <c r="G165" s="181" t="s">
        <v>1025</v>
      </c>
      <c r="H165" s="216"/>
      <c r="I165" s="192" t="s">
        <v>378</v>
      </c>
      <c r="J165" s="217"/>
      <c r="K165" s="217"/>
      <c r="L165" s="218" t="s">
        <v>353</v>
      </c>
      <c r="M165" s="182"/>
      <c r="N165" s="219"/>
      <c r="O165" s="220"/>
      <c r="P165" s="220"/>
    </row>
    <row r="166" spans="1:16" ht="92.25">
      <c r="A166" s="210" t="s">
        <v>1000</v>
      </c>
      <c r="B166" s="176" t="s">
        <v>1110</v>
      </c>
      <c r="C166" s="176" t="s">
        <v>1111</v>
      </c>
      <c r="D166" s="176" t="s">
        <v>99</v>
      </c>
      <c r="E166" s="176"/>
      <c r="F166" s="176"/>
      <c r="G166" s="176" t="s">
        <v>595</v>
      </c>
      <c r="H166" s="180" t="s">
        <v>87</v>
      </c>
      <c r="I166" s="226" t="s">
        <v>82</v>
      </c>
      <c r="J166" s="234" t="s">
        <v>1112</v>
      </c>
      <c r="K166" s="211"/>
      <c r="L166" s="222" t="s">
        <v>353</v>
      </c>
      <c r="M166" s="179"/>
      <c r="N166" s="213"/>
      <c r="O166" s="214" t="s">
        <v>1113</v>
      </c>
      <c r="P166" s="202"/>
    </row>
    <row r="167" spans="1:16" s="148" customFormat="1" ht="45.75" customHeight="1">
      <c r="A167" s="215" t="s">
        <v>1000</v>
      </c>
      <c r="B167" s="181" t="s">
        <v>1114</v>
      </c>
      <c r="C167" s="181" t="s">
        <v>1114</v>
      </c>
      <c r="D167" s="181"/>
      <c r="E167" s="181"/>
      <c r="F167" s="181"/>
      <c r="G167" s="181" t="s">
        <v>994</v>
      </c>
      <c r="H167" s="216"/>
      <c r="I167" s="226" t="s">
        <v>82</v>
      </c>
      <c r="J167" s="217"/>
      <c r="K167" s="217"/>
      <c r="L167" s="218" t="s">
        <v>353</v>
      </c>
      <c r="M167" s="182"/>
      <c r="N167" s="219"/>
      <c r="O167" s="220"/>
      <c r="P167" s="220"/>
    </row>
    <row r="168" spans="1:16" s="148" customFormat="1" ht="35.25">
      <c r="A168" s="215" t="s">
        <v>1000</v>
      </c>
      <c r="B168" s="181" t="s">
        <v>1115</v>
      </c>
      <c r="C168" s="181" t="s">
        <v>1115</v>
      </c>
      <c r="D168" s="181"/>
      <c r="E168" s="181"/>
      <c r="F168" s="181"/>
      <c r="G168" s="181" t="s">
        <v>1116</v>
      </c>
      <c r="H168" s="216"/>
      <c r="I168" s="178" t="s">
        <v>1117</v>
      </c>
      <c r="J168" s="217"/>
      <c r="K168" s="217"/>
      <c r="L168" s="218" t="s">
        <v>353</v>
      </c>
      <c r="M168" s="182"/>
      <c r="N168" s="219"/>
      <c r="O168" s="220"/>
      <c r="P168" s="220"/>
    </row>
    <row r="169" spans="1:16" ht="92.25">
      <c r="A169" s="210" t="s">
        <v>1000</v>
      </c>
      <c r="B169" s="176" t="s">
        <v>1118</v>
      </c>
      <c r="C169" s="176" t="s">
        <v>1119</v>
      </c>
      <c r="D169" s="176" t="s">
        <v>61</v>
      </c>
      <c r="E169" s="176" t="s">
        <v>633</v>
      </c>
      <c r="F169" s="176"/>
      <c r="G169" s="176" t="s">
        <v>62</v>
      </c>
      <c r="H169" s="180" t="s">
        <v>134</v>
      </c>
      <c r="I169" s="178" t="s">
        <v>818</v>
      </c>
      <c r="J169" s="234" t="s">
        <v>1120</v>
      </c>
      <c r="K169" s="211"/>
      <c r="L169" s="222" t="s">
        <v>358</v>
      </c>
      <c r="M169" s="179"/>
      <c r="N169" s="213"/>
      <c r="O169" s="214" t="s">
        <v>1121</v>
      </c>
      <c r="P169" s="202"/>
    </row>
    <row r="170" spans="1:16" s="148" customFormat="1" ht="23.25">
      <c r="A170" s="215" t="s">
        <v>1000</v>
      </c>
      <c r="B170" s="181" t="s">
        <v>1122</v>
      </c>
      <c r="C170" s="181" t="s">
        <v>1122</v>
      </c>
      <c r="D170" s="181"/>
      <c r="E170" s="181"/>
      <c r="F170" s="181"/>
      <c r="G170" s="181" t="s">
        <v>1123</v>
      </c>
      <c r="H170" s="216"/>
      <c r="I170" s="192" t="s">
        <v>92</v>
      </c>
      <c r="J170" s="217"/>
      <c r="K170" s="217"/>
      <c r="L170" s="218" t="s">
        <v>353</v>
      </c>
      <c r="M170" s="182"/>
      <c r="N170" s="219"/>
      <c r="O170" s="220"/>
      <c r="P170" s="220"/>
    </row>
    <row r="171" spans="1:16" s="148" customFormat="1" ht="23.25">
      <c r="A171" s="215" t="s">
        <v>1000</v>
      </c>
      <c r="B171" s="181" t="s">
        <v>1124</v>
      </c>
      <c r="C171" s="181" t="s">
        <v>1124</v>
      </c>
      <c r="D171" s="181"/>
      <c r="E171" s="181"/>
      <c r="F171" s="181"/>
      <c r="G171" s="181" t="s">
        <v>1125</v>
      </c>
      <c r="H171" s="216"/>
      <c r="I171" s="233" t="s">
        <v>64</v>
      </c>
      <c r="J171" s="217"/>
      <c r="K171" s="217"/>
      <c r="L171" s="218" t="s">
        <v>353</v>
      </c>
      <c r="M171" s="182"/>
      <c r="N171" s="219"/>
      <c r="O171" s="220"/>
      <c r="P171" s="220"/>
    </row>
    <row r="172" spans="1:16" ht="92.25">
      <c r="A172" s="210" t="s">
        <v>1000</v>
      </c>
      <c r="B172" s="176" t="s">
        <v>1126</v>
      </c>
      <c r="C172" s="176" t="s">
        <v>1127</v>
      </c>
      <c r="D172" s="176"/>
      <c r="E172" s="176"/>
      <c r="F172" s="176"/>
      <c r="G172" s="176" t="s">
        <v>784</v>
      </c>
      <c r="H172" s="180" t="s">
        <v>81</v>
      </c>
      <c r="I172" s="178" t="s">
        <v>532</v>
      </c>
      <c r="J172" s="234" t="s">
        <v>1128</v>
      </c>
      <c r="K172" s="211"/>
      <c r="L172" s="221" t="s">
        <v>353</v>
      </c>
      <c r="M172" s="179"/>
      <c r="N172" s="213"/>
      <c r="O172" s="214" t="s">
        <v>1129</v>
      </c>
      <c r="P172" s="202"/>
    </row>
    <row r="173" spans="1:16" s="148" customFormat="1" ht="14.25">
      <c r="A173" s="215" t="s">
        <v>1000</v>
      </c>
      <c r="B173" s="181" t="s">
        <v>1038</v>
      </c>
      <c r="C173" s="181" t="s">
        <v>1038</v>
      </c>
      <c r="D173" s="181"/>
      <c r="E173" s="181"/>
      <c r="F173" s="181"/>
      <c r="G173" s="181" t="s">
        <v>1039</v>
      </c>
      <c r="H173" s="216"/>
      <c r="I173" s="226" t="s">
        <v>82</v>
      </c>
      <c r="J173" s="217"/>
      <c r="K173" s="217"/>
      <c r="L173" s="218" t="s">
        <v>353</v>
      </c>
      <c r="M173" s="182"/>
      <c r="N173" s="219"/>
      <c r="O173" s="220"/>
      <c r="P173" s="220"/>
    </row>
    <row r="174" spans="1:16" s="148" customFormat="1" ht="23.25">
      <c r="A174" s="215" t="s">
        <v>1000</v>
      </c>
      <c r="B174" s="181" t="s">
        <v>1130</v>
      </c>
      <c r="C174" s="181" t="s">
        <v>1130</v>
      </c>
      <c r="D174" s="181"/>
      <c r="E174" s="181"/>
      <c r="F174" s="181"/>
      <c r="G174" s="181" t="s">
        <v>1131</v>
      </c>
      <c r="H174" s="216"/>
      <c r="I174" s="233" t="s">
        <v>64</v>
      </c>
      <c r="J174" s="217"/>
      <c r="K174" s="217"/>
      <c r="L174" s="218" t="s">
        <v>353</v>
      </c>
      <c r="M174" s="182"/>
      <c r="N174" s="219"/>
      <c r="O174" s="220"/>
      <c r="P174" s="220"/>
    </row>
    <row r="175" spans="1:16" ht="92.25">
      <c r="A175" s="210" t="s">
        <v>1000</v>
      </c>
      <c r="B175" s="176" t="s">
        <v>1132</v>
      </c>
      <c r="C175" s="176" t="s">
        <v>1133</v>
      </c>
      <c r="D175" s="176"/>
      <c r="E175" s="176" t="s">
        <v>633</v>
      </c>
      <c r="F175" s="176"/>
      <c r="G175" s="176" t="s">
        <v>1134</v>
      </c>
      <c r="H175" s="180"/>
      <c r="I175" s="233" t="s">
        <v>64</v>
      </c>
      <c r="J175" s="234" t="s">
        <v>1135</v>
      </c>
      <c r="K175" s="211"/>
      <c r="L175" s="222" t="s">
        <v>353</v>
      </c>
      <c r="M175" s="179"/>
      <c r="N175" s="213"/>
      <c r="O175" s="214" t="s">
        <v>1136</v>
      </c>
      <c r="P175" s="202"/>
    </row>
    <row r="176" spans="1:16" ht="104.25">
      <c r="A176" s="210" t="s">
        <v>1137</v>
      </c>
      <c r="B176" s="176" t="s">
        <v>1138</v>
      </c>
      <c r="C176" s="176" t="s">
        <v>1139</v>
      </c>
      <c r="D176" s="176"/>
      <c r="E176" s="176"/>
      <c r="F176" s="176"/>
      <c r="G176" s="176" t="s">
        <v>1140</v>
      </c>
      <c r="H176" s="180" t="s">
        <v>242</v>
      </c>
      <c r="I176" s="194" t="s">
        <v>78</v>
      </c>
      <c r="J176" s="234" t="s">
        <v>1141</v>
      </c>
      <c r="K176" s="211"/>
      <c r="L176" s="222" t="s">
        <v>353</v>
      </c>
      <c r="M176" s="179"/>
      <c r="N176" s="213"/>
      <c r="O176" s="214" t="s">
        <v>1142</v>
      </c>
      <c r="P176" s="202"/>
    </row>
    <row r="177" spans="1:16" ht="104.25">
      <c r="A177" s="210" t="s">
        <v>1137</v>
      </c>
      <c r="B177" s="176" t="s">
        <v>1143</v>
      </c>
      <c r="C177" s="176" t="s">
        <v>1144</v>
      </c>
      <c r="D177" s="176"/>
      <c r="E177" s="176"/>
      <c r="F177" s="176"/>
      <c r="G177" s="176" t="s">
        <v>1145</v>
      </c>
      <c r="H177" s="180"/>
      <c r="I177" s="194" t="s">
        <v>1146</v>
      </c>
      <c r="J177" s="234" t="s">
        <v>1147</v>
      </c>
      <c r="K177" s="211"/>
      <c r="L177" s="222" t="s">
        <v>353</v>
      </c>
      <c r="M177" s="179"/>
      <c r="N177" s="213"/>
      <c r="O177" s="214" t="s">
        <v>1148</v>
      </c>
      <c r="P177" s="202"/>
    </row>
    <row r="178" spans="1:16" ht="104.25">
      <c r="A178" s="210" t="s">
        <v>1137</v>
      </c>
      <c r="B178" s="176" t="s">
        <v>1149</v>
      </c>
      <c r="C178" s="176" t="s">
        <v>1150</v>
      </c>
      <c r="D178" s="176"/>
      <c r="E178" s="176"/>
      <c r="F178" s="176"/>
      <c r="G178" s="176" t="s">
        <v>1145</v>
      </c>
      <c r="H178" s="180"/>
      <c r="I178" s="194" t="s">
        <v>1151</v>
      </c>
      <c r="J178" s="234" t="s">
        <v>1152</v>
      </c>
      <c r="K178" s="211"/>
      <c r="L178" s="222" t="s">
        <v>358</v>
      </c>
      <c r="M178" s="179"/>
      <c r="N178" s="213"/>
      <c r="O178" s="214" t="s">
        <v>1153</v>
      </c>
      <c r="P178" s="202"/>
    </row>
    <row r="179" spans="1:16" ht="35.25">
      <c r="A179" s="210" t="s">
        <v>1137</v>
      </c>
      <c r="B179" s="176" t="s">
        <v>1154</v>
      </c>
      <c r="C179" s="176" t="s">
        <v>1155</v>
      </c>
      <c r="D179" s="176"/>
      <c r="E179" s="176"/>
      <c r="F179" s="176"/>
      <c r="G179" s="176" t="s">
        <v>1145</v>
      </c>
      <c r="H179" s="180"/>
      <c r="I179" s="194" t="s">
        <v>1151</v>
      </c>
      <c r="J179" s="211"/>
      <c r="K179" s="211"/>
      <c r="L179" s="222" t="s">
        <v>353</v>
      </c>
      <c r="M179" s="179"/>
      <c r="N179" s="213"/>
      <c r="O179" s="214" t="s">
        <v>1156</v>
      </c>
      <c r="P179" s="202"/>
    </row>
    <row r="180" spans="1:16" ht="104.25">
      <c r="A180" s="210" t="s">
        <v>1137</v>
      </c>
      <c r="B180" s="176" t="s">
        <v>1157</v>
      </c>
      <c r="C180" s="176" t="s">
        <v>1158</v>
      </c>
      <c r="D180" s="176"/>
      <c r="E180" s="176"/>
      <c r="F180" s="176"/>
      <c r="G180" s="176" t="s">
        <v>1159</v>
      </c>
      <c r="H180" s="180" t="s">
        <v>75</v>
      </c>
      <c r="I180" s="194" t="s">
        <v>78</v>
      </c>
      <c r="J180" s="234" t="s">
        <v>1160</v>
      </c>
      <c r="K180" s="211"/>
      <c r="L180" s="221" t="s">
        <v>358</v>
      </c>
      <c r="M180" s="179"/>
      <c r="N180" s="213"/>
      <c r="O180" s="214" t="s">
        <v>1161</v>
      </c>
      <c r="P180" s="202"/>
    </row>
    <row r="181" spans="1:16" ht="23.25">
      <c r="A181" s="210" t="s">
        <v>1137</v>
      </c>
      <c r="B181" s="176" t="s">
        <v>1162</v>
      </c>
      <c r="C181" s="176" t="s">
        <v>1163</v>
      </c>
      <c r="D181" s="176" t="s">
        <v>99</v>
      </c>
      <c r="E181" s="176" t="s">
        <v>355</v>
      </c>
      <c r="F181" s="176"/>
      <c r="G181" s="176" t="s">
        <v>1164</v>
      </c>
      <c r="H181" s="180" t="s">
        <v>87</v>
      </c>
      <c r="I181" s="244" t="s">
        <v>82</v>
      </c>
      <c r="J181" s="211"/>
      <c r="K181" s="211"/>
      <c r="L181" s="222" t="s">
        <v>363</v>
      </c>
      <c r="M181" s="179"/>
      <c r="N181" s="213"/>
      <c r="O181" s="214" t="s">
        <v>1165</v>
      </c>
      <c r="P181" s="202"/>
    </row>
    <row r="182" spans="1:16" s="148" customFormat="1" ht="58.5">
      <c r="A182" s="215" t="s">
        <v>1137</v>
      </c>
      <c r="B182" s="181" t="s">
        <v>1166</v>
      </c>
      <c r="C182" s="181" t="s">
        <v>1167</v>
      </c>
      <c r="D182" s="181"/>
      <c r="E182" s="181" t="s">
        <v>355</v>
      </c>
      <c r="F182" s="181"/>
      <c r="G182" s="181" t="s">
        <v>403</v>
      </c>
      <c r="H182" s="216" t="s">
        <v>81</v>
      </c>
      <c r="I182" s="178" t="s">
        <v>532</v>
      </c>
      <c r="J182" s="217"/>
      <c r="K182" s="217"/>
      <c r="L182" s="218" t="s">
        <v>363</v>
      </c>
      <c r="M182" s="182"/>
      <c r="N182" s="219"/>
      <c r="O182" s="220"/>
      <c r="P182" s="220"/>
    </row>
    <row r="183" spans="1:16" ht="104.25">
      <c r="A183" s="210" t="s">
        <v>1137</v>
      </c>
      <c r="B183" s="176" t="s">
        <v>1168</v>
      </c>
      <c r="C183" s="176" t="s">
        <v>1169</v>
      </c>
      <c r="D183" s="176"/>
      <c r="E183" s="176"/>
      <c r="F183" s="176"/>
      <c r="G183" s="176" t="s">
        <v>1140</v>
      </c>
      <c r="H183" s="180" t="s">
        <v>242</v>
      </c>
      <c r="I183" s="194" t="s">
        <v>78</v>
      </c>
      <c r="J183" s="234" t="s">
        <v>1170</v>
      </c>
      <c r="K183" s="211"/>
      <c r="L183" s="221" t="s">
        <v>353</v>
      </c>
      <c r="M183" s="179"/>
      <c r="N183" s="213"/>
      <c r="O183" s="214" t="s">
        <v>1171</v>
      </c>
      <c r="P183" s="202"/>
    </row>
    <row r="184" spans="1:16" s="148" customFormat="1" ht="23.25">
      <c r="A184" s="215" t="s">
        <v>1137</v>
      </c>
      <c r="B184" s="181" t="s">
        <v>1172</v>
      </c>
      <c r="C184" s="181" t="s">
        <v>1172</v>
      </c>
      <c r="D184" s="181"/>
      <c r="E184" s="181"/>
      <c r="F184" s="181"/>
      <c r="G184" s="181" t="s">
        <v>1173</v>
      </c>
      <c r="H184" s="216"/>
      <c r="I184" s="194" t="s">
        <v>78</v>
      </c>
      <c r="J184" s="217"/>
      <c r="K184" s="217"/>
      <c r="L184" s="218" t="s">
        <v>353</v>
      </c>
      <c r="M184" s="182"/>
      <c r="N184" s="219"/>
      <c r="O184" s="220"/>
      <c r="P184" s="220"/>
    </row>
    <row r="185" spans="1:16" s="148" customFormat="1" ht="23.25">
      <c r="A185" s="215" t="s">
        <v>1137</v>
      </c>
      <c r="B185" s="181" t="s">
        <v>1174</v>
      </c>
      <c r="C185" s="181" t="s">
        <v>1174</v>
      </c>
      <c r="D185" s="181"/>
      <c r="E185" s="181"/>
      <c r="F185" s="181"/>
      <c r="G185" s="181" t="s">
        <v>1173</v>
      </c>
      <c r="H185" s="216"/>
      <c r="I185" s="194" t="s">
        <v>78</v>
      </c>
      <c r="J185" s="217"/>
      <c r="K185" s="217"/>
      <c r="L185" s="218" t="s">
        <v>353</v>
      </c>
      <c r="M185" s="182"/>
      <c r="N185" s="219"/>
      <c r="O185" s="220"/>
      <c r="P185" s="220"/>
    </row>
    <row r="186" spans="1:16" ht="104.25">
      <c r="A186" s="210" t="s">
        <v>1137</v>
      </c>
      <c r="B186" s="176" t="s">
        <v>1175</v>
      </c>
      <c r="C186" s="176" t="s">
        <v>1176</v>
      </c>
      <c r="D186" s="176"/>
      <c r="E186" s="176"/>
      <c r="F186" s="176"/>
      <c r="G186" s="176" t="s">
        <v>1177</v>
      </c>
      <c r="H186" s="180" t="s">
        <v>374</v>
      </c>
      <c r="I186" s="178" t="s">
        <v>491</v>
      </c>
      <c r="J186" s="234" t="s">
        <v>1178</v>
      </c>
      <c r="K186" s="211"/>
      <c r="L186" s="222" t="s">
        <v>358</v>
      </c>
      <c r="M186" s="179"/>
      <c r="N186" s="213"/>
      <c r="O186" s="214" t="s">
        <v>1179</v>
      </c>
      <c r="P186" s="202"/>
    </row>
    <row r="187" spans="1:16" s="148" customFormat="1" ht="23.25">
      <c r="A187" s="215" t="s">
        <v>1137</v>
      </c>
      <c r="B187" s="181" t="s">
        <v>1180</v>
      </c>
      <c r="C187" s="181" t="s">
        <v>1180</v>
      </c>
      <c r="D187" s="181"/>
      <c r="E187" s="181"/>
      <c r="F187" s="181"/>
      <c r="G187" s="181" t="s">
        <v>1181</v>
      </c>
      <c r="H187" s="216"/>
      <c r="I187" s="178" t="s">
        <v>32</v>
      </c>
      <c r="J187" s="217"/>
      <c r="K187" s="217"/>
      <c r="L187" s="218" t="s">
        <v>353</v>
      </c>
      <c r="M187" s="182"/>
      <c r="N187" s="219"/>
      <c r="O187" s="220"/>
      <c r="P187" s="220"/>
    </row>
    <row r="188" spans="1:16" s="148" customFormat="1" ht="69">
      <c r="A188" s="215" t="s">
        <v>1137</v>
      </c>
      <c r="B188" s="181" t="s">
        <v>1182</v>
      </c>
      <c r="C188" s="181" t="s">
        <v>1182</v>
      </c>
      <c r="D188" s="181"/>
      <c r="E188" s="181"/>
      <c r="F188" s="181"/>
      <c r="G188" s="181" t="s">
        <v>1183</v>
      </c>
      <c r="H188" s="216"/>
      <c r="I188" s="178" t="s">
        <v>491</v>
      </c>
      <c r="J188" s="217"/>
      <c r="K188" s="217"/>
      <c r="L188" s="218" t="s">
        <v>353</v>
      </c>
      <c r="M188" s="182"/>
      <c r="N188" s="219"/>
      <c r="O188" s="220"/>
      <c r="P188" s="220"/>
    </row>
    <row r="189" spans="1:16" ht="104.25">
      <c r="A189" s="210" t="s">
        <v>1137</v>
      </c>
      <c r="B189" s="176" t="s">
        <v>1184</v>
      </c>
      <c r="C189" s="176" t="s">
        <v>1185</v>
      </c>
      <c r="D189" s="176"/>
      <c r="E189" s="176"/>
      <c r="F189" s="176"/>
      <c r="G189" s="176" t="s">
        <v>784</v>
      </c>
      <c r="H189" s="180" t="s">
        <v>370</v>
      </c>
      <c r="I189" s="178" t="s">
        <v>532</v>
      </c>
      <c r="J189" s="234" t="s">
        <v>1186</v>
      </c>
      <c r="K189" s="211"/>
      <c r="L189" s="221" t="s">
        <v>353</v>
      </c>
      <c r="M189" s="179"/>
      <c r="N189" s="213"/>
      <c r="O189" s="214" t="s">
        <v>1187</v>
      </c>
      <c r="P189" s="202"/>
    </row>
    <row r="190" spans="1:16" ht="104.25">
      <c r="A190" s="210" t="s">
        <v>1137</v>
      </c>
      <c r="B190" s="176" t="s">
        <v>1188</v>
      </c>
      <c r="C190" s="176" t="s">
        <v>1189</v>
      </c>
      <c r="D190" s="176"/>
      <c r="E190" s="176" t="s">
        <v>633</v>
      </c>
      <c r="F190" s="176"/>
      <c r="G190" s="176" t="s">
        <v>1190</v>
      </c>
      <c r="H190" s="180"/>
      <c r="I190" s="178" t="s">
        <v>1191</v>
      </c>
      <c r="J190" s="234" t="s">
        <v>1192</v>
      </c>
      <c r="K190" s="211"/>
      <c r="L190" s="222" t="s">
        <v>358</v>
      </c>
      <c r="M190" s="179"/>
      <c r="N190" s="213"/>
      <c r="O190" s="214" t="s">
        <v>1193</v>
      </c>
      <c r="P190" s="202"/>
    </row>
    <row r="191" spans="1:16" s="148" customFormat="1" ht="23.25">
      <c r="A191" s="215" t="s">
        <v>1137</v>
      </c>
      <c r="B191" s="181" t="s">
        <v>1194</v>
      </c>
      <c r="C191" s="181" t="s">
        <v>1194</v>
      </c>
      <c r="D191" s="181"/>
      <c r="E191" s="181"/>
      <c r="F191" s="181"/>
      <c r="G191" s="181" t="s">
        <v>994</v>
      </c>
      <c r="H191" s="216"/>
      <c r="I191" s="244" t="s">
        <v>82</v>
      </c>
      <c r="J191" s="217"/>
      <c r="K191" s="217"/>
      <c r="L191" s="218" t="s">
        <v>353</v>
      </c>
      <c r="M191" s="182"/>
      <c r="N191" s="219"/>
      <c r="O191" s="220"/>
      <c r="P191" s="220"/>
    </row>
    <row r="192" spans="1:16" s="148" customFormat="1" ht="35.25">
      <c r="A192" s="215" t="s">
        <v>1137</v>
      </c>
      <c r="B192" s="181" t="s">
        <v>1195</v>
      </c>
      <c r="C192" s="181" t="s">
        <v>1195</v>
      </c>
      <c r="D192" s="181"/>
      <c r="E192" s="181"/>
      <c r="F192" s="181"/>
      <c r="G192" s="181" t="s">
        <v>1196</v>
      </c>
      <c r="H192" s="216"/>
      <c r="I192" s="178" t="s">
        <v>1191</v>
      </c>
      <c r="J192" s="217"/>
      <c r="K192" s="217"/>
      <c r="L192" s="218" t="s">
        <v>353</v>
      </c>
      <c r="M192" s="182"/>
      <c r="N192" s="219"/>
      <c r="O192" s="220"/>
      <c r="P192" s="220"/>
    </row>
    <row r="193" spans="1:16" ht="104.25">
      <c r="A193" s="210" t="s">
        <v>1137</v>
      </c>
      <c r="B193" s="176" t="s">
        <v>1197</v>
      </c>
      <c r="C193" s="176" t="s">
        <v>1198</v>
      </c>
      <c r="D193" s="176"/>
      <c r="E193" s="176"/>
      <c r="F193" s="176"/>
      <c r="G193" s="176" t="s">
        <v>784</v>
      </c>
      <c r="H193" s="180" t="s">
        <v>81</v>
      </c>
      <c r="I193" s="194" t="s">
        <v>78</v>
      </c>
      <c r="J193" s="234" t="s">
        <v>1199</v>
      </c>
      <c r="K193" s="211"/>
      <c r="L193" s="221" t="s">
        <v>353</v>
      </c>
      <c r="M193" s="179"/>
      <c r="N193" s="213"/>
      <c r="O193" s="214" t="s">
        <v>1200</v>
      </c>
      <c r="P193" s="202"/>
    </row>
    <row r="194" spans="1:16" ht="104.25">
      <c r="A194" s="210" t="s">
        <v>1137</v>
      </c>
      <c r="B194" s="176" t="s">
        <v>1201</v>
      </c>
      <c r="C194" s="176" t="s">
        <v>1202</v>
      </c>
      <c r="D194" s="176"/>
      <c r="E194" s="176" t="s">
        <v>349</v>
      </c>
      <c r="F194" s="176"/>
      <c r="G194" s="176" t="s">
        <v>1203</v>
      </c>
      <c r="H194" s="180"/>
      <c r="I194" s="178" t="s">
        <v>1204</v>
      </c>
      <c r="J194" s="234" t="s">
        <v>1205</v>
      </c>
      <c r="K194" s="211"/>
      <c r="L194" s="222" t="s">
        <v>353</v>
      </c>
      <c r="M194" s="179"/>
      <c r="N194" s="213"/>
      <c r="O194" s="214" t="s">
        <v>1206</v>
      </c>
      <c r="P194" s="202" t="s">
        <v>1207</v>
      </c>
    </row>
    <row r="195" spans="1:16" s="148" customFormat="1" ht="23.25">
      <c r="A195" s="215" t="s">
        <v>1137</v>
      </c>
      <c r="B195" s="181" t="s">
        <v>1208</v>
      </c>
      <c r="C195" s="181" t="s">
        <v>1208</v>
      </c>
      <c r="D195" s="181"/>
      <c r="E195" s="181"/>
      <c r="F195" s="181"/>
      <c r="G195" s="181" t="s">
        <v>994</v>
      </c>
      <c r="H195" s="216"/>
      <c r="I195" s="244" t="s">
        <v>82</v>
      </c>
      <c r="J195" s="217"/>
      <c r="K195" s="217"/>
      <c r="L195" s="218" t="s">
        <v>353</v>
      </c>
      <c r="M195" s="182"/>
      <c r="N195" s="219"/>
      <c r="O195" s="220"/>
      <c r="P195" s="220"/>
    </row>
    <row r="196" spans="1:16" s="148" customFormat="1" ht="23.25">
      <c r="A196" s="215" t="s">
        <v>1137</v>
      </c>
      <c r="B196" s="181" t="s">
        <v>1209</v>
      </c>
      <c r="C196" s="181" t="s">
        <v>1209</v>
      </c>
      <c r="D196" s="181"/>
      <c r="E196" s="181"/>
      <c r="F196" s="181"/>
      <c r="G196" s="181" t="s">
        <v>1210</v>
      </c>
      <c r="H196" s="216"/>
      <c r="I196" s="245" t="s">
        <v>37</v>
      </c>
      <c r="J196" s="217"/>
      <c r="K196" s="217"/>
      <c r="L196" s="218" t="s">
        <v>353</v>
      </c>
      <c r="M196" s="182"/>
      <c r="N196" s="219"/>
      <c r="O196" s="220"/>
      <c r="P196" s="220"/>
    </row>
    <row r="197" spans="1:16" ht="104.25">
      <c r="A197" s="210" t="s">
        <v>1137</v>
      </c>
      <c r="B197" s="176" t="s">
        <v>1211</v>
      </c>
      <c r="C197" s="176" t="s">
        <v>1212</v>
      </c>
      <c r="D197" s="176"/>
      <c r="E197" s="176"/>
      <c r="F197" s="176"/>
      <c r="G197" s="176" t="s">
        <v>390</v>
      </c>
      <c r="H197" s="180" t="s">
        <v>373</v>
      </c>
      <c r="I197" s="244" t="s">
        <v>82</v>
      </c>
      <c r="J197" s="234" t="s">
        <v>1213</v>
      </c>
      <c r="K197" s="211"/>
      <c r="L197" s="221" t="s">
        <v>353</v>
      </c>
      <c r="M197" s="179"/>
      <c r="N197" s="213"/>
      <c r="O197" s="214" t="s">
        <v>1214</v>
      </c>
      <c r="P197" s="202"/>
    </row>
    <row r="198" spans="1:16" s="148" customFormat="1" ht="23.25">
      <c r="A198" s="215" t="s">
        <v>1137</v>
      </c>
      <c r="B198" s="181" t="s">
        <v>1215</v>
      </c>
      <c r="C198" s="181" t="s">
        <v>1215</v>
      </c>
      <c r="D198" s="181"/>
      <c r="E198" s="181"/>
      <c r="F198" s="181"/>
      <c r="G198" s="181" t="s">
        <v>1216</v>
      </c>
      <c r="H198" s="216"/>
      <c r="I198" s="245" t="s">
        <v>37</v>
      </c>
      <c r="J198" s="217"/>
      <c r="K198" s="217"/>
      <c r="L198" s="218" t="s">
        <v>353</v>
      </c>
      <c r="M198" s="182"/>
      <c r="N198" s="219"/>
      <c r="O198" s="220"/>
      <c r="P198" s="220"/>
    </row>
    <row r="199" spans="1:16" s="148" customFormat="1" ht="23.25">
      <c r="A199" s="215" t="s">
        <v>1137</v>
      </c>
      <c r="B199" s="181" t="s">
        <v>1217</v>
      </c>
      <c r="C199" s="181" t="s">
        <v>1217</v>
      </c>
      <c r="D199" s="181"/>
      <c r="E199" s="181"/>
      <c r="F199" s="181"/>
      <c r="G199" s="181" t="s">
        <v>1123</v>
      </c>
      <c r="H199" s="216"/>
      <c r="I199" s="244" t="s">
        <v>82</v>
      </c>
      <c r="J199" s="217"/>
      <c r="K199" s="217"/>
      <c r="L199" s="218" t="s">
        <v>353</v>
      </c>
      <c r="M199" s="182"/>
      <c r="N199" s="219"/>
      <c r="O199" s="220"/>
      <c r="P199" s="220"/>
    </row>
    <row r="200" spans="1:16" s="148" customFormat="1" ht="23.25">
      <c r="A200" s="215" t="s">
        <v>1137</v>
      </c>
      <c r="B200" s="181" t="s">
        <v>1218</v>
      </c>
      <c r="C200" s="181" t="s">
        <v>1218</v>
      </c>
      <c r="D200" s="181"/>
      <c r="E200" s="181"/>
      <c r="F200" s="181"/>
      <c r="G200" s="181" t="s">
        <v>1219</v>
      </c>
      <c r="H200" s="216"/>
      <c r="I200" s="245" t="s">
        <v>37</v>
      </c>
      <c r="J200" s="217"/>
      <c r="K200" s="217"/>
      <c r="L200" s="218" t="s">
        <v>353</v>
      </c>
      <c r="M200" s="182"/>
      <c r="N200" s="219"/>
      <c r="O200" s="220"/>
      <c r="P200" s="220"/>
    </row>
    <row r="201" spans="1:16" s="148" customFormat="1" ht="69">
      <c r="A201" s="215" t="s">
        <v>1137</v>
      </c>
      <c r="B201" s="181" t="s">
        <v>1220</v>
      </c>
      <c r="C201" s="181" t="s">
        <v>1220</v>
      </c>
      <c r="D201" s="181"/>
      <c r="E201" s="181"/>
      <c r="F201" s="181"/>
      <c r="G201" s="181" t="s">
        <v>1221</v>
      </c>
      <c r="H201" s="216"/>
      <c r="I201" s="178" t="s">
        <v>491</v>
      </c>
      <c r="J201" s="217"/>
      <c r="K201" s="217"/>
      <c r="L201" s="218" t="s">
        <v>353</v>
      </c>
      <c r="M201" s="182"/>
      <c r="N201" s="219"/>
      <c r="O201" s="220"/>
      <c r="P201" s="220"/>
    </row>
    <row r="202" spans="1:16" ht="104.25">
      <c r="A202" s="210" t="s">
        <v>1137</v>
      </c>
      <c r="B202" s="176" t="s">
        <v>1222</v>
      </c>
      <c r="C202" s="176" t="s">
        <v>1223</v>
      </c>
      <c r="D202" s="176"/>
      <c r="E202" s="176"/>
      <c r="F202" s="176"/>
      <c r="G202" s="176" t="s">
        <v>1177</v>
      </c>
      <c r="H202" s="180" t="s">
        <v>374</v>
      </c>
      <c r="I202" s="178" t="s">
        <v>491</v>
      </c>
      <c r="J202" s="234" t="s">
        <v>1224</v>
      </c>
      <c r="K202" s="211"/>
      <c r="L202" s="222" t="s">
        <v>353</v>
      </c>
      <c r="M202" s="179"/>
      <c r="N202" s="213"/>
      <c r="O202" s="214" t="s">
        <v>1225</v>
      </c>
      <c r="P202" s="202"/>
    </row>
    <row r="203" spans="1:16" ht="104.25">
      <c r="A203" s="210" t="s">
        <v>1137</v>
      </c>
      <c r="B203" s="176" t="s">
        <v>1226</v>
      </c>
      <c r="C203" s="176" t="s">
        <v>1227</v>
      </c>
      <c r="D203" s="176"/>
      <c r="E203" s="176"/>
      <c r="F203" s="176"/>
      <c r="G203" s="176" t="s">
        <v>400</v>
      </c>
      <c r="H203" s="246" t="s">
        <v>63</v>
      </c>
      <c r="I203" s="178" t="s">
        <v>818</v>
      </c>
      <c r="J203" s="234" t="s">
        <v>1228</v>
      </c>
      <c r="K203" s="211"/>
      <c r="L203" s="221" t="s">
        <v>353</v>
      </c>
      <c r="M203" s="179"/>
      <c r="N203" s="213"/>
      <c r="O203" s="214" t="s">
        <v>1229</v>
      </c>
      <c r="P203" s="202"/>
    </row>
    <row r="204" spans="1:16" ht="104.25">
      <c r="A204" s="210" t="s">
        <v>1137</v>
      </c>
      <c r="B204" s="176" t="s">
        <v>1230</v>
      </c>
      <c r="C204" s="176" t="s">
        <v>1231</v>
      </c>
      <c r="D204" s="176"/>
      <c r="E204" s="176" t="s">
        <v>349</v>
      </c>
      <c r="F204" s="176"/>
      <c r="G204" s="176" t="s">
        <v>1232</v>
      </c>
      <c r="H204" s="180"/>
      <c r="I204" s="178" t="s">
        <v>1204</v>
      </c>
      <c r="J204" s="234" t="s">
        <v>1233</v>
      </c>
      <c r="K204" s="211"/>
      <c r="L204" s="222" t="s">
        <v>353</v>
      </c>
      <c r="M204" s="179"/>
      <c r="N204" s="213"/>
      <c r="O204" s="214" t="s">
        <v>1234</v>
      </c>
      <c r="P204" s="202"/>
    </row>
    <row r="205" spans="1:16" s="148" customFormat="1" ht="46.5">
      <c r="A205" s="215" t="s">
        <v>1137</v>
      </c>
      <c r="B205" s="181" t="s">
        <v>1235</v>
      </c>
      <c r="C205" s="181" t="s">
        <v>1235</v>
      </c>
      <c r="D205" s="181"/>
      <c r="E205" s="181"/>
      <c r="F205" s="181"/>
      <c r="G205" s="181" t="s">
        <v>1210</v>
      </c>
      <c r="H205" s="216"/>
      <c r="I205" s="178" t="s">
        <v>1204</v>
      </c>
      <c r="J205" s="217"/>
      <c r="K205" s="217"/>
      <c r="L205" s="218" t="s">
        <v>353</v>
      </c>
      <c r="M205" s="182"/>
      <c r="N205" s="219"/>
      <c r="O205" s="220"/>
      <c r="P205" s="220"/>
    </row>
    <row r="206" spans="1:16" s="148" customFormat="1" ht="58.5">
      <c r="A206" s="215" t="s">
        <v>1137</v>
      </c>
      <c r="B206" s="181" t="s">
        <v>1236</v>
      </c>
      <c r="C206" s="181" t="s">
        <v>1236</v>
      </c>
      <c r="D206" s="181"/>
      <c r="E206" s="181"/>
      <c r="F206" s="181"/>
      <c r="G206" s="181" t="s">
        <v>994</v>
      </c>
      <c r="H206" s="216"/>
      <c r="I206" s="178" t="s">
        <v>532</v>
      </c>
      <c r="J206" s="217"/>
      <c r="K206" s="217"/>
      <c r="L206" s="218" t="s">
        <v>353</v>
      </c>
      <c r="M206" s="182"/>
      <c r="N206" s="219"/>
      <c r="O206" s="220"/>
      <c r="P206" s="220"/>
    </row>
    <row r="207" spans="1:16" ht="104.25">
      <c r="A207" s="210" t="s">
        <v>1137</v>
      </c>
      <c r="B207" s="176" t="s">
        <v>1237</v>
      </c>
      <c r="C207" s="176" t="s">
        <v>1238</v>
      </c>
      <c r="D207" s="176"/>
      <c r="E207" s="176" t="s">
        <v>633</v>
      </c>
      <c r="F207" s="176"/>
      <c r="G207" s="176" t="s">
        <v>1190</v>
      </c>
      <c r="H207" s="180"/>
      <c r="I207" s="178" t="s">
        <v>1239</v>
      </c>
      <c r="J207" s="234" t="s">
        <v>1240</v>
      </c>
      <c r="K207" s="211"/>
      <c r="L207" s="222" t="s">
        <v>353</v>
      </c>
      <c r="M207" s="179"/>
      <c r="N207" s="213"/>
      <c r="O207" s="214" t="s">
        <v>1241</v>
      </c>
      <c r="P207" s="202"/>
    </row>
    <row r="208" spans="1:16" ht="104.25">
      <c r="A208" s="210" t="s">
        <v>1137</v>
      </c>
      <c r="B208" s="176" t="s">
        <v>1242</v>
      </c>
      <c r="C208" s="176" t="s">
        <v>1243</v>
      </c>
      <c r="D208" s="176"/>
      <c r="E208" s="176"/>
      <c r="F208" s="176"/>
      <c r="G208" s="176" t="s">
        <v>389</v>
      </c>
      <c r="H208" s="180" t="s">
        <v>370</v>
      </c>
      <c r="I208" s="178"/>
      <c r="J208" s="234" t="s">
        <v>1244</v>
      </c>
      <c r="K208" s="211"/>
      <c r="L208" s="221" t="s">
        <v>353</v>
      </c>
      <c r="M208" s="179"/>
      <c r="N208" s="213"/>
      <c r="O208" s="214" t="s">
        <v>1245</v>
      </c>
      <c r="P208" s="202"/>
    </row>
    <row r="209" spans="1:16" s="148" customFormat="1" ht="23.25">
      <c r="A209" s="215" t="s">
        <v>1137</v>
      </c>
      <c r="B209" s="181" t="s">
        <v>1246</v>
      </c>
      <c r="C209" s="181" t="s">
        <v>1246</v>
      </c>
      <c r="D209" s="181"/>
      <c r="E209" s="181"/>
      <c r="F209" s="181"/>
      <c r="G209" s="181" t="s">
        <v>1247</v>
      </c>
      <c r="H209" s="216"/>
      <c r="I209" s="178"/>
      <c r="J209" s="217"/>
      <c r="K209" s="217"/>
      <c r="L209" s="218" t="s">
        <v>353</v>
      </c>
      <c r="M209" s="182"/>
      <c r="N209" s="219"/>
      <c r="O209" s="220"/>
      <c r="P209" s="220"/>
    </row>
    <row r="210" spans="1:16" ht="104.25">
      <c r="A210" s="210" t="s">
        <v>1137</v>
      </c>
      <c r="B210" s="176" t="s">
        <v>1248</v>
      </c>
      <c r="C210" s="176" t="s">
        <v>1249</v>
      </c>
      <c r="D210" s="176"/>
      <c r="E210" s="176"/>
      <c r="F210" s="176"/>
      <c r="G210" s="176" t="s">
        <v>77</v>
      </c>
      <c r="H210" s="180" t="s">
        <v>373</v>
      </c>
      <c r="I210" s="178"/>
      <c r="J210" s="234" t="s">
        <v>1250</v>
      </c>
      <c r="K210" s="211"/>
      <c r="L210" s="221" t="s">
        <v>353</v>
      </c>
      <c r="M210" s="179"/>
      <c r="N210" s="213"/>
      <c r="O210" s="214" t="s">
        <v>1251</v>
      </c>
      <c r="P210" s="202"/>
    </row>
    <row r="211" spans="1:16" s="148" customFormat="1" ht="23.25">
      <c r="A211" s="215" t="s">
        <v>1137</v>
      </c>
      <c r="B211" s="181" t="s">
        <v>1252</v>
      </c>
      <c r="C211" s="181" t="s">
        <v>1252</v>
      </c>
      <c r="D211" s="181"/>
      <c r="E211" s="181"/>
      <c r="F211" s="181"/>
      <c r="G211" s="181" t="s">
        <v>994</v>
      </c>
      <c r="H211" s="216"/>
      <c r="I211" s="178"/>
      <c r="J211" s="217"/>
      <c r="K211" s="217"/>
      <c r="L211" s="218" t="s">
        <v>353</v>
      </c>
      <c r="M211" s="182"/>
      <c r="N211" s="219"/>
      <c r="O211" s="220"/>
      <c r="P211" s="220"/>
    </row>
    <row r="212" spans="1:16" ht="104.25">
      <c r="A212" s="210" t="s">
        <v>1137</v>
      </c>
      <c r="B212" s="176" t="s">
        <v>1253</v>
      </c>
      <c r="C212" s="176" t="s">
        <v>1254</v>
      </c>
      <c r="D212" s="176"/>
      <c r="E212" s="176"/>
      <c r="F212" s="176"/>
      <c r="G212" s="176" t="s">
        <v>1177</v>
      </c>
      <c r="H212" s="180" t="s">
        <v>374</v>
      </c>
      <c r="I212" s="178"/>
      <c r="J212" s="234" t="s">
        <v>1255</v>
      </c>
      <c r="K212" s="211"/>
      <c r="L212" s="222" t="s">
        <v>353</v>
      </c>
      <c r="M212" s="179"/>
      <c r="N212" s="213"/>
      <c r="O212" s="214" t="s">
        <v>1256</v>
      </c>
      <c r="P212" s="202"/>
    </row>
    <row r="213" spans="1:16" s="148" customFormat="1" ht="23.25">
      <c r="A213" s="215" t="s">
        <v>1137</v>
      </c>
      <c r="B213" s="181" t="s">
        <v>1257</v>
      </c>
      <c r="C213" s="181" t="s">
        <v>1257</v>
      </c>
      <c r="D213" s="181"/>
      <c r="E213" s="181"/>
      <c r="F213" s="181"/>
      <c r="G213" s="181" t="s">
        <v>77</v>
      </c>
      <c r="H213" s="216" t="s">
        <v>374</v>
      </c>
      <c r="I213" s="178"/>
      <c r="J213" s="217"/>
      <c r="K213" s="217"/>
      <c r="L213" s="218" t="s">
        <v>353</v>
      </c>
      <c r="M213" s="182"/>
      <c r="N213" s="219"/>
      <c r="O213" s="220"/>
      <c r="P213" s="220"/>
    </row>
    <row r="214" spans="1:16" s="148" customFormat="1" ht="23.25">
      <c r="A214" s="215" t="s">
        <v>1137</v>
      </c>
      <c r="B214" s="181" t="s">
        <v>1258</v>
      </c>
      <c r="C214" s="181" t="s">
        <v>1258</v>
      </c>
      <c r="D214" s="181"/>
      <c r="E214" s="181"/>
      <c r="F214" s="181"/>
      <c r="G214" s="181" t="s">
        <v>1221</v>
      </c>
      <c r="H214" s="216"/>
      <c r="I214" s="178"/>
      <c r="J214" s="217"/>
      <c r="K214" s="217"/>
      <c r="L214" s="218" t="s">
        <v>353</v>
      </c>
      <c r="M214" s="182"/>
      <c r="N214" s="219"/>
      <c r="O214" s="220"/>
      <c r="P214" s="220"/>
    </row>
    <row r="215" spans="1:16" ht="104.25">
      <c r="A215" s="210" t="s">
        <v>1137</v>
      </c>
      <c r="B215" s="176" t="s">
        <v>1259</v>
      </c>
      <c r="C215" s="176" t="s">
        <v>1260</v>
      </c>
      <c r="D215" s="176"/>
      <c r="E215" s="176"/>
      <c r="F215" s="176"/>
      <c r="G215" s="176" t="s">
        <v>1261</v>
      </c>
      <c r="H215" s="180" t="s">
        <v>75</v>
      </c>
      <c r="I215" s="178"/>
      <c r="J215" s="234" t="s">
        <v>1262</v>
      </c>
      <c r="K215" s="211"/>
      <c r="L215" s="222" t="s">
        <v>358</v>
      </c>
      <c r="M215" s="179"/>
      <c r="N215" s="213"/>
      <c r="O215" s="214" t="s">
        <v>1263</v>
      </c>
      <c r="P215" s="202"/>
    </row>
    <row r="216" spans="1:16" ht="104.25">
      <c r="A216" s="210" t="s">
        <v>1137</v>
      </c>
      <c r="B216" s="176" t="s">
        <v>1264</v>
      </c>
      <c r="C216" s="176" t="s">
        <v>1265</v>
      </c>
      <c r="D216" s="176"/>
      <c r="E216" s="176" t="s">
        <v>349</v>
      </c>
      <c r="F216" s="176"/>
      <c r="G216" s="176" t="s">
        <v>1266</v>
      </c>
      <c r="H216" s="180" t="s">
        <v>242</v>
      </c>
      <c r="I216" s="178"/>
      <c r="J216" s="234" t="s">
        <v>1267</v>
      </c>
      <c r="K216" s="211"/>
      <c r="L216" s="222" t="s">
        <v>353</v>
      </c>
      <c r="M216" s="179"/>
      <c r="N216" s="213"/>
      <c r="O216" s="214" t="s">
        <v>1268</v>
      </c>
      <c r="P216" s="202"/>
    </row>
    <row r="217" spans="1:16" ht="104.25">
      <c r="A217" s="210" t="s">
        <v>1137</v>
      </c>
      <c r="B217" s="176" t="s">
        <v>1269</v>
      </c>
      <c r="C217" s="176" t="s">
        <v>1270</v>
      </c>
      <c r="D217" s="176"/>
      <c r="E217" s="176"/>
      <c r="F217" s="176"/>
      <c r="G217" s="176" t="s">
        <v>784</v>
      </c>
      <c r="H217" s="180" t="s">
        <v>81</v>
      </c>
      <c r="I217" s="178"/>
      <c r="J217" s="234" t="s">
        <v>1271</v>
      </c>
      <c r="K217" s="211"/>
      <c r="L217" s="222" t="s">
        <v>353</v>
      </c>
      <c r="M217" s="179"/>
      <c r="N217" s="213"/>
      <c r="O217" s="214" t="s">
        <v>1272</v>
      </c>
      <c r="P217" s="202"/>
    </row>
    <row r="218" spans="1:16" ht="104.25">
      <c r="A218" s="210" t="s">
        <v>1137</v>
      </c>
      <c r="B218" s="176" t="s">
        <v>1273</v>
      </c>
      <c r="C218" s="176" t="s">
        <v>1274</v>
      </c>
      <c r="D218" s="176" t="s">
        <v>90</v>
      </c>
      <c r="E218" s="176" t="s">
        <v>633</v>
      </c>
      <c r="F218" s="176"/>
      <c r="G218" s="176" t="s">
        <v>1190</v>
      </c>
      <c r="H218" s="180"/>
      <c r="I218" s="178"/>
      <c r="J218" s="234" t="s">
        <v>1275</v>
      </c>
      <c r="K218" s="211"/>
      <c r="L218" s="222" t="s">
        <v>353</v>
      </c>
      <c r="M218" s="179"/>
      <c r="N218" s="213"/>
      <c r="O218" s="214" t="s">
        <v>1276</v>
      </c>
      <c r="P218" s="202"/>
    </row>
    <row r="219" spans="1:16" s="148" customFormat="1" ht="23.25">
      <c r="A219" s="215" t="s">
        <v>1137</v>
      </c>
      <c r="B219" s="181" t="s">
        <v>1277</v>
      </c>
      <c r="C219" s="181" t="s">
        <v>1277</v>
      </c>
      <c r="D219" s="181"/>
      <c r="E219" s="181"/>
      <c r="F219" s="181"/>
      <c r="G219" s="181" t="s">
        <v>34</v>
      </c>
      <c r="H219" s="216"/>
      <c r="I219" s="178"/>
      <c r="J219" s="217"/>
      <c r="K219" s="217"/>
      <c r="L219" s="218" t="s">
        <v>353</v>
      </c>
      <c r="M219" s="182"/>
      <c r="N219" s="219"/>
      <c r="O219" s="220"/>
      <c r="P219" s="220"/>
    </row>
    <row r="220" spans="1:16" s="148" customFormat="1" ht="23.25">
      <c r="A220" s="215" t="s">
        <v>1137</v>
      </c>
      <c r="B220" s="181" t="s">
        <v>1278</v>
      </c>
      <c r="C220" s="181" t="s">
        <v>1278</v>
      </c>
      <c r="D220" s="181"/>
      <c r="E220" s="181"/>
      <c r="F220" s="181"/>
      <c r="G220" s="181" t="s">
        <v>1210</v>
      </c>
      <c r="H220" s="216"/>
      <c r="I220" s="178"/>
      <c r="J220" s="217"/>
      <c r="K220" s="217"/>
      <c r="L220" s="218" t="s">
        <v>353</v>
      </c>
      <c r="M220" s="182"/>
      <c r="N220" s="219"/>
      <c r="O220" s="220"/>
      <c r="P220" s="220"/>
    </row>
    <row r="221" spans="1:16" s="148" customFormat="1" ht="23.25">
      <c r="A221" s="215" t="s">
        <v>1137</v>
      </c>
      <c r="B221" s="181" t="s">
        <v>1279</v>
      </c>
      <c r="C221" s="181" t="s">
        <v>1279</v>
      </c>
      <c r="D221" s="181"/>
      <c r="E221" s="181"/>
      <c r="F221" s="181"/>
      <c r="G221" s="181" t="s">
        <v>994</v>
      </c>
      <c r="H221" s="216"/>
      <c r="I221" s="178"/>
      <c r="J221" s="217"/>
      <c r="K221" s="217"/>
      <c r="L221" s="218" t="s">
        <v>353</v>
      </c>
      <c r="M221" s="182"/>
      <c r="N221" s="219"/>
      <c r="O221" s="220"/>
      <c r="P221" s="220"/>
    </row>
    <row r="222" spans="1:16" s="148" customFormat="1" ht="23.25">
      <c r="A222" s="215" t="s">
        <v>1137</v>
      </c>
      <c r="B222" s="181" t="s">
        <v>1280</v>
      </c>
      <c r="C222" s="181" t="s">
        <v>1280</v>
      </c>
      <c r="D222" s="181"/>
      <c r="E222" s="181"/>
      <c r="F222" s="181"/>
      <c r="G222" s="181" t="s">
        <v>1247</v>
      </c>
      <c r="H222" s="216"/>
      <c r="I222" s="178"/>
      <c r="J222" s="217"/>
      <c r="K222" s="217"/>
      <c r="L222" s="218" t="s">
        <v>353</v>
      </c>
      <c r="M222" s="182"/>
      <c r="N222" s="219"/>
      <c r="O222" s="220"/>
      <c r="P222" s="220"/>
    </row>
    <row r="223" spans="1:16" ht="104.25">
      <c r="A223" s="210" t="s">
        <v>1137</v>
      </c>
      <c r="B223" s="176" t="s">
        <v>1281</v>
      </c>
      <c r="C223" s="176" t="s">
        <v>1282</v>
      </c>
      <c r="D223" s="176"/>
      <c r="E223" s="176"/>
      <c r="F223" s="176"/>
      <c r="G223" s="176" t="s">
        <v>1283</v>
      </c>
      <c r="H223" s="180" t="s">
        <v>370</v>
      </c>
      <c r="I223" s="178"/>
      <c r="J223" s="234" t="s">
        <v>1284</v>
      </c>
      <c r="K223" s="211"/>
      <c r="L223" s="221" t="s">
        <v>353</v>
      </c>
      <c r="M223" s="179"/>
      <c r="N223" s="213"/>
      <c r="O223" s="214" t="s">
        <v>1285</v>
      </c>
      <c r="P223" s="202"/>
    </row>
    <row r="224" spans="1:16" ht="104.25">
      <c r="A224" s="210" t="s">
        <v>1286</v>
      </c>
      <c r="B224" s="176" t="s">
        <v>1287</v>
      </c>
      <c r="C224" s="176" t="s">
        <v>1288</v>
      </c>
      <c r="D224" s="176"/>
      <c r="E224" s="176"/>
      <c r="F224" s="176"/>
      <c r="G224" s="176" t="s">
        <v>1289</v>
      </c>
      <c r="H224" s="180" t="s">
        <v>87</v>
      </c>
      <c r="I224" s="178"/>
      <c r="J224" s="234" t="s">
        <v>1290</v>
      </c>
      <c r="K224" s="211"/>
      <c r="L224" s="222" t="s">
        <v>358</v>
      </c>
      <c r="M224" s="179"/>
      <c r="N224" s="213"/>
      <c r="O224" s="214" t="s">
        <v>1291</v>
      </c>
      <c r="P224" s="202"/>
    </row>
    <row r="225" spans="1:16" ht="104.25">
      <c r="A225" s="210" t="s">
        <v>1286</v>
      </c>
      <c r="B225" s="176" t="s">
        <v>1292</v>
      </c>
      <c r="C225" s="176" t="s">
        <v>1293</v>
      </c>
      <c r="D225" s="176" t="s">
        <v>90</v>
      </c>
      <c r="E225" s="176"/>
      <c r="F225" s="176"/>
      <c r="G225" s="176" t="s">
        <v>1294</v>
      </c>
      <c r="H225" s="180" t="s">
        <v>373</v>
      </c>
      <c r="I225" s="178"/>
      <c r="J225" s="234" t="s">
        <v>1295</v>
      </c>
      <c r="K225" s="211"/>
      <c r="L225" s="212" t="s">
        <v>353</v>
      </c>
      <c r="M225" s="179"/>
      <c r="N225" s="213"/>
      <c r="O225" s="214" t="s">
        <v>1296</v>
      </c>
      <c r="P225" s="202"/>
    </row>
    <row r="226" spans="1:16" ht="104.25">
      <c r="A226" s="210" t="s">
        <v>1286</v>
      </c>
      <c r="B226" s="176" t="s">
        <v>1297</v>
      </c>
      <c r="C226" s="176" t="s">
        <v>1298</v>
      </c>
      <c r="D226" s="176"/>
      <c r="E226" s="176"/>
      <c r="F226" s="176"/>
      <c r="G226" s="176" t="s">
        <v>395</v>
      </c>
      <c r="H226" s="180" t="s">
        <v>374</v>
      </c>
      <c r="I226" s="178"/>
      <c r="J226" s="234" t="s">
        <v>1299</v>
      </c>
      <c r="K226" s="211"/>
      <c r="L226" s="222" t="s">
        <v>358</v>
      </c>
      <c r="M226" s="179"/>
      <c r="N226" s="213"/>
      <c r="O226" s="214" t="s">
        <v>1300</v>
      </c>
      <c r="P226" s="202"/>
    </row>
    <row r="227" spans="1:16" ht="104.25">
      <c r="A227" s="210" t="s">
        <v>1286</v>
      </c>
      <c r="B227" s="176" t="s">
        <v>1301</v>
      </c>
      <c r="C227" s="176" t="s">
        <v>1302</v>
      </c>
      <c r="D227" s="176" t="s">
        <v>90</v>
      </c>
      <c r="E227" s="176"/>
      <c r="F227" s="176"/>
      <c r="G227" s="176" t="s">
        <v>1303</v>
      </c>
      <c r="H227" s="246" t="s">
        <v>63</v>
      </c>
      <c r="I227" s="178"/>
      <c r="J227" s="234" t="s">
        <v>1304</v>
      </c>
      <c r="K227" s="211"/>
      <c r="L227" s="222" t="s">
        <v>358</v>
      </c>
      <c r="M227" s="179"/>
      <c r="N227" s="213"/>
      <c r="O227" s="214" t="s">
        <v>1305</v>
      </c>
      <c r="P227" s="202"/>
    </row>
    <row r="228" spans="1:16" ht="104.25">
      <c r="A228" s="210" t="s">
        <v>1286</v>
      </c>
      <c r="B228" s="176" t="s">
        <v>1306</v>
      </c>
      <c r="C228" s="176" t="s">
        <v>1307</v>
      </c>
      <c r="D228" s="176"/>
      <c r="E228" s="176"/>
      <c r="F228" s="176"/>
      <c r="G228" s="176" t="s">
        <v>1308</v>
      </c>
      <c r="H228" s="180" t="s">
        <v>374</v>
      </c>
      <c r="I228" s="178"/>
      <c r="J228" s="234" t="s">
        <v>1309</v>
      </c>
      <c r="K228" s="211"/>
      <c r="L228" s="222" t="s">
        <v>353</v>
      </c>
      <c r="M228" s="179"/>
      <c r="N228" s="213"/>
      <c r="O228" s="214" t="s">
        <v>1310</v>
      </c>
      <c r="P228" s="202"/>
    </row>
    <row r="229" spans="1:16" s="148" customFormat="1" ht="23.25">
      <c r="A229" s="215" t="s">
        <v>1286</v>
      </c>
      <c r="B229" s="181" t="s">
        <v>1311</v>
      </c>
      <c r="C229" s="181" t="s">
        <v>1311</v>
      </c>
      <c r="D229" s="181"/>
      <c r="E229" s="181"/>
      <c r="F229" s="181"/>
      <c r="G229" s="181" t="s">
        <v>406</v>
      </c>
      <c r="H229" s="216"/>
      <c r="I229" s="178"/>
      <c r="J229" s="217"/>
      <c r="K229" s="217"/>
      <c r="L229" s="218" t="s">
        <v>353</v>
      </c>
      <c r="M229" s="182"/>
      <c r="N229" s="219"/>
      <c r="O229" s="220"/>
      <c r="P229" s="220"/>
    </row>
    <row r="230" spans="1:16" ht="104.25">
      <c r="A230" s="210" t="s">
        <v>1286</v>
      </c>
      <c r="B230" s="176" t="s">
        <v>1312</v>
      </c>
      <c r="C230" s="176" t="s">
        <v>1313</v>
      </c>
      <c r="D230" s="176" t="s">
        <v>99</v>
      </c>
      <c r="E230" s="176"/>
      <c r="F230" s="176"/>
      <c r="G230" s="176" t="s">
        <v>100</v>
      </c>
      <c r="H230" s="180" t="s">
        <v>134</v>
      </c>
      <c r="I230" s="178"/>
      <c r="J230" s="234" t="s">
        <v>1314</v>
      </c>
      <c r="K230" s="211"/>
      <c r="L230" s="222" t="s">
        <v>353</v>
      </c>
      <c r="M230" s="179"/>
      <c r="N230" s="213"/>
      <c r="O230" s="214" t="s">
        <v>1315</v>
      </c>
      <c r="P230" s="202"/>
    </row>
    <row r="231" spans="1:16" ht="104.25">
      <c r="A231" s="210" t="s">
        <v>1286</v>
      </c>
      <c r="B231" s="176" t="s">
        <v>1316</v>
      </c>
      <c r="C231" s="176" t="s">
        <v>1317</v>
      </c>
      <c r="D231" s="176"/>
      <c r="E231" s="176"/>
      <c r="F231" s="176"/>
      <c r="G231" s="176" t="s">
        <v>375</v>
      </c>
      <c r="H231" s="180" t="s">
        <v>373</v>
      </c>
      <c r="I231" s="178"/>
      <c r="J231" s="234" t="s">
        <v>1318</v>
      </c>
      <c r="K231" s="211"/>
      <c r="L231" s="222" t="s">
        <v>353</v>
      </c>
      <c r="M231" s="179"/>
      <c r="N231" s="213"/>
      <c r="O231" s="214" t="s">
        <v>1319</v>
      </c>
      <c r="P231" s="202"/>
    </row>
    <row r="232" spans="1:16" ht="104.25">
      <c r="A232" s="210" t="s">
        <v>1286</v>
      </c>
      <c r="B232" s="176" t="s">
        <v>1320</v>
      </c>
      <c r="C232" s="176" t="s">
        <v>1321</v>
      </c>
      <c r="D232" s="176"/>
      <c r="E232" s="176" t="s">
        <v>633</v>
      </c>
      <c r="F232" s="176"/>
      <c r="G232" s="176" t="s">
        <v>1322</v>
      </c>
      <c r="H232" s="180"/>
      <c r="I232" s="178"/>
      <c r="J232" s="234" t="s">
        <v>1323</v>
      </c>
      <c r="K232" s="211"/>
      <c r="L232" s="222" t="s">
        <v>353</v>
      </c>
      <c r="M232" s="179"/>
      <c r="N232" s="213"/>
      <c r="O232" s="214" t="s">
        <v>1324</v>
      </c>
      <c r="P232" s="202"/>
    </row>
    <row r="233" spans="1:16" ht="104.25">
      <c r="A233" s="210" t="s">
        <v>1286</v>
      </c>
      <c r="B233" s="176" t="s">
        <v>1325</v>
      </c>
      <c r="C233" s="176" t="s">
        <v>1326</v>
      </c>
      <c r="D233" s="176" t="s">
        <v>99</v>
      </c>
      <c r="E233" s="176"/>
      <c r="F233" s="176"/>
      <c r="G233" s="176" t="s">
        <v>100</v>
      </c>
      <c r="H233" s="180" t="s">
        <v>87</v>
      </c>
      <c r="I233" s="178"/>
      <c r="J233" s="234" t="s">
        <v>1327</v>
      </c>
      <c r="K233" s="211"/>
      <c r="L233" s="222" t="s">
        <v>358</v>
      </c>
      <c r="M233" s="179"/>
      <c r="N233" s="213"/>
      <c r="O233" s="214" t="s">
        <v>1328</v>
      </c>
      <c r="P233" s="202"/>
    </row>
    <row r="234" spans="1:16" ht="104.25">
      <c r="A234" s="210" t="s">
        <v>1286</v>
      </c>
      <c r="B234" s="176" t="s">
        <v>1329</v>
      </c>
      <c r="C234" s="176" t="s">
        <v>1330</v>
      </c>
      <c r="D234" s="176"/>
      <c r="E234" s="176" t="s">
        <v>633</v>
      </c>
      <c r="F234" s="176"/>
      <c r="G234" s="176" t="s">
        <v>1322</v>
      </c>
      <c r="H234" s="180"/>
      <c r="I234" s="178"/>
      <c r="J234" s="234" t="s">
        <v>1331</v>
      </c>
      <c r="K234" s="211"/>
      <c r="L234" s="222" t="s">
        <v>353</v>
      </c>
      <c r="M234" s="179"/>
      <c r="N234" s="213"/>
      <c r="O234" s="214" t="s">
        <v>1332</v>
      </c>
      <c r="P234" s="202"/>
    </row>
    <row r="235" spans="1:16" ht="104.25">
      <c r="A235" s="210" t="s">
        <v>1286</v>
      </c>
      <c r="B235" s="176" t="s">
        <v>1333</v>
      </c>
      <c r="C235" s="176" t="s">
        <v>1334</v>
      </c>
      <c r="D235" s="176" t="s">
        <v>99</v>
      </c>
      <c r="E235" s="176"/>
      <c r="F235" s="176"/>
      <c r="G235" s="176" t="s">
        <v>100</v>
      </c>
      <c r="H235" s="180" t="s">
        <v>63</v>
      </c>
      <c r="I235" s="178"/>
      <c r="J235" s="234" t="s">
        <v>1335</v>
      </c>
      <c r="K235" s="211"/>
      <c r="L235" s="222" t="s">
        <v>353</v>
      </c>
      <c r="M235" s="179"/>
      <c r="N235" s="213"/>
      <c r="O235" s="214" t="s">
        <v>1336</v>
      </c>
      <c r="P235" s="202"/>
    </row>
    <row r="236" spans="1:16" ht="104.25">
      <c r="A236" s="210" t="s">
        <v>1286</v>
      </c>
      <c r="B236" s="176" t="s">
        <v>1337</v>
      </c>
      <c r="C236" s="176" t="s">
        <v>1338</v>
      </c>
      <c r="D236" s="176"/>
      <c r="E236" s="176"/>
      <c r="F236" s="176"/>
      <c r="G236" s="176" t="s">
        <v>1339</v>
      </c>
      <c r="H236" s="180" t="s">
        <v>373</v>
      </c>
      <c r="I236" s="178"/>
      <c r="J236" s="234" t="s">
        <v>1340</v>
      </c>
      <c r="K236" s="211"/>
      <c r="L236" s="221" t="s">
        <v>353</v>
      </c>
      <c r="M236" s="179"/>
      <c r="N236" s="213"/>
      <c r="O236" s="214" t="s">
        <v>1341</v>
      </c>
      <c r="P236" s="202"/>
    </row>
    <row r="237" spans="1:16" ht="104.25">
      <c r="A237" s="210" t="s">
        <v>1286</v>
      </c>
      <c r="B237" s="176" t="s">
        <v>1342</v>
      </c>
      <c r="C237" s="176" t="s">
        <v>1343</v>
      </c>
      <c r="D237" s="176" t="s">
        <v>1344</v>
      </c>
      <c r="E237" s="176" t="s">
        <v>633</v>
      </c>
      <c r="F237" s="176"/>
      <c r="G237" s="176" t="s">
        <v>1345</v>
      </c>
      <c r="H237" s="180"/>
      <c r="I237" s="178"/>
      <c r="J237" s="234" t="s">
        <v>1346</v>
      </c>
      <c r="K237" s="211"/>
      <c r="L237" s="222" t="s">
        <v>353</v>
      </c>
      <c r="M237" s="179"/>
      <c r="N237" s="213"/>
      <c r="O237" s="214" t="s">
        <v>1347</v>
      </c>
      <c r="P237" s="202"/>
    </row>
    <row r="238" spans="1:16" ht="81">
      <c r="A238" s="210" t="s">
        <v>1348</v>
      </c>
      <c r="B238" s="178" t="s">
        <v>930</v>
      </c>
      <c r="C238" s="176" t="s">
        <v>1349</v>
      </c>
      <c r="D238" s="176"/>
      <c r="E238" s="176"/>
      <c r="F238" s="176"/>
      <c r="G238" s="176" t="s">
        <v>784</v>
      </c>
      <c r="H238" s="180" t="s">
        <v>373</v>
      </c>
      <c r="I238" s="178"/>
      <c r="J238" s="214"/>
      <c r="K238" s="214" t="s">
        <v>1350</v>
      </c>
      <c r="L238" s="222"/>
      <c r="M238" s="179"/>
      <c r="N238" s="213"/>
      <c r="O238" s="214" t="s">
        <v>934</v>
      </c>
      <c r="P238" s="202"/>
    </row>
    <row r="239" spans="1:16" ht="81">
      <c r="A239" s="210" t="s">
        <v>1348</v>
      </c>
      <c r="B239" s="178" t="s">
        <v>898</v>
      </c>
      <c r="C239" s="176" t="s">
        <v>1351</v>
      </c>
      <c r="D239" s="176"/>
      <c r="E239" s="176"/>
      <c r="F239" s="176"/>
      <c r="G239" s="176" t="s">
        <v>1261</v>
      </c>
      <c r="H239" s="180" t="s">
        <v>373</v>
      </c>
      <c r="I239" s="178"/>
      <c r="J239" s="214"/>
      <c r="K239" s="214" t="s">
        <v>1352</v>
      </c>
      <c r="L239" s="222"/>
      <c r="M239" s="179"/>
      <c r="N239" s="213"/>
      <c r="O239" s="214" t="s">
        <v>901</v>
      </c>
      <c r="P239" s="202"/>
    </row>
    <row r="240" spans="1:16" ht="81">
      <c r="A240" s="210" t="s">
        <v>1348</v>
      </c>
      <c r="B240" s="178" t="s">
        <v>893</v>
      </c>
      <c r="C240" s="176" t="s">
        <v>1353</v>
      </c>
      <c r="D240" s="176"/>
      <c r="E240" s="176"/>
      <c r="F240" s="176"/>
      <c r="G240" s="176" t="s">
        <v>1261</v>
      </c>
      <c r="H240" s="180" t="s">
        <v>242</v>
      </c>
      <c r="I240" s="178"/>
      <c r="J240" s="214"/>
      <c r="K240" s="214" t="s">
        <v>1354</v>
      </c>
      <c r="L240" s="222"/>
      <c r="M240" s="179"/>
      <c r="N240" s="213"/>
      <c r="O240" s="214" t="s">
        <v>897</v>
      </c>
      <c r="P240" s="202"/>
    </row>
    <row r="241" spans="1:16" ht="81">
      <c r="A241" s="210" t="s">
        <v>1348</v>
      </c>
      <c r="B241" s="176" t="s">
        <v>1355</v>
      </c>
      <c r="C241" s="176" t="s">
        <v>1356</v>
      </c>
      <c r="D241" s="176"/>
      <c r="E241" s="176"/>
      <c r="F241" s="176"/>
      <c r="G241" s="176" t="s">
        <v>1357</v>
      </c>
      <c r="H241" s="180"/>
      <c r="I241" s="178"/>
      <c r="J241" s="214"/>
      <c r="K241" s="214" t="s">
        <v>1358</v>
      </c>
      <c r="L241" s="222" t="s">
        <v>358</v>
      </c>
      <c r="M241" s="179" t="s">
        <v>928</v>
      </c>
      <c r="N241" s="213"/>
      <c r="O241" s="234" t="s">
        <v>929</v>
      </c>
      <c r="P241" s="202"/>
    </row>
    <row r="242" spans="1:16" ht="81">
      <c r="A242" s="210" t="s">
        <v>1348</v>
      </c>
      <c r="B242" s="176" t="s">
        <v>1359</v>
      </c>
      <c r="C242" s="176" t="s">
        <v>1360</v>
      </c>
      <c r="D242" s="176"/>
      <c r="E242" s="176"/>
      <c r="F242" s="176"/>
      <c r="G242" s="176" t="s">
        <v>1357</v>
      </c>
      <c r="H242" s="180"/>
      <c r="I242" s="178"/>
      <c r="J242" s="214"/>
      <c r="K242" s="214" t="s">
        <v>1361</v>
      </c>
      <c r="L242" s="222"/>
      <c r="M242" s="179"/>
      <c r="N242" s="213"/>
      <c r="O242" s="214" t="s">
        <v>929</v>
      </c>
      <c r="P242" s="202"/>
    </row>
    <row r="243" spans="1:16" ht="81">
      <c r="A243" s="210" t="s">
        <v>1348</v>
      </c>
      <c r="B243" s="176" t="s">
        <v>1362</v>
      </c>
      <c r="C243" s="176" t="s">
        <v>1363</v>
      </c>
      <c r="D243" s="176"/>
      <c r="E243" s="176"/>
      <c r="F243" s="176"/>
      <c r="G243" s="176" t="s">
        <v>1364</v>
      </c>
      <c r="H243" s="180" t="s">
        <v>242</v>
      </c>
      <c r="I243" s="178"/>
      <c r="J243" s="214"/>
      <c r="K243" s="214" t="s">
        <v>1365</v>
      </c>
      <c r="L243" s="222" t="s">
        <v>358</v>
      </c>
      <c r="M243" s="179"/>
      <c r="N243" s="213"/>
      <c r="O243" s="214" t="s">
        <v>1366</v>
      </c>
      <c r="P243" s="202"/>
    </row>
    <row r="244" spans="1:16" ht="81">
      <c r="A244" s="210" t="s">
        <v>1348</v>
      </c>
      <c r="B244" s="178" t="s">
        <v>940</v>
      </c>
      <c r="C244" s="176" t="s">
        <v>941</v>
      </c>
      <c r="D244" s="176" t="s">
        <v>99</v>
      </c>
      <c r="E244" s="176"/>
      <c r="F244" s="176"/>
      <c r="G244" s="176" t="s">
        <v>100</v>
      </c>
      <c r="H244" s="180"/>
      <c r="I244" s="178"/>
      <c r="J244" s="214"/>
      <c r="K244" s="214" t="s">
        <v>1367</v>
      </c>
      <c r="L244" s="222"/>
      <c r="M244" s="179"/>
      <c r="N244" s="213"/>
      <c r="O244" s="214" t="s">
        <v>942</v>
      </c>
      <c r="P244" s="202"/>
    </row>
    <row r="245" spans="1:16" ht="81">
      <c r="A245" s="210" t="s">
        <v>1348</v>
      </c>
      <c r="B245" s="178" t="s">
        <v>833</v>
      </c>
      <c r="C245" s="176" t="s">
        <v>834</v>
      </c>
      <c r="D245" s="176"/>
      <c r="E245" s="176"/>
      <c r="F245" s="176"/>
      <c r="G245" s="176" t="s">
        <v>1368</v>
      </c>
      <c r="H245" s="180"/>
      <c r="I245" s="178"/>
      <c r="J245" s="214"/>
      <c r="K245" s="214" t="s">
        <v>1369</v>
      </c>
      <c r="L245" s="222"/>
      <c r="M245" s="179"/>
      <c r="N245" s="213"/>
      <c r="O245" s="214" t="s">
        <v>837</v>
      </c>
      <c r="P245" s="202"/>
    </row>
    <row r="246" spans="1:16" ht="81">
      <c r="A246" s="210" t="s">
        <v>1348</v>
      </c>
      <c r="B246" s="178" t="s">
        <v>888</v>
      </c>
      <c r="C246" s="176" t="s">
        <v>889</v>
      </c>
      <c r="D246" s="176"/>
      <c r="E246" s="176"/>
      <c r="F246" s="176"/>
      <c r="G246" s="176" t="s">
        <v>1370</v>
      </c>
      <c r="H246" s="180" t="s">
        <v>63</v>
      </c>
      <c r="I246" s="178"/>
      <c r="J246" s="214"/>
      <c r="K246" s="214" t="s">
        <v>1371</v>
      </c>
      <c r="L246" s="222"/>
      <c r="M246" s="179"/>
      <c r="N246" s="213"/>
      <c r="O246" s="214" t="s">
        <v>892</v>
      </c>
      <c r="P246" s="202"/>
    </row>
    <row r="247" spans="1:16" ht="81">
      <c r="A247" s="210" t="s">
        <v>1348</v>
      </c>
      <c r="B247" s="178" t="s">
        <v>950</v>
      </c>
      <c r="C247" s="176" t="s">
        <v>1372</v>
      </c>
      <c r="D247" s="176"/>
      <c r="E247" s="176"/>
      <c r="F247" s="176"/>
      <c r="G247" s="176" t="s">
        <v>1373</v>
      </c>
      <c r="H247" s="180" t="s">
        <v>373</v>
      </c>
      <c r="I247" s="178"/>
      <c r="J247" s="214"/>
      <c r="K247" s="214" t="s">
        <v>1374</v>
      </c>
      <c r="L247" s="222"/>
      <c r="M247" s="179"/>
      <c r="N247" s="213"/>
      <c r="O247" s="214" t="s">
        <v>954</v>
      </c>
      <c r="P247" s="202"/>
    </row>
    <row r="248" spans="1:16" ht="81">
      <c r="A248" s="210" t="s">
        <v>1348</v>
      </c>
      <c r="B248" s="178" t="s">
        <v>1375</v>
      </c>
      <c r="C248" s="176" t="s">
        <v>475</v>
      </c>
      <c r="D248" s="176"/>
      <c r="E248" s="176"/>
      <c r="F248" s="176"/>
      <c r="G248" s="176" t="s">
        <v>1261</v>
      </c>
      <c r="H248" s="180" t="s">
        <v>75</v>
      </c>
      <c r="I248" s="178"/>
      <c r="J248" s="214"/>
      <c r="K248" s="214" t="s">
        <v>1376</v>
      </c>
      <c r="L248" s="222"/>
      <c r="M248" s="179"/>
      <c r="N248" s="213"/>
      <c r="O248" s="214" t="s">
        <v>858</v>
      </c>
      <c r="P248" s="202"/>
    </row>
    <row r="249" spans="1:16" ht="81">
      <c r="A249" s="210" t="s">
        <v>1348</v>
      </c>
      <c r="B249" s="178" t="s">
        <v>971</v>
      </c>
      <c r="C249" s="176" t="s">
        <v>1377</v>
      </c>
      <c r="D249" s="176" t="s">
        <v>49</v>
      </c>
      <c r="E249" s="176"/>
      <c r="F249" s="176"/>
      <c r="G249" s="176" t="s">
        <v>1378</v>
      </c>
      <c r="H249" s="180" t="s">
        <v>45</v>
      </c>
      <c r="I249" s="178"/>
      <c r="J249" s="214"/>
      <c r="K249" s="214" t="s">
        <v>1379</v>
      </c>
      <c r="L249" s="222"/>
      <c r="M249" s="179"/>
      <c r="N249" s="213"/>
      <c r="O249" s="214" t="s">
        <v>974</v>
      </c>
      <c r="P249" s="202"/>
    </row>
    <row r="250" spans="1:16" ht="81">
      <c r="A250" s="210" t="s">
        <v>1348</v>
      </c>
      <c r="B250" s="176" t="s">
        <v>1380</v>
      </c>
      <c r="C250" s="176" t="s">
        <v>1381</v>
      </c>
      <c r="D250" s="176"/>
      <c r="E250" s="176"/>
      <c r="F250" s="176"/>
      <c r="G250" s="176" t="s">
        <v>1364</v>
      </c>
      <c r="H250" s="180" t="s">
        <v>1382</v>
      </c>
      <c r="I250" s="178"/>
      <c r="J250" s="214"/>
      <c r="K250" s="214" t="s">
        <v>1383</v>
      </c>
      <c r="L250" s="222" t="s">
        <v>358</v>
      </c>
      <c r="M250" s="179"/>
      <c r="N250" s="213"/>
      <c r="O250" s="214" t="s">
        <v>1384</v>
      </c>
      <c r="P250" s="202"/>
    </row>
    <row r="251" spans="1:16" ht="81">
      <c r="A251" s="210" t="s">
        <v>1348</v>
      </c>
      <c r="B251" s="176" t="s">
        <v>1385</v>
      </c>
      <c r="C251" s="176" t="s">
        <v>1386</v>
      </c>
      <c r="D251" s="176"/>
      <c r="E251" s="176" t="s">
        <v>355</v>
      </c>
      <c r="F251" s="176"/>
      <c r="G251" s="176" t="s">
        <v>1387</v>
      </c>
      <c r="H251" s="180" t="s">
        <v>242</v>
      </c>
      <c r="I251" s="178"/>
      <c r="J251" s="214"/>
      <c r="K251" s="214" t="s">
        <v>1388</v>
      </c>
      <c r="L251" s="222" t="s">
        <v>353</v>
      </c>
      <c r="M251" s="179"/>
      <c r="N251" s="213"/>
      <c r="O251" s="214" t="s">
        <v>1389</v>
      </c>
      <c r="P251" s="202"/>
    </row>
    <row r="252" spans="1:16" ht="81">
      <c r="A252" s="210" t="s">
        <v>1348</v>
      </c>
      <c r="B252" s="176" t="s">
        <v>1390</v>
      </c>
      <c r="C252" s="176" t="s">
        <v>1391</v>
      </c>
      <c r="D252" s="176" t="s">
        <v>49</v>
      </c>
      <c r="E252" s="176"/>
      <c r="F252" s="176"/>
      <c r="G252" s="176" t="s">
        <v>1082</v>
      </c>
      <c r="H252" s="180" t="s">
        <v>63</v>
      </c>
      <c r="I252" s="178"/>
      <c r="J252" s="214"/>
      <c r="K252" s="214" t="s">
        <v>1392</v>
      </c>
      <c r="L252" s="222" t="s">
        <v>358</v>
      </c>
      <c r="M252" s="179"/>
      <c r="N252" s="213"/>
      <c r="O252" s="214" t="s">
        <v>1393</v>
      </c>
      <c r="P252" s="202"/>
    </row>
    <row r="253" spans="1:16" ht="81">
      <c r="A253" s="210" t="s">
        <v>1348</v>
      </c>
      <c r="B253" s="176" t="s">
        <v>1394</v>
      </c>
      <c r="C253" s="176" t="s">
        <v>1395</v>
      </c>
      <c r="D253" s="176"/>
      <c r="E253" s="176" t="s">
        <v>633</v>
      </c>
      <c r="F253" s="176"/>
      <c r="G253" s="176" t="s">
        <v>1396</v>
      </c>
      <c r="H253" s="180" t="s">
        <v>134</v>
      </c>
      <c r="I253" s="178"/>
      <c r="J253" s="214"/>
      <c r="K253" s="214" t="s">
        <v>1397</v>
      </c>
      <c r="L253" s="222" t="s">
        <v>358</v>
      </c>
      <c r="M253" s="179"/>
      <c r="N253" s="213"/>
      <c r="O253" s="214" t="s">
        <v>1398</v>
      </c>
      <c r="P253" s="202"/>
    </row>
    <row r="254" spans="1:16" ht="81">
      <c r="A254" s="210" t="s">
        <v>1348</v>
      </c>
      <c r="B254" s="176" t="s">
        <v>1399</v>
      </c>
      <c r="C254" s="176" t="s">
        <v>1400</v>
      </c>
      <c r="D254" s="176"/>
      <c r="E254" s="176" t="s">
        <v>355</v>
      </c>
      <c r="F254" s="176"/>
      <c r="G254" s="176" t="s">
        <v>1401</v>
      </c>
      <c r="H254" s="180" t="s">
        <v>242</v>
      </c>
      <c r="I254" s="178"/>
      <c r="J254" s="214"/>
      <c r="K254" s="214" t="s">
        <v>1402</v>
      </c>
      <c r="L254" s="222" t="s">
        <v>353</v>
      </c>
      <c r="M254" s="179"/>
      <c r="N254" s="213"/>
      <c r="O254" s="214" t="s">
        <v>1403</v>
      </c>
      <c r="P254" s="202"/>
    </row>
    <row r="255" spans="1:16" ht="81">
      <c r="A255" s="210" t="s">
        <v>1348</v>
      </c>
      <c r="B255" s="176" t="s">
        <v>1404</v>
      </c>
      <c r="C255" s="176" t="s">
        <v>1405</v>
      </c>
      <c r="D255" s="176" t="s">
        <v>49</v>
      </c>
      <c r="E255" s="176"/>
      <c r="F255" s="176"/>
      <c r="G255" s="176" t="s">
        <v>1406</v>
      </c>
      <c r="H255" s="180" t="s">
        <v>87</v>
      </c>
      <c r="I255" s="178"/>
      <c r="J255" s="214"/>
      <c r="K255" s="214" t="s">
        <v>1407</v>
      </c>
      <c r="L255" s="222" t="s">
        <v>353</v>
      </c>
      <c r="M255" s="179"/>
      <c r="N255" s="213"/>
      <c r="O255" s="214" t="s">
        <v>1408</v>
      </c>
      <c r="P255" s="202"/>
    </row>
    <row r="256" spans="1:16" ht="81">
      <c r="A256" s="210" t="s">
        <v>1348</v>
      </c>
      <c r="B256" s="176" t="s">
        <v>1409</v>
      </c>
      <c r="C256" s="176" t="s">
        <v>1410</v>
      </c>
      <c r="D256" s="176"/>
      <c r="E256" s="176" t="s">
        <v>633</v>
      </c>
      <c r="F256" s="176"/>
      <c r="G256" s="176" t="s">
        <v>1396</v>
      </c>
      <c r="H256" s="180" t="s">
        <v>134</v>
      </c>
      <c r="I256" s="178"/>
      <c r="J256" s="214"/>
      <c r="K256" s="214" t="s">
        <v>1411</v>
      </c>
      <c r="L256" s="222" t="s">
        <v>353</v>
      </c>
      <c r="M256" s="179"/>
      <c r="N256" s="213"/>
      <c r="O256" s="214" t="s">
        <v>1412</v>
      </c>
      <c r="P256" s="202"/>
    </row>
    <row r="257" spans="1:16" ht="81">
      <c r="A257" s="210" t="s">
        <v>1348</v>
      </c>
      <c r="B257" s="176" t="s">
        <v>1413</v>
      </c>
      <c r="C257" s="176" t="s">
        <v>1414</v>
      </c>
      <c r="D257" s="176" t="s">
        <v>366</v>
      </c>
      <c r="E257" s="176"/>
      <c r="F257" s="176"/>
      <c r="G257" s="176" t="s">
        <v>231</v>
      </c>
      <c r="H257" s="180" t="s">
        <v>370</v>
      </c>
      <c r="I257" s="178"/>
      <c r="J257" s="214"/>
      <c r="K257" s="214" t="s">
        <v>1415</v>
      </c>
      <c r="L257" s="222" t="s">
        <v>353</v>
      </c>
      <c r="M257" s="179"/>
      <c r="N257" s="213"/>
      <c r="O257" s="214" t="s">
        <v>1416</v>
      </c>
      <c r="P257" s="202"/>
    </row>
    <row r="258" spans="1:16" ht="81">
      <c r="A258" s="210" t="s">
        <v>1348</v>
      </c>
      <c r="B258" s="176" t="s">
        <v>1417</v>
      </c>
      <c r="C258" s="176" t="s">
        <v>1418</v>
      </c>
      <c r="D258" s="176"/>
      <c r="E258" s="176" t="s">
        <v>355</v>
      </c>
      <c r="F258" s="176"/>
      <c r="G258" s="176" t="s">
        <v>404</v>
      </c>
      <c r="H258" s="180" t="s">
        <v>372</v>
      </c>
      <c r="I258" s="178"/>
      <c r="J258" s="214"/>
      <c r="K258" s="214" t="s">
        <v>1419</v>
      </c>
      <c r="L258" s="222" t="s">
        <v>353</v>
      </c>
      <c r="M258" s="179"/>
      <c r="N258" s="213"/>
      <c r="O258" s="214" t="s">
        <v>1420</v>
      </c>
      <c r="P258" s="202"/>
    </row>
    <row r="259" spans="1:16" ht="81">
      <c r="A259" s="210" t="s">
        <v>1348</v>
      </c>
      <c r="B259" s="176" t="s">
        <v>1421</v>
      </c>
      <c r="C259" s="176" t="s">
        <v>1422</v>
      </c>
      <c r="D259" s="176" t="s">
        <v>49</v>
      </c>
      <c r="E259" s="176"/>
      <c r="F259" s="176"/>
      <c r="G259" s="176" t="s">
        <v>1423</v>
      </c>
      <c r="H259" s="180" t="s">
        <v>87</v>
      </c>
      <c r="I259" s="178"/>
      <c r="J259" s="214"/>
      <c r="K259" s="214" t="s">
        <v>1424</v>
      </c>
      <c r="L259" s="222" t="s">
        <v>353</v>
      </c>
      <c r="M259" s="179"/>
      <c r="N259" s="213"/>
      <c r="O259" s="214" t="s">
        <v>1425</v>
      </c>
      <c r="P259" s="202"/>
    </row>
    <row r="260" spans="1:16" s="148" customFormat="1" ht="23.25">
      <c r="A260" s="215" t="s">
        <v>1426</v>
      </c>
      <c r="B260" s="181" t="s">
        <v>1427</v>
      </c>
      <c r="C260" s="181" t="s">
        <v>1427</v>
      </c>
      <c r="D260" s="181"/>
      <c r="E260" s="181"/>
      <c r="F260" s="181"/>
      <c r="G260" s="181" t="s">
        <v>1428</v>
      </c>
      <c r="H260" s="216"/>
      <c r="I260" s="178"/>
      <c r="J260" s="217"/>
      <c r="K260" s="217"/>
      <c r="L260" s="218" t="s">
        <v>353</v>
      </c>
      <c r="M260" s="182"/>
      <c r="N260" s="219"/>
      <c r="O260" s="220"/>
      <c r="P260" s="220"/>
    </row>
    <row r="261" spans="1:16" ht="81">
      <c r="A261" s="210" t="s">
        <v>1426</v>
      </c>
      <c r="B261" s="178" t="s">
        <v>1017</v>
      </c>
      <c r="C261" s="176" t="s">
        <v>1018</v>
      </c>
      <c r="D261" s="176"/>
      <c r="E261" s="176"/>
      <c r="F261" s="176"/>
      <c r="G261" s="176" t="s">
        <v>1019</v>
      </c>
      <c r="H261" s="180" t="s">
        <v>373</v>
      </c>
      <c r="I261" s="178"/>
      <c r="J261" s="214"/>
      <c r="K261" s="214" t="s">
        <v>1429</v>
      </c>
      <c r="L261" s="212"/>
      <c r="M261" s="179"/>
      <c r="N261" s="213"/>
      <c r="O261" s="214" t="s">
        <v>1023</v>
      </c>
      <c r="P261" s="202"/>
    </row>
    <row r="262" spans="1:16" ht="81">
      <c r="A262" s="210" t="s">
        <v>1426</v>
      </c>
      <c r="B262" s="178" t="s">
        <v>1430</v>
      </c>
      <c r="C262" s="176" t="s">
        <v>1431</v>
      </c>
      <c r="D262" s="176"/>
      <c r="E262" s="176"/>
      <c r="F262" s="176"/>
      <c r="G262" s="176" t="s">
        <v>1019</v>
      </c>
      <c r="H262" s="180" t="s">
        <v>373</v>
      </c>
      <c r="I262" s="178"/>
      <c r="J262" s="214"/>
      <c r="K262" s="214" t="s">
        <v>1432</v>
      </c>
      <c r="L262" s="212"/>
      <c r="M262" s="179"/>
      <c r="N262" s="213"/>
      <c r="O262" s="214" t="s">
        <v>1030</v>
      </c>
      <c r="P262" s="202"/>
    </row>
    <row r="263" spans="1:16" s="150" customFormat="1" ht="81">
      <c r="A263" s="215" t="s">
        <v>1426</v>
      </c>
      <c r="B263" s="178" t="s">
        <v>955</v>
      </c>
      <c r="C263" s="178" t="s">
        <v>1433</v>
      </c>
      <c r="D263" s="178"/>
      <c r="E263" s="178"/>
      <c r="F263" s="178"/>
      <c r="G263" s="178" t="s">
        <v>1434</v>
      </c>
      <c r="H263" s="239"/>
      <c r="I263" s="178"/>
      <c r="J263" s="240"/>
      <c r="K263" s="240" t="s">
        <v>1435</v>
      </c>
      <c r="L263" s="241"/>
      <c r="M263" s="193"/>
      <c r="N263" s="242"/>
      <c r="O263" s="240" t="s">
        <v>959</v>
      </c>
      <c r="P263" s="243"/>
    </row>
    <row r="264" spans="1:16" ht="36" customHeight="1">
      <c r="A264" s="210" t="s">
        <v>1426</v>
      </c>
      <c r="B264" s="176" t="s">
        <v>1436</v>
      </c>
      <c r="C264" s="176" t="s">
        <v>1437</v>
      </c>
      <c r="D264" s="176"/>
      <c r="E264" s="176"/>
      <c r="F264" s="176"/>
      <c r="G264" s="176" t="s">
        <v>1438</v>
      </c>
      <c r="H264" s="180"/>
      <c r="I264" s="178" t="s">
        <v>1439</v>
      </c>
      <c r="J264" s="214"/>
      <c r="K264" s="214" t="s">
        <v>1440</v>
      </c>
      <c r="L264" s="212"/>
      <c r="M264" s="179"/>
      <c r="N264" s="213"/>
      <c r="O264" s="214" t="s">
        <v>1071</v>
      </c>
      <c r="P264" s="202"/>
    </row>
    <row r="265" spans="1:16" s="148" customFormat="1" ht="15" customHeight="1">
      <c r="A265" s="215" t="s">
        <v>1426</v>
      </c>
      <c r="B265" s="181" t="s">
        <v>1066</v>
      </c>
      <c r="C265" s="181" t="s">
        <v>1066</v>
      </c>
      <c r="D265" s="181"/>
      <c r="E265" s="181"/>
      <c r="F265" s="181"/>
      <c r="G265" s="181" t="s">
        <v>1025</v>
      </c>
      <c r="H265" s="216"/>
      <c r="I265" s="178"/>
      <c r="J265" s="217"/>
      <c r="K265" s="217"/>
      <c r="L265" s="218" t="s">
        <v>353</v>
      </c>
      <c r="M265" s="182"/>
      <c r="N265" s="219"/>
      <c r="O265" s="220"/>
      <c r="P265" s="220"/>
    </row>
    <row r="266" spans="1:16" ht="32.25" customHeight="1">
      <c r="A266" s="210" t="s">
        <v>1426</v>
      </c>
      <c r="B266" s="176" t="s">
        <v>1441</v>
      </c>
      <c r="C266" s="176" t="s">
        <v>1442</v>
      </c>
      <c r="D266" s="176"/>
      <c r="E266" s="176"/>
      <c r="F266" s="176"/>
      <c r="G266" s="176" t="s">
        <v>1443</v>
      </c>
      <c r="H266" s="180" t="s">
        <v>370</v>
      </c>
      <c r="I266" s="178" t="s">
        <v>1444</v>
      </c>
      <c r="J266" s="211"/>
      <c r="K266" s="211"/>
      <c r="L266" s="212" t="s">
        <v>353</v>
      </c>
      <c r="M266" s="179"/>
      <c r="N266" s="213"/>
      <c r="O266" s="214" t="s">
        <v>1445</v>
      </c>
      <c r="P266" s="202"/>
    </row>
    <row r="267" spans="1:16" ht="23.25">
      <c r="A267" s="210" t="s">
        <v>1426</v>
      </c>
      <c r="B267" s="176" t="s">
        <v>1446</v>
      </c>
      <c r="C267" s="176" t="s">
        <v>1447</v>
      </c>
      <c r="D267" s="176" t="s">
        <v>61</v>
      </c>
      <c r="E267" s="176" t="s">
        <v>633</v>
      </c>
      <c r="F267" s="176"/>
      <c r="G267" s="176" t="s">
        <v>1448</v>
      </c>
      <c r="H267" s="180" t="s">
        <v>63</v>
      </c>
      <c r="I267" s="178" t="s">
        <v>1449</v>
      </c>
      <c r="J267" s="211"/>
      <c r="K267" s="211"/>
      <c r="L267" s="222" t="s">
        <v>353</v>
      </c>
      <c r="M267" s="179"/>
      <c r="N267" s="213"/>
      <c r="O267" s="214" t="s">
        <v>1450</v>
      </c>
      <c r="P267" s="202"/>
    </row>
    <row r="268" spans="1:16" s="148" customFormat="1" ht="23.25">
      <c r="A268" s="215" t="s">
        <v>1426</v>
      </c>
      <c r="B268" s="181" t="s">
        <v>993</v>
      </c>
      <c r="C268" s="181" t="s">
        <v>993</v>
      </c>
      <c r="D268" s="181"/>
      <c r="E268" s="181"/>
      <c r="F268" s="181"/>
      <c r="G268" s="181" t="s">
        <v>994</v>
      </c>
      <c r="H268" s="216"/>
      <c r="I268" s="178"/>
      <c r="J268" s="217"/>
      <c r="K268" s="217"/>
      <c r="L268" s="218" t="s">
        <v>353</v>
      </c>
      <c r="M268" s="182"/>
      <c r="N268" s="219"/>
      <c r="O268" s="220"/>
      <c r="P268" s="220"/>
    </row>
    <row r="269" spans="1:16" s="148" customFormat="1" ht="23.25">
      <c r="A269" s="215" t="s">
        <v>1426</v>
      </c>
      <c r="B269" s="181" t="s">
        <v>1130</v>
      </c>
      <c r="C269" s="181" t="s">
        <v>1130</v>
      </c>
      <c r="D269" s="181"/>
      <c r="E269" s="181"/>
      <c r="F269" s="181"/>
      <c r="G269" s="181" t="s">
        <v>1451</v>
      </c>
      <c r="H269" s="216"/>
      <c r="I269" s="178"/>
      <c r="J269" s="217"/>
      <c r="K269" s="217"/>
      <c r="L269" s="218" t="s">
        <v>353</v>
      </c>
      <c r="M269" s="182"/>
      <c r="N269" s="219"/>
      <c r="O269" s="220"/>
      <c r="P269" s="220"/>
    </row>
    <row r="270" spans="1:16" ht="66" customHeight="1">
      <c r="A270" s="210" t="s">
        <v>1426</v>
      </c>
      <c r="B270" s="176" t="s">
        <v>1375</v>
      </c>
      <c r="C270" s="176" t="s">
        <v>1452</v>
      </c>
      <c r="D270" s="176"/>
      <c r="E270" s="176"/>
      <c r="F270" s="176"/>
      <c r="G270" s="176" t="s">
        <v>1453</v>
      </c>
      <c r="H270" s="180" t="s">
        <v>242</v>
      </c>
      <c r="I270" s="178" t="s">
        <v>491</v>
      </c>
      <c r="J270" s="214"/>
      <c r="K270" s="214" t="s">
        <v>1454</v>
      </c>
      <c r="L270" s="222" t="s">
        <v>358</v>
      </c>
      <c r="M270" s="179"/>
      <c r="N270" s="213"/>
      <c r="O270" s="214" t="s">
        <v>858</v>
      </c>
      <c r="P270" s="202"/>
    </row>
    <row r="271" spans="1:16" ht="51" customHeight="1">
      <c r="A271" s="210" t="s">
        <v>1426</v>
      </c>
      <c r="B271" s="176" t="s">
        <v>1436</v>
      </c>
      <c r="C271" s="176" t="s">
        <v>1455</v>
      </c>
      <c r="D271" s="176"/>
      <c r="E271" s="176"/>
      <c r="F271" s="176"/>
      <c r="G271" s="176" t="s">
        <v>1438</v>
      </c>
      <c r="H271" s="180"/>
      <c r="I271" s="178" t="s">
        <v>1439</v>
      </c>
      <c r="J271" s="211"/>
      <c r="K271" s="211"/>
      <c r="L271" s="221" t="s">
        <v>358</v>
      </c>
      <c r="M271" s="179"/>
      <c r="N271" s="213"/>
      <c r="O271" s="214" t="s">
        <v>1456</v>
      </c>
      <c r="P271" s="202"/>
    </row>
    <row r="272" spans="1:16" ht="39.75" customHeight="1">
      <c r="A272" s="210" t="s">
        <v>1426</v>
      </c>
      <c r="B272" s="178" t="s">
        <v>1067</v>
      </c>
      <c r="C272" s="176" t="s">
        <v>1457</v>
      </c>
      <c r="D272" s="176"/>
      <c r="E272" s="176"/>
      <c r="F272" s="176"/>
      <c r="G272" s="176" t="s">
        <v>784</v>
      </c>
      <c r="H272" s="180" t="s">
        <v>1458</v>
      </c>
      <c r="I272" s="178" t="s">
        <v>1459</v>
      </c>
      <c r="J272" s="214"/>
      <c r="K272" s="214" t="s">
        <v>1460</v>
      </c>
      <c r="L272" s="221"/>
      <c r="M272" s="179"/>
      <c r="N272" s="213"/>
      <c r="O272" s="214" t="s">
        <v>1071</v>
      </c>
      <c r="P272" s="202"/>
    </row>
    <row r="273" spans="1:16" ht="81">
      <c r="A273" s="210" t="s">
        <v>1426</v>
      </c>
      <c r="B273" s="178" t="s">
        <v>1010</v>
      </c>
      <c r="C273" s="176" t="s">
        <v>1461</v>
      </c>
      <c r="D273" s="176"/>
      <c r="E273" s="176"/>
      <c r="F273" s="176"/>
      <c r="G273" s="176" t="s">
        <v>1462</v>
      </c>
      <c r="H273" s="180" t="s">
        <v>373</v>
      </c>
      <c r="I273" s="178"/>
      <c r="J273" s="214"/>
      <c r="K273" s="214" t="s">
        <v>1463</v>
      </c>
      <c r="L273" s="221"/>
      <c r="M273" s="179"/>
      <c r="N273" s="213"/>
      <c r="O273" s="214" t="s">
        <v>1013</v>
      </c>
      <c r="P273" s="202"/>
    </row>
    <row r="274" spans="1:16" s="148" customFormat="1" ht="23.25">
      <c r="A274" s="215" t="s">
        <v>1426</v>
      </c>
      <c r="B274" s="181" t="s">
        <v>1464</v>
      </c>
      <c r="C274" s="181" t="s">
        <v>1464</v>
      </c>
      <c r="D274" s="181"/>
      <c r="E274" s="181"/>
      <c r="F274" s="181"/>
      <c r="G274" s="181" t="s">
        <v>1465</v>
      </c>
      <c r="H274" s="216"/>
      <c r="I274" s="178"/>
      <c r="J274" s="217"/>
      <c r="K274" s="217"/>
      <c r="L274" s="218" t="s">
        <v>353</v>
      </c>
      <c r="M274" s="182"/>
      <c r="N274" s="219"/>
      <c r="O274" s="220"/>
      <c r="P274" s="220"/>
    </row>
    <row r="275" spans="1:16" ht="66" customHeight="1">
      <c r="A275" s="210" t="s">
        <v>1426</v>
      </c>
      <c r="B275" s="176" t="s">
        <v>1466</v>
      </c>
      <c r="C275" s="176" t="s">
        <v>1467</v>
      </c>
      <c r="D275" s="176"/>
      <c r="E275" s="176"/>
      <c r="F275" s="176"/>
      <c r="G275" s="176" t="s">
        <v>1468</v>
      </c>
      <c r="H275" s="180" t="s">
        <v>63</v>
      </c>
      <c r="I275" s="178" t="s">
        <v>1469</v>
      </c>
      <c r="J275" s="214"/>
      <c r="K275" s="214" t="s">
        <v>1470</v>
      </c>
      <c r="L275" s="222" t="s">
        <v>358</v>
      </c>
      <c r="M275" s="179"/>
      <c r="N275" s="213"/>
      <c r="O275" s="214" t="s">
        <v>1471</v>
      </c>
      <c r="P275" s="202"/>
    </row>
    <row r="276" spans="1:16" ht="24.75" customHeight="1">
      <c r="A276" s="210" t="s">
        <v>1426</v>
      </c>
      <c r="B276" s="176" t="s">
        <v>1472</v>
      </c>
      <c r="C276" s="176" t="s">
        <v>1473</v>
      </c>
      <c r="D276" s="176"/>
      <c r="E276" s="176"/>
      <c r="F276" s="176"/>
      <c r="G276" s="176" t="s">
        <v>1474</v>
      </c>
      <c r="H276" s="180" t="s">
        <v>63</v>
      </c>
      <c r="I276" s="178" t="s">
        <v>1475</v>
      </c>
      <c r="J276" s="214"/>
      <c r="K276" s="214" t="s">
        <v>1476</v>
      </c>
      <c r="L276" s="222" t="s">
        <v>353</v>
      </c>
      <c r="M276" s="179"/>
      <c r="N276" s="213"/>
      <c r="O276" s="214" t="s">
        <v>1477</v>
      </c>
      <c r="P276" s="202"/>
    </row>
    <row r="277" spans="1:16" ht="13.5" customHeight="1">
      <c r="A277" s="210" t="s">
        <v>1426</v>
      </c>
      <c r="B277" s="178" t="s">
        <v>1054</v>
      </c>
      <c r="C277" s="176" t="s">
        <v>1478</v>
      </c>
      <c r="D277" s="176"/>
      <c r="E277" s="176"/>
      <c r="F277" s="176"/>
      <c r="G277" s="176" t="s">
        <v>1474</v>
      </c>
      <c r="H277" s="180" t="s">
        <v>63</v>
      </c>
      <c r="I277" s="178" t="s">
        <v>1475</v>
      </c>
      <c r="J277" s="214"/>
      <c r="K277" s="214" t="s">
        <v>1479</v>
      </c>
      <c r="L277" s="222"/>
      <c r="M277" s="179"/>
      <c r="N277" s="213"/>
      <c r="O277" s="214" t="s">
        <v>1059</v>
      </c>
      <c r="P277" s="202"/>
    </row>
    <row r="278" spans="1:16" s="148" customFormat="1" ht="13.5" customHeight="1">
      <c r="A278" s="215" t="s">
        <v>1426</v>
      </c>
      <c r="B278" s="181" t="s">
        <v>863</v>
      </c>
      <c r="C278" s="181" t="s">
        <v>1480</v>
      </c>
      <c r="D278" s="181"/>
      <c r="E278" s="181"/>
      <c r="F278" s="181"/>
      <c r="G278" s="181"/>
      <c r="H278" s="216"/>
      <c r="I278" s="178"/>
      <c r="J278" s="225"/>
      <c r="K278" s="225" t="s">
        <v>1481</v>
      </c>
      <c r="L278" s="218"/>
      <c r="M278" s="182"/>
      <c r="N278" s="219"/>
      <c r="O278" s="220"/>
      <c r="P278" s="220"/>
    </row>
    <row r="279" spans="1:16" ht="20.25" customHeight="1">
      <c r="A279" s="210" t="s">
        <v>1426</v>
      </c>
      <c r="B279" s="178" t="s">
        <v>1090</v>
      </c>
      <c r="C279" s="176" t="s">
        <v>1482</v>
      </c>
      <c r="D279" s="176"/>
      <c r="E279" s="176"/>
      <c r="F279" s="176"/>
      <c r="G279" s="176" t="s">
        <v>784</v>
      </c>
      <c r="H279" s="246" t="s">
        <v>81</v>
      </c>
      <c r="I279" s="178" t="s">
        <v>1459</v>
      </c>
      <c r="J279" s="214"/>
      <c r="K279" s="214" t="s">
        <v>1483</v>
      </c>
      <c r="L279" s="222"/>
      <c r="M279" s="179"/>
      <c r="N279" s="213"/>
      <c r="O279" s="214" t="s">
        <v>1093</v>
      </c>
      <c r="P279" s="202"/>
    </row>
    <row r="280" spans="1:16" ht="20.25" customHeight="1">
      <c r="A280" s="210" t="s">
        <v>1426</v>
      </c>
      <c r="B280" s="178" t="s">
        <v>1175</v>
      </c>
      <c r="C280" s="176" t="s">
        <v>1484</v>
      </c>
      <c r="D280" s="176"/>
      <c r="E280" s="176"/>
      <c r="F280" s="176"/>
      <c r="G280" s="176" t="s">
        <v>1370</v>
      </c>
      <c r="H280" s="180" t="s">
        <v>63</v>
      </c>
      <c r="I280" s="178" t="s">
        <v>1475</v>
      </c>
      <c r="J280" s="214"/>
      <c r="K280" s="214" t="s">
        <v>1485</v>
      </c>
      <c r="L280" s="222"/>
      <c r="M280" s="179"/>
      <c r="N280" s="213"/>
      <c r="O280" s="214" t="s">
        <v>1179</v>
      </c>
      <c r="P280" s="202"/>
    </row>
    <row r="281" spans="1:16" ht="20.25" customHeight="1">
      <c r="A281" s="210" t="s">
        <v>1426</v>
      </c>
      <c r="B281" s="178" t="s">
        <v>1094</v>
      </c>
      <c r="C281" s="176" t="s">
        <v>1486</v>
      </c>
      <c r="D281" s="176"/>
      <c r="E281" s="176"/>
      <c r="F281" s="176"/>
      <c r="G281" s="176" t="s">
        <v>74</v>
      </c>
      <c r="H281" s="246" t="s">
        <v>134</v>
      </c>
      <c r="I281" s="178" t="s">
        <v>1487</v>
      </c>
      <c r="J281" s="214"/>
      <c r="K281" s="214" t="s">
        <v>1488</v>
      </c>
      <c r="L281" s="222"/>
      <c r="M281" s="179"/>
      <c r="N281" s="213"/>
      <c r="O281" s="214" t="s">
        <v>1097</v>
      </c>
      <c r="P281" s="202"/>
    </row>
    <row r="282" spans="1:16" ht="20.25" customHeight="1">
      <c r="A282" s="210" t="s">
        <v>1426</v>
      </c>
      <c r="B282" s="178" t="s">
        <v>1132</v>
      </c>
      <c r="C282" s="176" t="s">
        <v>1489</v>
      </c>
      <c r="D282" s="176"/>
      <c r="E282" s="176"/>
      <c r="F282" s="176"/>
      <c r="G282" s="176" t="s">
        <v>74</v>
      </c>
      <c r="H282" s="246" t="s">
        <v>134</v>
      </c>
      <c r="I282" s="178" t="s">
        <v>1487</v>
      </c>
      <c r="J282" s="214"/>
      <c r="K282" s="214" t="s">
        <v>1490</v>
      </c>
      <c r="L282" s="222"/>
      <c r="M282" s="179"/>
      <c r="N282" s="213"/>
      <c r="O282" s="214" t="s">
        <v>1136</v>
      </c>
      <c r="P282" s="202"/>
    </row>
    <row r="283" spans="1:16" s="148" customFormat="1" ht="20.25" customHeight="1">
      <c r="A283" s="215" t="s">
        <v>1426</v>
      </c>
      <c r="B283" s="181" t="s">
        <v>1491</v>
      </c>
      <c r="C283" s="181" t="s">
        <v>1491</v>
      </c>
      <c r="D283" s="181"/>
      <c r="E283" s="181"/>
      <c r="F283" s="181"/>
      <c r="G283" s="181" t="s">
        <v>241</v>
      </c>
      <c r="H283" s="216"/>
      <c r="I283" s="178"/>
      <c r="J283" s="217"/>
      <c r="K283" s="217"/>
      <c r="L283" s="218" t="s">
        <v>353</v>
      </c>
      <c r="M283" s="182"/>
      <c r="N283" s="219"/>
      <c r="O283" s="220"/>
      <c r="P283" s="220"/>
    </row>
    <row r="284" spans="1:16" ht="81">
      <c r="A284" s="210" t="s">
        <v>1426</v>
      </c>
      <c r="B284" s="176" t="s">
        <v>1492</v>
      </c>
      <c r="C284" s="176" t="s">
        <v>1493</v>
      </c>
      <c r="D284" s="176" t="s">
        <v>29</v>
      </c>
      <c r="E284" s="176"/>
      <c r="F284" s="176"/>
      <c r="G284" s="176" t="s">
        <v>1494</v>
      </c>
      <c r="H284" s="180" t="s">
        <v>63</v>
      </c>
      <c r="I284" s="178" t="s">
        <v>1495</v>
      </c>
      <c r="J284" s="214"/>
      <c r="K284" s="214" t="s">
        <v>1496</v>
      </c>
      <c r="L284" s="222" t="s">
        <v>358</v>
      </c>
      <c r="M284" s="179"/>
      <c r="N284" s="213"/>
      <c r="O284" s="214" t="s">
        <v>1497</v>
      </c>
      <c r="P284" s="202"/>
    </row>
    <row r="285" spans="1:16" ht="35.25">
      <c r="A285" s="210" t="s">
        <v>1426</v>
      </c>
      <c r="B285" s="176" t="s">
        <v>1498</v>
      </c>
      <c r="C285" s="176" t="s">
        <v>1499</v>
      </c>
      <c r="D285" s="176"/>
      <c r="E285" s="176"/>
      <c r="F285" s="176"/>
      <c r="G285" s="176" t="s">
        <v>1500</v>
      </c>
      <c r="H285" s="180" t="s">
        <v>63</v>
      </c>
      <c r="I285" s="178" t="s">
        <v>1501</v>
      </c>
      <c r="J285" s="211"/>
      <c r="K285" s="211"/>
      <c r="L285" s="222" t="s">
        <v>353</v>
      </c>
      <c r="M285" s="179"/>
      <c r="N285" s="213"/>
      <c r="O285" s="234" t="s">
        <v>1502</v>
      </c>
      <c r="P285" s="202"/>
    </row>
    <row r="286" spans="1:16" ht="81">
      <c r="A286" s="210" t="s">
        <v>1426</v>
      </c>
      <c r="B286" s="176" t="s">
        <v>1503</v>
      </c>
      <c r="C286" s="176" t="s">
        <v>1504</v>
      </c>
      <c r="D286" s="176"/>
      <c r="E286" s="176"/>
      <c r="F286" s="176"/>
      <c r="G286" s="176" t="s">
        <v>1505</v>
      </c>
      <c r="H286" s="180"/>
      <c r="I286" s="178" t="s">
        <v>1506</v>
      </c>
      <c r="J286" s="214"/>
      <c r="K286" s="214" t="s">
        <v>1507</v>
      </c>
      <c r="L286" s="222" t="s">
        <v>353</v>
      </c>
      <c r="M286" s="179"/>
      <c r="N286" s="213"/>
      <c r="O286" s="234" t="s">
        <v>1508</v>
      </c>
      <c r="P286" s="202"/>
    </row>
    <row r="287" spans="1:16" ht="81">
      <c r="A287" s="210" t="s">
        <v>1426</v>
      </c>
      <c r="B287" s="176" t="s">
        <v>1509</v>
      </c>
      <c r="C287" s="176" t="s">
        <v>1510</v>
      </c>
      <c r="D287" s="176" t="s">
        <v>1511</v>
      </c>
      <c r="E287" s="176"/>
      <c r="F287" s="176"/>
      <c r="G287" s="176" t="s">
        <v>1512</v>
      </c>
      <c r="H287" s="180" t="s">
        <v>374</v>
      </c>
      <c r="I287" s="178" t="s">
        <v>491</v>
      </c>
      <c r="J287" s="214"/>
      <c r="K287" s="214" t="s">
        <v>1513</v>
      </c>
      <c r="L287" s="221" t="s">
        <v>353</v>
      </c>
      <c r="M287" s="179"/>
      <c r="N287" s="213"/>
      <c r="O287" s="234" t="s">
        <v>1514</v>
      </c>
      <c r="P287" s="202"/>
    </row>
    <row r="288" spans="1:16" ht="81">
      <c r="A288" s="210" t="s">
        <v>1426</v>
      </c>
      <c r="B288" s="178" t="s">
        <v>1498</v>
      </c>
      <c r="C288" s="176" t="s">
        <v>1515</v>
      </c>
      <c r="D288" s="176"/>
      <c r="E288" s="176"/>
      <c r="F288" s="176"/>
      <c r="G288" s="176" t="s">
        <v>1500</v>
      </c>
      <c r="H288" s="180" t="s">
        <v>63</v>
      </c>
      <c r="I288" s="178" t="s">
        <v>1501</v>
      </c>
      <c r="J288" s="214"/>
      <c r="K288" s="234" t="s">
        <v>1516</v>
      </c>
      <c r="L288" s="221"/>
      <c r="M288" s="179"/>
      <c r="N288" s="213"/>
      <c r="O288" s="234" t="s">
        <v>1502</v>
      </c>
      <c r="P288" s="202"/>
    </row>
    <row r="289" spans="1:16" ht="81">
      <c r="A289" s="210" t="s">
        <v>1426</v>
      </c>
      <c r="B289" s="178" t="s">
        <v>1014</v>
      </c>
      <c r="C289" s="176" t="s">
        <v>1517</v>
      </c>
      <c r="D289" s="176"/>
      <c r="E289" s="176"/>
      <c r="F289" s="176"/>
      <c r="G289" s="176" t="s">
        <v>1518</v>
      </c>
      <c r="H289" s="180" t="s">
        <v>63</v>
      </c>
      <c r="I289" s="178" t="s">
        <v>1501</v>
      </c>
      <c r="J289" s="214"/>
      <c r="K289" s="234" t="s">
        <v>1519</v>
      </c>
      <c r="L289" s="221"/>
      <c r="M289" s="179"/>
      <c r="N289" s="213"/>
      <c r="O289" s="234" t="s">
        <v>1016</v>
      </c>
      <c r="P289" s="202"/>
    </row>
    <row r="290" spans="1:16" ht="81">
      <c r="A290" s="210" t="s">
        <v>1520</v>
      </c>
      <c r="B290" s="176" t="s">
        <v>1521</v>
      </c>
      <c r="C290" s="176" t="s">
        <v>1522</v>
      </c>
      <c r="D290" s="176"/>
      <c r="E290" s="176"/>
      <c r="F290" s="176"/>
      <c r="G290" s="176" t="s">
        <v>1523</v>
      </c>
      <c r="H290" s="180"/>
      <c r="I290" s="178" t="s">
        <v>32</v>
      </c>
      <c r="J290" s="214"/>
      <c r="K290" s="214" t="s">
        <v>1524</v>
      </c>
      <c r="L290" s="222" t="s">
        <v>353</v>
      </c>
      <c r="M290" s="179"/>
      <c r="N290" s="213"/>
      <c r="O290" s="234" t="s">
        <v>1525</v>
      </c>
      <c r="P290" s="202"/>
    </row>
    <row r="291" spans="1:16" ht="81">
      <c r="A291" s="210" t="s">
        <v>1520</v>
      </c>
      <c r="B291" s="176" t="s">
        <v>1526</v>
      </c>
      <c r="C291" s="176" t="s">
        <v>1527</v>
      </c>
      <c r="D291" s="176"/>
      <c r="E291" s="176"/>
      <c r="F291" s="176"/>
      <c r="G291" s="176" t="s">
        <v>1140</v>
      </c>
      <c r="H291" s="246" t="s">
        <v>242</v>
      </c>
      <c r="I291" s="223" t="s">
        <v>19</v>
      </c>
      <c r="J291" s="214"/>
      <c r="K291" s="214" t="s">
        <v>1528</v>
      </c>
      <c r="L291" s="222" t="s">
        <v>353</v>
      </c>
      <c r="M291" s="179"/>
      <c r="N291" s="213"/>
      <c r="O291" s="234" t="s">
        <v>1529</v>
      </c>
      <c r="P291" s="202"/>
    </row>
    <row r="292" spans="1:16" ht="12.75">
      <c r="A292" s="210" t="s">
        <v>1520</v>
      </c>
      <c r="B292" s="176" t="s">
        <v>1530</v>
      </c>
      <c r="C292" s="176" t="s">
        <v>1531</v>
      </c>
      <c r="D292" s="176"/>
      <c r="E292" s="176"/>
      <c r="F292" s="176"/>
      <c r="G292" s="176" t="s">
        <v>1145</v>
      </c>
      <c r="H292" s="180"/>
      <c r="I292" s="178" t="s">
        <v>32</v>
      </c>
      <c r="J292" s="211"/>
      <c r="K292" s="211"/>
      <c r="L292" s="222" t="s">
        <v>358</v>
      </c>
      <c r="M292" s="179"/>
      <c r="N292" s="213"/>
      <c r="O292" s="234" t="s">
        <v>1532</v>
      </c>
      <c r="P292" s="202"/>
    </row>
    <row r="293" spans="1:16" s="148" customFormat="1" ht="23.25">
      <c r="A293" s="215" t="s">
        <v>1520</v>
      </c>
      <c r="B293" s="181" t="s">
        <v>1533</v>
      </c>
      <c r="C293" s="181" t="s">
        <v>1533</v>
      </c>
      <c r="D293" s="181" t="s">
        <v>29</v>
      </c>
      <c r="E293" s="181"/>
      <c r="F293" s="181"/>
      <c r="G293" s="181" t="s">
        <v>413</v>
      </c>
      <c r="H293" s="216"/>
      <c r="I293" s="178"/>
      <c r="J293" s="217"/>
      <c r="K293" s="217"/>
      <c r="L293" s="218" t="s">
        <v>353</v>
      </c>
      <c r="M293" s="182"/>
      <c r="N293" s="219"/>
      <c r="O293" s="220"/>
      <c r="P293" s="220"/>
    </row>
    <row r="294" spans="1:16" s="148" customFormat="1" ht="23.25">
      <c r="A294" s="215" t="s">
        <v>1520</v>
      </c>
      <c r="B294" s="181" t="s">
        <v>1534</v>
      </c>
      <c r="C294" s="181" t="s">
        <v>1534</v>
      </c>
      <c r="D294" s="181"/>
      <c r="E294" s="181"/>
      <c r="F294" s="181"/>
      <c r="G294" s="181" t="s">
        <v>241</v>
      </c>
      <c r="H294" s="216"/>
      <c r="I294" s="178"/>
      <c r="J294" s="217"/>
      <c r="K294" s="217"/>
      <c r="L294" s="218" t="s">
        <v>353</v>
      </c>
      <c r="M294" s="182"/>
      <c r="N294" s="219"/>
      <c r="O294" s="220"/>
      <c r="P294" s="220"/>
    </row>
    <row r="295" spans="1:16" ht="81">
      <c r="A295" s="210" t="s">
        <v>1520</v>
      </c>
      <c r="B295" s="176" t="s">
        <v>1535</v>
      </c>
      <c r="C295" s="176" t="s">
        <v>1536</v>
      </c>
      <c r="D295" s="246" t="s">
        <v>29</v>
      </c>
      <c r="E295" s="176"/>
      <c r="F295" s="176"/>
      <c r="G295" s="176" t="s">
        <v>1537</v>
      </c>
      <c r="H295" s="180"/>
      <c r="I295" s="178" t="s">
        <v>32</v>
      </c>
      <c r="J295" s="214"/>
      <c r="K295" s="214" t="s">
        <v>1538</v>
      </c>
      <c r="L295" s="222" t="s">
        <v>353</v>
      </c>
      <c r="M295" s="179"/>
      <c r="N295" s="213"/>
      <c r="O295" s="234" t="s">
        <v>1539</v>
      </c>
      <c r="P295" s="202"/>
    </row>
    <row r="296" spans="1:16" ht="81">
      <c r="A296" s="210" t="s">
        <v>1520</v>
      </c>
      <c r="B296" s="176" t="s">
        <v>1540</v>
      </c>
      <c r="C296" s="176" t="s">
        <v>1541</v>
      </c>
      <c r="D296" s="176"/>
      <c r="E296" s="176"/>
      <c r="F296" s="176"/>
      <c r="G296" s="176" t="s">
        <v>1542</v>
      </c>
      <c r="H296" s="180"/>
      <c r="I296" s="178" t="s">
        <v>1543</v>
      </c>
      <c r="J296" s="214"/>
      <c r="K296" s="214" t="s">
        <v>1544</v>
      </c>
      <c r="L296" s="222" t="s">
        <v>353</v>
      </c>
      <c r="M296" s="179"/>
      <c r="N296" s="213"/>
      <c r="O296" s="234" t="s">
        <v>1545</v>
      </c>
      <c r="P296" s="202"/>
    </row>
    <row r="297" spans="1:16" s="148" customFormat="1" ht="23.25">
      <c r="A297" s="215" t="s">
        <v>1520</v>
      </c>
      <c r="B297" s="181" t="s">
        <v>1546</v>
      </c>
      <c r="C297" s="181" t="s">
        <v>1547</v>
      </c>
      <c r="D297" s="181"/>
      <c r="E297" s="181"/>
      <c r="F297" s="181"/>
      <c r="G297" s="181" t="s">
        <v>1548</v>
      </c>
      <c r="H297" s="216"/>
      <c r="I297" s="178"/>
      <c r="J297" s="217"/>
      <c r="K297" s="217"/>
      <c r="L297" s="218" t="s">
        <v>353</v>
      </c>
      <c r="M297" s="182"/>
      <c r="N297" s="219"/>
      <c r="O297" s="220"/>
      <c r="P297" s="220"/>
    </row>
    <row r="298" spans="1:16" s="148" customFormat="1" ht="81">
      <c r="A298" s="215" t="s">
        <v>1520</v>
      </c>
      <c r="B298" s="181" t="s">
        <v>1546</v>
      </c>
      <c r="C298" s="181" t="s">
        <v>1549</v>
      </c>
      <c r="D298" s="181"/>
      <c r="E298" s="181"/>
      <c r="F298" s="181"/>
      <c r="G298" s="181" t="s">
        <v>1550</v>
      </c>
      <c r="H298" s="216"/>
      <c r="I298" s="178" t="s">
        <v>1543</v>
      </c>
      <c r="J298" s="225"/>
      <c r="K298" s="247" t="s">
        <v>1551</v>
      </c>
      <c r="L298" s="218"/>
      <c r="M298" s="182"/>
      <c r="N298" s="219"/>
      <c r="O298" s="220"/>
      <c r="P298" s="220"/>
    </row>
    <row r="299" spans="1:16" ht="81">
      <c r="A299" s="210" t="s">
        <v>1520</v>
      </c>
      <c r="B299" s="176" t="s">
        <v>1552</v>
      </c>
      <c r="C299" s="176" t="s">
        <v>1553</v>
      </c>
      <c r="D299" s="176"/>
      <c r="E299" s="176"/>
      <c r="F299" s="176"/>
      <c r="G299" s="176" t="s">
        <v>1554</v>
      </c>
      <c r="H299" s="180" t="s">
        <v>63</v>
      </c>
      <c r="I299" s="178" t="s">
        <v>1555</v>
      </c>
      <c r="J299" s="214"/>
      <c r="K299" s="214" t="s">
        <v>1556</v>
      </c>
      <c r="L299" s="222" t="s">
        <v>353</v>
      </c>
      <c r="M299" s="179"/>
      <c r="N299" s="213"/>
      <c r="O299" s="234" t="s">
        <v>1557</v>
      </c>
      <c r="P299" s="202"/>
    </row>
    <row r="300" spans="1:16" ht="81">
      <c r="A300" s="210" t="s">
        <v>1520</v>
      </c>
      <c r="B300" s="176" t="s">
        <v>1558</v>
      </c>
      <c r="C300" s="176" t="s">
        <v>1559</v>
      </c>
      <c r="D300" s="246" t="s">
        <v>29</v>
      </c>
      <c r="E300" s="176"/>
      <c r="F300" s="176"/>
      <c r="G300" s="176" t="s">
        <v>1537</v>
      </c>
      <c r="H300" s="180"/>
      <c r="I300" s="178" t="s">
        <v>32</v>
      </c>
      <c r="J300" s="214"/>
      <c r="K300" s="214" t="s">
        <v>1560</v>
      </c>
      <c r="L300" s="222" t="s">
        <v>353</v>
      </c>
      <c r="M300" s="179"/>
      <c r="N300" s="213"/>
      <c r="O300" s="234" t="s">
        <v>1561</v>
      </c>
      <c r="P300" s="202"/>
    </row>
    <row r="301" spans="1:16" s="148" customFormat="1" ht="81">
      <c r="A301" s="215" t="s">
        <v>1520</v>
      </c>
      <c r="B301" s="181" t="s">
        <v>1562</v>
      </c>
      <c r="C301" s="181" t="s">
        <v>1562</v>
      </c>
      <c r="D301" s="181"/>
      <c r="E301" s="181"/>
      <c r="F301" s="181"/>
      <c r="G301" s="181" t="s">
        <v>241</v>
      </c>
      <c r="H301" s="216"/>
      <c r="I301" s="178"/>
      <c r="J301" s="225"/>
      <c r="K301" s="225" t="s">
        <v>1563</v>
      </c>
      <c r="L301" s="218" t="s">
        <v>353</v>
      </c>
      <c r="M301" s="182"/>
      <c r="N301" s="219"/>
      <c r="O301" s="220"/>
      <c r="P301" s="220"/>
    </row>
    <row r="302" spans="1:16" ht="12.75">
      <c r="A302" s="210" t="s">
        <v>1564</v>
      </c>
      <c r="B302" s="176" t="s">
        <v>1565</v>
      </c>
      <c r="C302" s="176" t="s">
        <v>1566</v>
      </c>
      <c r="D302" s="176"/>
      <c r="E302" s="176"/>
      <c r="F302" s="176"/>
      <c r="G302" s="176" t="s">
        <v>241</v>
      </c>
      <c r="H302" s="180" t="s">
        <v>373</v>
      </c>
      <c r="I302" s="178"/>
      <c r="J302" s="211"/>
      <c r="K302" s="211"/>
      <c r="L302" s="212" t="s">
        <v>353</v>
      </c>
      <c r="M302" s="179"/>
      <c r="N302" s="213"/>
      <c r="O302" s="234" t="s">
        <v>1567</v>
      </c>
      <c r="P302" s="202"/>
    </row>
    <row r="303" spans="1:16" ht="81">
      <c r="A303" s="210" t="s">
        <v>1564</v>
      </c>
      <c r="B303" s="178" t="s">
        <v>1530</v>
      </c>
      <c r="C303" s="176" t="s">
        <v>1568</v>
      </c>
      <c r="D303" s="176"/>
      <c r="E303" s="176"/>
      <c r="F303" s="176"/>
      <c r="G303" s="176" t="s">
        <v>1569</v>
      </c>
      <c r="H303" s="180" t="s">
        <v>75</v>
      </c>
      <c r="I303" s="178" t="s">
        <v>32</v>
      </c>
      <c r="J303" s="214"/>
      <c r="K303" s="214" t="s">
        <v>1570</v>
      </c>
      <c r="L303" s="212"/>
      <c r="M303" s="179"/>
      <c r="N303" s="213"/>
      <c r="O303" s="202"/>
      <c r="P303" s="202"/>
    </row>
    <row r="304" spans="1:16" ht="81">
      <c r="A304" s="210" t="s">
        <v>1564</v>
      </c>
      <c r="B304" s="176" t="s">
        <v>1571</v>
      </c>
      <c r="C304" s="176" t="s">
        <v>1572</v>
      </c>
      <c r="D304" s="176"/>
      <c r="E304" s="176"/>
      <c r="F304" s="176"/>
      <c r="G304" s="176" t="s">
        <v>1573</v>
      </c>
      <c r="H304" s="246" t="s">
        <v>242</v>
      </c>
      <c r="I304" s="223" t="s">
        <v>19</v>
      </c>
      <c r="J304" s="249"/>
      <c r="K304" s="248" t="s">
        <v>1574</v>
      </c>
      <c r="L304" s="222" t="s">
        <v>353</v>
      </c>
      <c r="M304" s="179"/>
      <c r="N304" s="213"/>
      <c r="O304" s="234" t="s">
        <v>1575</v>
      </c>
      <c r="P304" s="202"/>
    </row>
    <row r="305" spans="1:16" ht="81">
      <c r="A305" s="210" t="s">
        <v>1564</v>
      </c>
      <c r="B305" s="176" t="s">
        <v>1576</v>
      </c>
      <c r="C305" s="176" t="s">
        <v>1577</v>
      </c>
      <c r="D305" s="176"/>
      <c r="E305" s="176"/>
      <c r="F305" s="176"/>
      <c r="G305" s="176" t="s">
        <v>1578</v>
      </c>
      <c r="H305" s="180" t="s">
        <v>75</v>
      </c>
      <c r="I305" s="223" t="s">
        <v>19</v>
      </c>
      <c r="J305" s="249"/>
      <c r="K305" s="248" t="s">
        <v>1579</v>
      </c>
      <c r="L305" s="222" t="s">
        <v>358</v>
      </c>
      <c r="M305" s="179"/>
      <c r="N305" s="213"/>
      <c r="O305" s="250" t="s">
        <v>1580</v>
      </c>
      <c r="P305" s="202"/>
    </row>
    <row r="306" spans="1:16" s="148" customFormat="1" ht="35.25">
      <c r="A306" s="215" t="s">
        <v>1564</v>
      </c>
      <c r="B306" s="181" t="s">
        <v>1581</v>
      </c>
      <c r="C306" s="181" t="s">
        <v>1581</v>
      </c>
      <c r="D306" s="181"/>
      <c r="E306" s="181"/>
      <c r="F306" s="181"/>
      <c r="G306" s="181" t="s">
        <v>241</v>
      </c>
      <c r="H306" s="216"/>
      <c r="I306" s="178"/>
      <c r="J306" s="252"/>
      <c r="K306" s="251"/>
      <c r="L306" s="218" t="s">
        <v>353</v>
      </c>
      <c r="M306" s="182"/>
      <c r="N306" s="219"/>
      <c r="O306" s="247"/>
      <c r="P306" s="220"/>
    </row>
    <row r="307" spans="1:16" s="148" customFormat="1" ht="35.25">
      <c r="A307" s="215" t="s">
        <v>1564</v>
      </c>
      <c r="B307" s="181" t="s">
        <v>1581</v>
      </c>
      <c r="C307" s="181" t="s">
        <v>1581</v>
      </c>
      <c r="D307" s="181"/>
      <c r="E307" s="181"/>
      <c r="F307" s="181"/>
      <c r="G307" s="181" t="s">
        <v>241</v>
      </c>
      <c r="H307" s="216"/>
      <c r="I307" s="178"/>
      <c r="J307" s="252"/>
      <c r="K307" s="251"/>
      <c r="L307" s="218" t="s">
        <v>353</v>
      </c>
      <c r="M307" s="182"/>
      <c r="N307" s="219"/>
      <c r="O307" s="220"/>
      <c r="P307" s="220"/>
    </row>
    <row r="308" spans="1:16" ht="81">
      <c r="A308" s="210" t="s">
        <v>1564</v>
      </c>
      <c r="B308" s="176" t="s">
        <v>1582</v>
      </c>
      <c r="C308" s="176" t="s">
        <v>1583</v>
      </c>
      <c r="D308" s="176" t="s">
        <v>29</v>
      </c>
      <c r="E308" s="176"/>
      <c r="F308" s="176"/>
      <c r="G308" s="176" t="s">
        <v>1584</v>
      </c>
      <c r="H308" s="180"/>
      <c r="I308" s="178" t="s">
        <v>32</v>
      </c>
      <c r="J308" s="249"/>
      <c r="K308" s="248" t="s">
        <v>1585</v>
      </c>
      <c r="L308" s="222" t="s">
        <v>353</v>
      </c>
      <c r="M308" s="179"/>
      <c r="N308" s="213"/>
      <c r="O308" s="234" t="s">
        <v>1586</v>
      </c>
      <c r="P308" s="202"/>
    </row>
    <row r="309" spans="1:16" s="148" customFormat="1" ht="81">
      <c r="A309" s="215" t="s">
        <v>1564</v>
      </c>
      <c r="B309" s="181" t="s">
        <v>1587</v>
      </c>
      <c r="C309" s="181" t="s">
        <v>1587</v>
      </c>
      <c r="D309" s="181"/>
      <c r="E309" s="181" t="s">
        <v>355</v>
      </c>
      <c r="F309" s="181"/>
      <c r="G309" s="181" t="s">
        <v>1588</v>
      </c>
      <c r="H309" s="216"/>
      <c r="I309" s="178"/>
      <c r="J309" s="252"/>
      <c r="K309" s="251" t="s">
        <v>1585</v>
      </c>
      <c r="L309" s="218" t="s">
        <v>353</v>
      </c>
      <c r="M309" s="182"/>
      <c r="N309" s="219"/>
      <c r="O309" s="220"/>
      <c r="P309" s="220"/>
    </row>
    <row r="310" spans="1:16" ht="81">
      <c r="A310" s="210" t="s">
        <v>1564</v>
      </c>
      <c r="B310" s="176" t="s">
        <v>1589</v>
      </c>
      <c r="C310" s="176" t="s">
        <v>1590</v>
      </c>
      <c r="D310" s="176"/>
      <c r="E310" s="176"/>
      <c r="F310" s="176"/>
      <c r="G310" s="176" t="s">
        <v>1303</v>
      </c>
      <c r="H310" s="180" t="s">
        <v>63</v>
      </c>
      <c r="I310" s="223" t="s">
        <v>1506</v>
      </c>
      <c r="J310" s="249"/>
      <c r="K310" s="248" t="s">
        <v>1591</v>
      </c>
      <c r="L310" s="222" t="s">
        <v>353</v>
      </c>
      <c r="M310" s="179"/>
      <c r="N310" s="213"/>
      <c r="O310" s="234" t="s">
        <v>1592</v>
      </c>
      <c r="P310" s="202"/>
    </row>
    <row r="311" spans="1:16" ht="81">
      <c r="A311" s="210" t="s">
        <v>1564</v>
      </c>
      <c r="B311" s="176" t="s">
        <v>1593</v>
      </c>
      <c r="C311" s="176" t="s">
        <v>1594</v>
      </c>
      <c r="D311" s="176"/>
      <c r="E311" s="176"/>
      <c r="F311" s="176"/>
      <c r="G311" s="176" t="s">
        <v>1595</v>
      </c>
      <c r="H311" s="180" t="s">
        <v>63</v>
      </c>
      <c r="I311" s="223" t="s">
        <v>1506</v>
      </c>
      <c r="J311" s="249"/>
      <c r="K311" s="248" t="s">
        <v>1596</v>
      </c>
      <c r="L311" s="222" t="s">
        <v>353</v>
      </c>
      <c r="M311" s="179"/>
      <c r="N311" s="213"/>
      <c r="O311" s="234" t="s">
        <v>1597</v>
      </c>
      <c r="P311" s="202"/>
    </row>
    <row r="312" spans="1:16" s="148" customFormat="1" ht="81">
      <c r="A312" s="215" t="s">
        <v>1564</v>
      </c>
      <c r="B312" s="181" t="s">
        <v>1598</v>
      </c>
      <c r="C312" s="181" t="s">
        <v>1598</v>
      </c>
      <c r="D312" s="181"/>
      <c r="E312" s="181"/>
      <c r="F312" s="181"/>
      <c r="G312" s="181" t="s">
        <v>1599</v>
      </c>
      <c r="H312" s="216"/>
      <c r="I312" s="178"/>
      <c r="J312" s="252"/>
      <c r="K312" s="251" t="s">
        <v>1579</v>
      </c>
      <c r="L312" s="218" t="s">
        <v>353</v>
      </c>
      <c r="M312" s="182"/>
      <c r="N312" s="219"/>
      <c r="O312" s="220"/>
      <c r="P312" s="220"/>
    </row>
    <row r="313" spans="1:16" ht="15.75" customHeight="1">
      <c r="A313" s="210" t="s">
        <v>1564</v>
      </c>
      <c r="B313" s="178" t="s">
        <v>1287</v>
      </c>
      <c r="C313" s="176" t="s">
        <v>1288</v>
      </c>
      <c r="D313" s="176"/>
      <c r="E313" s="176"/>
      <c r="F313" s="176"/>
      <c r="G313" s="224" t="s">
        <v>1289</v>
      </c>
      <c r="H313" s="180" t="s">
        <v>63</v>
      </c>
      <c r="I313" s="186" t="s">
        <v>1600</v>
      </c>
      <c r="J313" s="254"/>
      <c r="K313" s="253" t="s">
        <v>1601</v>
      </c>
      <c r="L313" s="255"/>
      <c r="M313" s="179"/>
      <c r="N313" s="213"/>
      <c r="O313" s="234" t="s">
        <v>1291</v>
      </c>
      <c r="P313" s="202"/>
    </row>
    <row r="314" spans="1:16" ht="15.75" customHeight="1">
      <c r="A314" s="210" t="s">
        <v>1564</v>
      </c>
      <c r="B314" s="178" t="s">
        <v>1157</v>
      </c>
      <c r="C314" s="176" t="s">
        <v>1158</v>
      </c>
      <c r="D314" s="176"/>
      <c r="E314" s="176"/>
      <c r="F314" s="176"/>
      <c r="G314" s="176" t="s">
        <v>1159</v>
      </c>
      <c r="H314" s="180" t="s">
        <v>75</v>
      </c>
      <c r="I314" s="186" t="s">
        <v>1600</v>
      </c>
      <c r="J314" s="254"/>
      <c r="K314" s="256" t="s">
        <v>1602</v>
      </c>
      <c r="L314" s="255"/>
      <c r="M314" s="179"/>
      <c r="N314" s="213"/>
      <c r="O314" s="234" t="s">
        <v>1161</v>
      </c>
      <c r="P314" s="202"/>
    </row>
    <row r="315" spans="1:16" s="148" customFormat="1" ht="15.75" customHeight="1">
      <c r="A315" s="215" t="s">
        <v>1564</v>
      </c>
      <c r="B315" s="181" t="s">
        <v>1603</v>
      </c>
      <c r="C315" s="181" t="s">
        <v>1604</v>
      </c>
      <c r="D315" s="181"/>
      <c r="E315" s="181"/>
      <c r="F315" s="181"/>
      <c r="G315" s="181" t="s">
        <v>241</v>
      </c>
      <c r="H315" s="216" t="s">
        <v>373</v>
      </c>
      <c r="I315" s="178"/>
      <c r="J315" s="258"/>
      <c r="K315" s="257" t="s">
        <v>1605</v>
      </c>
      <c r="L315" s="218"/>
      <c r="M315" s="182"/>
      <c r="N315" s="219"/>
      <c r="O315" s="247" t="s">
        <v>1606</v>
      </c>
      <c r="P315" s="220"/>
    </row>
    <row r="316" spans="1:16" ht="15.75" customHeight="1">
      <c r="A316" s="210" t="s">
        <v>1607</v>
      </c>
      <c r="B316" s="178" t="s">
        <v>1608</v>
      </c>
      <c r="C316" s="176" t="s">
        <v>1609</v>
      </c>
      <c r="D316" s="176" t="s">
        <v>29</v>
      </c>
      <c r="E316" s="176"/>
      <c r="F316" s="176"/>
      <c r="G316" s="176" t="s">
        <v>1584</v>
      </c>
      <c r="H316" s="180"/>
      <c r="I316" s="178" t="s">
        <v>32</v>
      </c>
      <c r="J316" s="249"/>
      <c r="K316" s="248" t="s">
        <v>1610</v>
      </c>
      <c r="L316" s="255"/>
      <c r="M316" s="179"/>
      <c r="N316" s="213"/>
      <c r="O316" s="234" t="s">
        <v>1611</v>
      </c>
      <c r="P316" s="202"/>
    </row>
    <row r="317" spans="1:16" ht="15.75" customHeight="1">
      <c r="A317" s="210" t="s">
        <v>1607</v>
      </c>
      <c r="B317" s="178" t="s">
        <v>1612</v>
      </c>
      <c r="C317" s="176" t="s">
        <v>1613</v>
      </c>
      <c r="D317" s="176"/>
      <c r="E317" s="176"/>
      <c r="F317" s="176"/>
      <c r="G317" s="176" t="s">
        <v>1614</v>
      </c>
      <c r="H317" s="180" t="s">
        <v>75</v>
      </c>
      <c r="I317" s="186" t="s">
        <v>1600</v>
      </c>
      <c r="J317" s="249"/>
      <c r="K317" s="253" t="s">
        <v>1615</v>
      </c>
      <c r="L317" s="255"/>
      <c r="M317" s="179"/>
      <c r="N317" s="213"/>
      <c r="O317" s="234" t="s">
        <v>1611</v>
      </c>
      <c r="P317" s="202"/>
    </row>
    <row r="318" spans="1:16" s="148" customFormat="1" ht="15.75" customHeight="1">
      <c r="A318" s="215" t="s">
        <v>1607</v>
      </c>
      <c r="B318" s="181" t="s">
        <v>1616</v>
      </c>
      <c r="C318" s="181" t="s">
        <v>1617</v>
      </c>
      <c r="D318" s="181"/>
      <c r="E318" s="181"/>
      <c r="F318" s="181"/>
      <c r="G318" s="181"/>
      <c r="H318" s="216"/>
      <c r="I318" s="178"/>
      <c r="J318" s="252"/>
      <c r="K318" s="251" t="s">
        <v>1618</v>
      </c>
      <c r="L318" s="218"/>
      <c r="M318" s="182"/>
      <c r="N318" s="219"/>
      <c r="O318" s="220"/>
      <c r="P318" s="220"/>
    </row>
    <row r="319" spans="1:16" ht="15.75" customHeight="1">
      <c r="A319" s="210" t="s">
        <v>1607</v>
      </c>
      <c r="B319" s="178" t="s">
        <v>1619</v>
      </c>
      <c r="C319" s="176" t="s">
        <v>1620</v>
      </c>
      <c r="D319" s="176"/>
      <c r="E319" s="176"/>
      <c r="F319" s="176"/>
      <c r="G319" s="176" t="s">
        <v>1159</v>
      </c>
      <c r="H319" s="180" t="s">
        <v>75</v>
      </c>
      <c r="I319" s="186" t="s">
        <v>1600</v>
      </c>
      <c r="J319" s="249"/>
      <c r="K319" s="248" t="s">
        <v>1621</v>
      </c>
      <c r="L319" s="255"/>
      <c r="M319" s="179"/>
      <c r="N319" s="213"/>
      <c r="O319" s="234" t="s">
        <v>1622</v>
      </c>
      <c r="P319" s="202"/>
    </row>
    <row r="320" spans="1:16" ht="15.75" customHeight="1">
      <c r="A320" s="210" t="s">
        <v>1607</v>
      </c>
      <c r="B320" s="178" t="s">
        <v>1623</v>
      </c>
      <c r="C320" s="176" t="s">
        <v>1624</v>
      </c>
      <c r="D320" s="176"/>
      <c r="E320" s="176"/>
      <c r="F320" s="176"/>
      <c r="G320" s="176" t="s">
        <v>1159</v>
      </c>
      <c r="H320" s="180" t="s">
        <v>75</v>
      </c>
      <c r="I320" s="186" t="s">
        <v>1600</v>
      </c>
      <c r="J320" s="249"/>
      <c r="K320" s="248" t="s">
        <v>1625</v>
      </c>
      <c r="L320" s="255"/>
      <c r="M320" s="179"/>
      <c r="N320" s="213"/>
      <c r="O320" s="234" t="s">
        <v>1626</v>
      </c>
      <c r="P320" s="202"/>
    </row>
    <row r="321" spans="1:16" ht="15.75" customHeight="1">
      <c r="A321" s="210" t="s">
        <v>1607</v>
      </c>
      <c r="B321" s="178" t="s">
        <v>1627</v>
      </c>
      <c r="C321" s="176" t="s">
        <v>1628</v>
      </c>
      <c r="D321" s="176"/>
      <c r="E321" s="176"/>
      <c r="F321" s="176"/>
      <c r="G321" s="176" t="s">
        <v>1159</v>
      </c>
      <c r="H321" s="180" t="s">
        <v>75</v>
      </c>
      <c r="I321" s="178" t="s">
        <v>1600</v>
      </c>
      <c r="J321" s="249"/>
      <c r="K321" s="253" t="s">
        <v>1629</v>
      </c>
      <c r="L321" s="255"/>
      <c r="M321" s="179"/>
      <c r="N321" s="213"/>
      <c r="O321" s="234" t="s">
        <v>858</v>
      </c>
      <c r="P321" s="202"/>
    </row>
    <row r="322" spans="1:16" s="148" customFormat="1" ht="15.75" customHeight="1">
      <c r="A322" s="215" t="s">
        <v>1607</v>
      </c>
      <c r="B322" s="181" t="s">
        <v>1630</v>
      </c>
      <c r="C322" s="181" t="s">
        <v>1631</v>
      </c>
      <c r="D322" s="181"/>
      <c r="E322" s="181"/>
      <c r="F322" s="181"/>
      <c r="G322" s="181"/>
      <c r="H322" s="216"/>
      <c r="I322" s="178"/>
      <c r="J322" s="252"/>
      <c r="K322" s="259" t="s">
        <v>1632</v>
      </c>
      <c r="L322" s="218"/>
      <c r="M322" s="182"/>
      <c r="N322" s="219"/>
      <c r="O322" s="247"/>
      <c r="P322" s="220"/>
    </row>
    <row r="323" spans="1:16" ht="15.75" customHeight="1">
      <c r="A323" s="210" t="s">
        <v>1607</v>
      </c>
      <c r="B323" s="178" t="s">
        <v>1633</v>
      </c>
      <c r="C323" s="176" t="s">
        <v>1634</v>
      </c>
      <c r="D323" s="176"/>
      <c r="E323" s="176"/>
      <c r="F323" s="176"/>
      <c r="G323" s="176" t="s">
        <v>62</v>
      </c>
      <c r="H323" s="180" t="s">
        <v>63</v>
      </c>
      <c r="I323" s="178" t="s">
        <v>1475</v>
      </c>
      <c r="J323" s="249"/>
      <c r="K323" s="248" t="s">
        <v>1635</v>
      </c>
      <c r="L323" s="255"/>
      <c r="M323" s="179"/>
      <c r="N323" s="213"/>
      <c r="O323" s="234" t="s">
        <v>1636</v>
      </c>
      <c r="P323" s="202"/>
    </row>
    <row r="324" spans="1:16" ht="15.75" customHeight="1">
      <c r="A324" s="260" t="s">
        <v>1607</v>
      </c>
      <c r="B324" s="195" t="s">
        <v>1637</v>
      </c>
      <c r="C324" s="195" t="s">
        <v>1638</v>
      </c>
      <c r="D324" s="195"/>
      <c r="E324" s="195"/>
      <c r="F324" s="195"/>
      <c r="G324" s="261" t="s">
        <v>1639</v>
      </c>
      <c r="H324" s="262"/>
      <c r="I324" s="223" t="s">
        <v>1640</v>
      </c>
      <c r="J324" s="249"/>
      <c r="K324" s="263" t="s">
        <v>1641</v>
      </c>
      <c r="L324" s="264"/>
      <c r="M324" s="196"/>
      <c r="N324" s="265"/>
      <c r="O324" s="234" t="s">
        <v>929</v>
      </c>
      <c r="P324" s="202"/>
    </row>
    <row r="325" spans="1:16" s="150" customFormat="1" ht="15.75" customHeight="1">
      <c r="A325" s="215" t="s">
        <v>1607</v>
      </c>
      <c r="B325" s="178" t="s">
        <v>1642</v>
      </c>
      <c r="C325" s="178" t="s">
        <v>1643</v>
      </c>
      <c r="D325" s="178"/>
      <c r="E325" s="178"/>
      <c r="F325" s="178"/>
      <c r="G325" s="178" t="s">
        <v>1644</v>
      </c>
      <c r="H325" s="266" t="s">
        <v>81</v>
      </c>
      <c r="I325" s="178" t="s">
        <v>491</v>
      </c>
      <c r="J325" s="268"/>
      <c r="K325" s="267" t="s">
        <v>1645</v>
      </c>
      <c r="L325" s="197"/>
      <c r="M325" s="197"/>
      <c r="N325" s="197"/>
      <c r="O325" s="269" t="s">
        <v>1646</v>
      </c>
      <c r="P325" s="243"/>
    </row>
    <row r="326" spans="1:16" ht="15.75" customHeight="1">
      <c r="A326" s="215" t="s">
        <v>1607</v>
      </c>
      <c r="B326" s="176" t="s">
        <v>1647</v>
      </c>
      <c r="C326" s="176" t="s">
        <v>1648</v>
      </c>
      <c r="D326" s="176"/>
      <c r="E326" s="176"/>
      <c r="F326" s="176"/>
      <c r="G326" s="176" t="s">
        <v>1649</v>
      </c>
      <c r="H326" s="180" t="s">
        <v>63</v>
      </c>
      <c r="I326" s="178"/>
      <c r="J326" s="270"/>
      <c r="K326" s="248" t="s">
        <v>1650</v>
      </c>
      <c r="L326" s="198"/>
      <c r="M326" s="198"/>
      <c r="N326" s="198"/>
      <c r="O326" s="271" t="s">
        <v>1651</v>
      </c>
      <c r="P326" s="202"/>
    </row>
    <row r="327" spans="1:16" ht="33" customHeight="1">
      <c r="A327" s="210" t="s">
        <v>1607</v>
      </c>
      <c r="B327" s="199" t="s">
        <v>1652</v>
      </c>
      <c r="C327" s="199" t="s">
        <v>668</v>
      </c>
      <c r="D327" s="199"/>
      <c r="E327" s="199"/>
      <c r="F327" s="199"/>
      <c r="G327" s="199" t="s">
        <v>1653</v>
      </c>
      <c r="H327" s="200" t="s">
        <v>81</v>
      </c>
      <c r="I327" s="201" t="s">
        <v>1444</v>
      </c>
      <c r="J327" s="270"/>
      <c r="K327" s="253" t="s">
        <v>1654</v>
      </c>
      <c r="L327" s="198"/>
      <c r="M327" s="198"/>
      <c r="N327" s="198"/>
      <c r="O327" s="271" t="s">
        <v>671</v>
      </c>
      <c r="P327" s="202"/>
    </row>
    <row r="328" spans="1:16" ht="30.75" customHeight="1">
      <c r="A328" s="215" t="s">
        <v>1607</v>
      </c>
      <c r="B328" s="199" t="s">
        <v>1430</v>
      </c>
      <c r="C328" s="199" t="s">
        <v>1655</v>
      </c>
      <c r="D328" s="199"/>
      <c r="E328" s="199"/>
      <c r="F328" s="199"/>
      <c r="G328" s="199" t="s">
        <v>1656</v>
      </c>
      <c r="H328" s="200"/>
      <c r="I328" s="201" t="s">
        <v>1657</v>
      </c>
      <c r="J328" s="270"/>
      <c r="K328" s="248"/>
      <c r="L328" s="198"/>
      <c r="M328" s="198"/>
      <c r="N328" s="198"/>
      <c r="O328" s="271" t="s">
        <v>1030</v>
      </c>
      <c r="P328" s="202"/>
    </row>
    <row r="329" spans="1:16" ht="15.75" customHeight="1">
      <c r="A329" s="272" t="s">
        <v>1658</v>
      </c>
      <c r="B329" s="202" t="s">
        <v>1659</v>
      </c>
      <c r="C329" s="202" t="s">
        <v>1660</v>
      </c>
      <c r="D329" s="202"/>
      <c r="E329" s="202"/>
      <c r="F329" s="202"/>
      <c r="G329" s="202"/>
      <c r="H329" s="202"/>
      <c r="I329" s="201"/>
      <c r="J329" s="234" t="s">
        <v>1661</v>
      </c>
      <c r="K329" s="211"/>
      <c r="L329" s="273"/>
      <c r="M329" s="203"/>
      <c r="N329" s="274"/>
      <c r="O329" s="202"/>
      <c r="P329" s="202"/>
    </row>
    <row r="330" spans="1:16" ht="15.75" customHeight="1">
      <c r="A330" s="272" t="s">
        <v>1658</v>
      </c>
      <c r="B330" s="145" t="s">
        <v>1662</v>
      </c>
      <c r="C330" s="152" t="s">
        <v>1663</v>
      </c>
      <c r="J330" s="71" t="s">
        <v>1664</v>
      </c>
      <c r="L330" s="151"/>
      <c r="M330" s="146"/>
      <c r="N330" s="147"/>
    </row>
    <row r="331" spans="1:16" ht="15.75" customHeight="1">
      <c r="A331" s="272" t="s">
        <v>1658</v>
      </c>
      <c r="B331" s="70" t="s">
        <v>1665</v>
      </c>
      <c r="C331" s="152" t="s">
        <v>1666</v>
      </c>
      <c r="J331" s="71" t="s">
        <v>1667</v>
      </c>
      <c r="L331" s="151"/>
      <c r="M331" s="146"/>
      <c r="N331" s="147"/>
    </row>
    <row r="332" spans="1:16" ht="15.75" customHeight="1">
      <c r="A332" s="272" t="s">
        <v>1658</v>
      </c>
      <c r="B332" s="70" t="s">
        <v>1668</v>
      </c>
      <c r="C332" s="152" t="s">
        <v>1669</v>
      </c>
      <c r="J332" s="71" t="s">
        <v>1670</v>
      </c>
      <c r="L332" s="151"/>
      <c r="M332" s="146"/>
      <c r="N332" s="147"/>
    </row>
    <row r="333" spans="1:16" ht="15.75" customHeight="1">
      <c r="A333" s="272" t="s">
        <v>1658</v>
      </c>
      <c r="B333" s="70" t="s">
        <v>893</v>
      </c>
      <c r="C333" s="152" t="s">
        <v>1671</v>
      </c>
      <c r="J333" s="71" t="s">
        <v>1672</v>
      </c>
      <c r="L333" s="151"/>
      <c r="M333" s="146"/>
      <c r="N333" s="147"/>
    </row>
    <row r="334" spans="1:16" ht="15.75" customHeight="1">
      <c r="A334" s="272" t="s">
        <v>1658</v>
      </c>
      <c r="C334" s="152" t="s">
        <v>1673</v>
      </c>
      <c r="J334" s="71" t="s">
        <v>1674</v>
      </c>
      <c r="L334" s="151"/>
      <c r="M334" s="146"/>
      <c r="N334" s="147"/>
    </row>
    <row r="335" spans="1:16" ht="15.75" customHeight="1">
      <c r="A335" s="272" t="s">
        <v>1658</v>
      </c>
      <c r="B335" s="145" t="s">
        <v>1675</v>
      </c>
      <c r="C335" s="152" t="s">
        <v>1676</v>
      </c>
      <c r="J335" s="71" t="s">
        <v>1677</v>
      </c>
      <c r="L335" s="151"/>
      <c r="M335" s="146"/>
      <c r="N335" s="147"/>
    </row>
    <row r="336" spans="1:16" ht="15.75" customHeight="1">
      <c r="A336" s="272" t="s">
        <v>1658</v>
      </c>
      <c r="B336" s="145" t="s">
        <v>1678</v>
      </c>
      <c r="C336" s="152" t="s">
        <v>1679</v>
      </c>
      <c r="J336" s="71" t="s">
        <v>1680</v>
      </c>
      <c r="L336" s="151"/>
      <c r="M336" s="146"/>
      <c r="N336" s="147"/>
    </row>
    <row r="337" spans="1:14" ht="15.75" customHeight="1">
      <c r="A337" s="272" t="s">
        <v>1658</v>
      </c>
      <c r="B337" s="70" t="s">
        <v>1681</v>
      </c>
      <c r="C337" s="152" t="s">
        <v>1682</v>
      </c>
      <c r="J337" s="71" t="s">
        <v>1683</v>
      </c>
      <c r="L337" s="151"/>
      <c r="M337" s="146"/>
      <c r="N337" s="147"/>
    </row>
    <row r="338" spans="1:14" ht="15.75" customHeight="1">
      <c r="A338" s="272" t="s">
        <v>1658</v>
      </c>
      <c r="B338" s="145" t="s">
        <v>1684</v>
      </c>
      <c r="C338" s="152" t="s">
        <v>1685</v>
      </c>
      <c r="J338" s="71" t="s">
        <v>1686</v>
      </c>
      <c r="L338" s="151"/>
      <c r="M338" s="146"/>
      <c r="N338" s="147"/>
    </row>
    <row r="339" spans="1:14" ht="15.75" customHeight="1">
      <c r="A339" s="272" t="s">
        <v>1658</v>
      </c>
      <c r="B339" s="70" t="s">
        <v>1687</v>
      </c>
      <c r="C339" s="152" t="s">
        <v>1688</v>
      </c>
      <c r="J339" s="71" t="s">
        <v>1689</v>
      </c>
      <c r="L339" s="151"/>
      <c r="M339" s="146"/>
      <c r="N339" s="147"/>
    </row>
    <row r="340" spans="1:14" ht="15.75" customHeight="1">
      <c r="L340" s="151"/>
      <c r="M340" s="146"/>
      <c r="N340" s="147"/>
    </row>
    <row r="341" spans="1:14" ht="15.75" customHeight="1">
      <c r="L341" s="151"/>
      <c r="M341" s="146"/>
      <c r="N341" s="147"/>
    </row>
    <row r="342" spans="1:14" ht="15.75" customHeight="1">
      <c r="L342" s="151"/>
      <c r="M342" s="146"/>
      <c r="N342" s="147"/>
    </row>
    <row r="343" spans="1:14" ht="15.75" customHeight="1">
      <c r="L343" s="151"/>
      <c r="M343" s="146"/>
      <c r="N343" s="147"/>
    </row>
    <row r="344" spans="1:14" ht="15.75" customHeight="1">
      <c r="L344" s="151"/>
      <c r="M344" s="146"/>
      <c r="N344" s="147"/>
    </row>
    <row r="345" spans="1:14" ht="15.75" customHeight="1">
      <c r="L345" s="151"/>
      <c r="M345" s="146"/>
      <c r="N345" s="147"/>
    </row>
    <row r="346" spans="1:14" ht="15.75" customHeight="1">
      <c r="L346" s="151"/>
      <c r="M346" s="146"/>
      <c r="N346" s="147"/>
    </row>
    <row r="347" spans="1:14" ht="15.75" customHeight="1">
      <c r="L347" s="151"/>
      <c r="M347" s="146"/>
      <c r="N347" s="147"/>
    </row>
    <row r="348" spans="1:14" ht="15.75" customHeight="1">
      <c r="L348" s="151"/>
      <c r="M348" s="146"/>
      <c r="N348" s="147"/>
    </row>
    <row r="349" spans="1:14" ht="15.75" customHeight="1">
      <c r="L349" s="151"/>
      <c r="M349" s="146"/>
      <c r="N349" s="147"/>
    </row>
    <row r="350" spans="1:14" ht="15.75" customHeight="1">
      <c r="L350" s="151"/>
      <c r="M350" s="146"/>
      <c r="N350" s="147"/>
    </row>
    <row r="351" spans="1:14" ht="15.75" customHeight="1">
      <c r="L351" s="151"/>
      <c r="M351" s="146"/>
      <c r="N351" s="147"/>
    </row>
    <row r="352" spans="1:14" ht="15.75" customHeight="1">
      <c r="L352" s="151"/>
      <c r="M352" s="146"/>
      <c r="N352" s="147"/>
    </row>
    <row r="353" spans="12:14" ht="15.75" customHeight="1">
      <c r="L353" s="151"/>
      <c r="M353" s="146"/>
      <c r="N353" s="147"/>
    </row>
    <row r="354" spans="12:14" ht="15.75" customHeight="1">
      <c r="L354" s="151"/>
      <c r="M354" s="146"/>
      <c r="N354" s="147"/>
    </row>
    <row r="355" spans="12:14" ht="15.75" customHeight="1">
      <c r="L355" s="151"/>
      <c r="M355" s="146"/>
      <c r="N355" s="147"/>
    </row>
    <row r="356" spans="12:14" ht="15.75" customHeight="1">
      <c r="L356" s="151"/>
      <c r="M356" s="146"/>
      <c r="N356" s="147"/>
    </row>
    <row r="357" spans="12:14" ht="15.75" customHeight="1">
      <c r="L357" s="151"/>
      <c r="M357" s="146"/>
      <c r="N357" s="147"/>
    </row>
    <row r="358" spans="12:14" ht="15.75" customHeight="1">
      <c r="L358" s="151"/>
      <c r="M358" s="146"/>
      <c r="N358" s="147"/>
    </row>
    <row r="359" spans="12:14" ht="15.75" customHeight="1">
      <c r="L359" s="151"/>
      <c r="M359" s="146"/>
      <c r="N359" s="147"/>
    </row>
    <row r="360" spans="12:14" ht="15.75" customHeight="1">
      <c r="L360" s="151"/>
      <c r="M360" s="146"/>
      <c r="N360" s="147"/>
    </row>
    <row r="361" spans="12:14" ht="15.75" customHeight="1">
      <c r="L361" s="151"/>
      <c r="M361" s="146"/>
      <c r="N361" s="147"/>
    </row>
    <row r="362" spans="12:14" ht="15.75" customHeight="1">
      <c r="L362" s="151"/>
      <c r="M362" s="146"/>
      <c r="N362" s="147"/>
    </row>
    <row r="363" spans="12:14" ht="15.75" customHeight="1">
      <c r="L363" s="151"/>
      <c r="M363" s="146"/>
      <c r="N363" s="147"/>
    </row>
    <row r="364" spans="12:14" ht="15.75" customHeight="1">
      <c r="L364" s="151"/>
      <c r="M364" s="146"/>
      <c r="N364" s="147"/>
    </row>
    <row r="365" spans="12:14" ht="15.75" customHeight="1">
      <c r="L365" s="151"/>
      <c r="M365" s="146"/>
      <c r="N365" s="147"/>
    </row>
    <row r="366" spans="12:14" ht="15.75" customHeight="1">
      <c r="L366" s="151"/>
      <c r="M366" s="146"/>
      <c r="N366" s="147"/>
    </row>
    <row r="367" spans="12:14" ht="15.75" customHeight="1">
      <c r="L367" s="151"/>
      <c r="M367" s="146"/>
      <c r="N367" s="147"/>
    </row>
    <row r="368" spans="12:14" ht="15.75" customHeight="1">
      <c r="L368" s="151"/>
      <c r="M368" s="146"/>
      <c r="N368" s="147"/>
    </row>
    <row r="369" spans="12:14" ht="15.75" customHeight="1">
      <c r="L369" s="151"/>
      <c r="M369" s="146"/>
      <c r="N369" s="147"/>
    </row>
    <row r="370" spans="12:14" ht="15.75" customHeight="1">
      <c r="L370" s="151"/>
      <c r="M370" s="146"/>
      <c r="N370" s="147"/>
    </row>
    <row r="371" spans="12:14" ht="15.75" customHeight="1">
      <c r="L371" s="151"/>
      <c r="M371" s="146"/>
      <c r="N371" s="147"/>
    </row>
    <row r="372" spans="12:14" ht="15.75" customHeight="1">
      <c r="L372" s="151"/>
      <c r="M372" s="146"/>
      <c r="N372" s="147"/>
    </row>
    <row r="373" spans="12:14" ht="15.75" customHeight="1">
      <c r="L373" s="151"/>
      <c r="M373" s="146"/>
      <c r="N373" s="147"/>
    </row>
    <row r="374" spans="12:14" ht="15.75" customHeight="1">
      <c r="L374" s="151"/>
      <c r="M374" s="146"/>
      <c r="N374" s="147"/>
    </row>
    <row r="375" spans="12:14" ht="15.75" customHeight="1">
      <c r="L375" s="151"/>
      <c r="M375" s="146"/>
      <c r="N375" s="147"/>
    </row>
    <row r="376" spans="12:14" ht="15.75" customHeight="1">
      <c r="L376" s="151"/>
      <c r="M376" s="146"/>
      <c r="N376" s="147"/>
    </row>
    <row r="377" spans="12:14" ht="15.75" customHeight="1">
      <c r="L377" s="151"/>
      <c r="M377" s="146"/>
      <c r="N377" s="147"/>
    </row>
    <row r="378" spans="12:14" ht="15.75" customHeight="1">
      <c r="L378" s="151"/>
      <c r="M378" s="146"/>
      <c r="N378" s="147"/>
    </row>
    <row r="379" spans="12:14" ht="15.75" customHeight="1">
      <c r="L379" s="151"/>
      <c r="M379" s="146"/>
      <c r="N379" s="147"/>
    </row>
    <row r="380" spans="12:14" ht="15.75" customHeight="1">
      <c r="L380" s="151"/>
      <c r="M380" s="146"/>
      <c r="N380" s="147"/>
    </row>
    <row r="381" spans="12:14" ht="15.75" customHeight="1">
      <c r="L381" s="151"/>
      <c r="M381" s="146"/>
      <c r="N381" s="147"/>
    </row>
    <row r="382" spans="12:14" ht="15.75" customHeight="1">
      <c r="L382" s="151"/>
      <c r="M382" s="146"/>
      <c r="N382" s="147"/>
    </row>
    <row r="383" spans="12:14" ht="15.75" customHeight="1">
      <c r="L383" s="151"/>
      <c r="M383" s="146"/>
      <c r="N383" s="147"/>
    </row>
    <row r="384" spans="12:14" ht="15.75" customHeight="1">
      <c r="L384" s="151"/>
      <c r="M384" s="146"/>
      <c r="N384" s="147"/>
    </row>
    <row r="385" spans="12:14" ht="15.75" customHeight="1">
      <c r="L385" s="151"/>
      <c r="M385" s="146"/>
      <c r="N385" s="147"/>
    </row>
    <row r="386" spans="12:14" ht="15.75" customHeight="1">
      <c r="L386" s="151"/>
      <c r="M386" s="146"/>
      <c r="N386" s="147"/>
    </row>
    <row r="387" spans="12:14" ht="15.75" customHeight="1">
      <c r="L387" s="151"/>
      <c r="M387" s="146"/>
      <c r="N387" s="147"/>
    </row>
    <row r="388" spans="12:14" ht="15.75" customHeight="1">
      <c r="L388" s="151"/>
      <c r="M388" s="146"/>
      <c r="N388" s="147"/>
    </row>
    <row r="389" spans="12:14" ht="15.75" customHeight="1">
      <c r="L389" s="151"/>
      <c r="M389" s="146"/>
      <c r="N389" s="147"/>
    </row>
    <row r="390" spans="12:14" ht="15.75" customHeight="1">
      <c r="L390" s="151"/>
      <c r="M390" s="146"/>
      <c r="N390" s="147"/>
    </row>
    <row r="391" spans="12:14" ht="15.75" customHeight="1">
      <c r="L391" s="151"/>
      <c r="M391" s="146"/>
      <c r="N391" s="147"/>
    </row>
    <row r="392" spans="12:14" ht="15.75" customHeight="1">
      <c r="L392" s="151"/>
      <c r="M392" s="146"/>
      <c r="N392" s="147"/>
    </row>
    <row r="393" spans="12:14" ht="15.75" customHeight="1">
      <c r="L393" s="151"/>
      <c r="M393" s="146"/>
      <c r="N393" s="147"/>
    </row>
    <row r="394" spans="12:14" ht="15.75" customHeight="1">
      <c r="L394" s="151"/>
      <c r="M394" s="146"/>
      <c r="N394" s="147"/>
    </row>
    <row r="395" spans="12:14" ht="15.75" customHeight="1">
      <c r="L395" s="151"/>
      <c r="M395" s="146"/>
      <c r="N395" s="147"/>
    </row>
    <row r="396" spans="12:14" ht="15.75" customHeight="1">
      <c r="L396" s="151"/>
      <c r="M396" s="146"/>
      <c r="N396" s="147"/>
    </row>
    <row r="397" spans="12:14" ht="15.75" customHeight="1">
      <c r="L397" s="151"/>
      <c r="M397" s="146"/>
      <c r="N397" s="147"/>
    </row>
    <row r="398" spans="12:14" ht="15.75" customHeight="1">
      <c r="L398" s="151"/>
      <c r="M398" s="146"/>
      <c r="N398" s="147"/>
    </row>
    <row r="399" spans="12:14" ht="15.75" customHeight="1">
      <c r="L399" s="151"/>
      <c r="M399" s="146"/>
      <c r="N399" s="147"/>
    </row>
    <row r="400" spans="12:14" ht="15.75" customHeight="1">
      <c r="L400" s="151"/>
      <c r="M400" s="146"/>
      <c r="N400" s="147"/>
    </row>
    <row r="401" spans="12:14" ht="15.75" customHeight="1">
      <c r="L401" s="151"/>
      <c r="M401" s="146"/>
      <c r="N401" s="147"/>
    </row>
    <row r="402" spans="12:14" ht="15.75" customHeight="1">
      <c r="L402" s="151"/>
      <c r="M402" s="146"/>
      <c r="N402" s="147"/>
    </row>
    <row r="403" spans="12:14" ht="15.75" customHeight="1">
      <c r="L403" s="151"/>
      <c r="M403" s="146"/>
      <c r="N403" s="147"/>
    </row>
    <row r="404" spans="12:14" ht="15.75" customHeight="1">
      <c r="L404" s="151"/>
      <c r="M404" s="146"/>
      <c r="N404" s="147"/>
    </row>
    <row r="405" spans="12:14" ht="15.75" customHeight="1">
      <c r="L405" s="151"/>
      <c r="M405" s="146"/>
      <c r="N405" s="147"/>
    </row>
    <row r="406" spans="12:14" ht="15.75" customHeight="1">
      <c r="L406" s="151"/>
      <c r="M406" s="146"/>
      <c r="N406" s="147"/>
    </row>
    <row r="407" spans="12:14" ht="15.75" customHeight="1">
      <c r="L407" s="151"/>
      <c r="M407" s="146"/>
      <c r="N407" s="147"/>
    </row>
    <row r="408" spans="12:14" ht="15.75" customHeight="1">
      <c r="L408" s="151"/>
      <c r="M408" s="146"/>
      <c r="N408" s="147"/>
    </row>
    <row r="409" spans="12:14" ht="15.75" customHeight="1">
      <c r="L409" s="151"/>
      <c r="M409" s="146"/>
      <c r="N409" s="147"/>
    </row>
    <row r="410" spans="12:14" ht="15.75" customHeight="1">
      <c r="L410" s="151"/>
      <c r="M410" s="146"/>
      <c r="N410" s="147"/>
    </row>
    <row r="411" spans="12:14" ht="15.75" customHeight="1">
      <c r="L411" s="151"/>
      <c r="M411" s="146"/>
      <c r="N411" s="147"/>
    </row>
    <row r="412" spans="12:14" ht="15.75" customHeight="1">
      <c r="L412" s="151"/>
      <c r="M412" s="146"/>
      <c r="N412" s="147"/>
    </row>
    <row r="413" spans="12:14" ht="15.75" customHeight="1">
      <c r="L413" s="151"/>
      <c r="M413" s="146"/>
      <c r="N413" s="147"/>
    </row>
    <row r="414" spans="12:14" ht="15.75" customHeight="1">
      <c r="L414" s="151"/>
      <c r="M414" s="146"/>
      <c r="N414" s="147"/>
    </row>
    <row r="415" spans="12:14" ht="15.75" customHeight="1">
      <c r="L415" s="151"/>
      <c r="M415" s="146"/>
      <c r="N415" s="147"/>
    </row>
    <row r="416" spans="12:14" ht="15.75" customHeight="1">
      <c r="L416" s="151"/>
      <c r="M416" s="146"/>
      <c r="N416" s="147"/>
    </row>
    <row r="417" spans="12:14" ht="15.75" customHeight="1">
      <c r="L417" s="151"/>
      <c r="M417" s="146"/>
      <c r="N417" s="147"/>
    </row>
    <row r="418" spans="12:14" ht="15.75" customHeight="1">
      <c r="L418" s="151"/>
      <c r="M418" s="146"/>
      <c r="N418" s="147"/>
    </row>
    <row r="419" spans="12:14" ht="15.75" customHeight="1">
      <c r="L419" s="151"/>
      <c r="M419" s="146"/>
      <c r="N419" s="147"/>
    </row>
    <row r="420" spans="12:14" ht="15.75" customHeight="1">
      <c r="L420" s="151"/>
      <c r="M420" s="146"/>
      <c r="N420" s="147"/>
    </row>
    <row r="421" spans="12:14" ht="15.75" customHeight="1">
      <c r="L421" s="151"/>
      <c r="M421" s="146"/>
      <c r="N421" s="147"/>
    </row>
    <row r="422" spans="12:14" ht="15.75" customHeight="1">
      <c r="L422" s="151"/>
      <c r="M422" s="146"/>
      <c r="N422" s="147"/>
    </row>
    <row r="423" spans="12:14" ht="15.75" customHeight="1">
      <c r="L423" s="151"/>
      <c r="M423" s="146"/>
      <c r="N423" s="147"/>
    </row>
    <row r="424" spans="12:14" ht="15.75" customHeight="1">
      <c r="L424" s="151"/>
      <c r="M424" s="146"/>
      <c r="N424" s="147"/>
    </row>
    <row r="425" spans="12:14" ht="15.75" customHeight="1">
      <c r="L425" s="151"/>
      <c r="M425" s="146"/>
      <c r="N425" s="147"/>
    </row>
    <row r="426" spans="12:14" ht="15.75" customHeight="1">
      <c r="L426" s="151"/>
      <c r="M426" s="146"/>
      <c r="N426" s="147"/>
    </row>
    <row r="427" spans="12:14" ht="15.75" customHeight="1">
      <c r="L427" s="151"/>
      <c r="M427" s="146"/>
      <c r="N427" s="147"/>
    </row>
    <row r="428" spans="12:14" ht="15.75" customHeight="1">
      <c r="L428" s="151"/>
      <c r="M428" s="146"/>
      <c r="N428" s="147"/>
    </row>
    <row r="429" spans="12:14" ht="15.75" customHeight="1">
      <c r="L429" s="151"/>
      <c r="M429" s="146"/>
      <c r="N429" s="147"/>
    </row>
    <row r="430" spans="12:14" ht="15.75" customHeight="1">
      <c r="L430" s="151"/>
      <c r="M430" s="146"/>
      <c r="N430" s="147"/>
    </row>
    <row r="431" spans="12:14" ht="15.75" customHeight="1">
      <c r="L431" s="151"/>
      <c r="M431" s="146"/>
      <c r="N431" s="147"/>
    </row>
    <row r="432" spans="12:14" ht="15.75" customHeight="1">
      <c r="L432" s="151"/>
      <c r="M432" s="146"/>
      <c r="N432" s="147"/>
    </row>
    <row r="433" spans="12:14" ht="15.75" customHeight="1">
      <c r="L433" s="151"/>
      <c r="M433" s="146"/>
      <c r="N433" s="147"/>
    </row>
    <row r="434" spans="12:14" ht="15.75" customHeight="1">
      <c r="L434" s="151"/>
      <c r="M434" s="146"/>
      <c r="N434" s="147"/>
    </row>
    <row r="435" spans="12:14" ht="15.75" customHeight="1">
      <c r="L435" s="151"/>
      <c r="M435" s="146"/>
      <c r="N435" s="147"/>
    </row>
    <row r="436" spans="12:14" ht="15.75" customHeight="1">
      <c r="L436" s="151"/>
      <c r="M436" s="146"/>
      <c r="N436" s="147"/>
    </row>
    <row r="437" spans="12:14" ht="15.75" customHeight="1">
      <c r="L437" s="151"/>
      <c r="M437" s="146"/>
      <c r="N437" s="147"/>
    </row>
    <row r="438" spans="12:14" ht="15.75" customHeight="1">
      <c r="L438" s="151"/>
      <c r="M438" s="146"/>
      <c r="N438" s="147"/>
    </row>
    <row r="439" spans="12:14" ht="15.75" customHeight="1">
      <c r="L439" s="151"/>
      <c r="M439" s="146"/>
      <c r="N439" s="147"/>
    </row>
    <row r="440" spans="12:14" ht="15.75" customHeight="1">
      <c r="L440" s="151"/>
      <c r="M440" s="146"/>
      <c r="N440" s="147"/>
    </row>
    <row r="441" spans="12:14" ht="15.75" customHeight="1">
      <c r="L441" s="151"/>
      <c r="M441" s="146"/>
      <c r="N441" s="147"/>
    </row>
    <row r="442" spans="12:14" ht="15.75" customHeight="1">
      <c r="L442" s="151"/>
      <c r="M442" s="146"/>
      <c r="N442" s="147"/>
    </row>
    <row r="443" spans="12:14" ht="15.75" customHeight="1">
      <c r="L443" s="151"/>
      <c r="M443" s="146"/>
      <c r="N443" s="147"/>
    </row>
    <row r="444" spans="12:14" ht="15.75" customHeight="1">
      <c r="L444" s="151"/>
      <c r="M444" s="146"/>
      <c r="N444" s="147"/>
    </row>
    <row r="445" spans="12:14" ht="15.75" customHeight="1">
      <c r="L445" s="151"/>
      <c r="M445" s="146"/>
      <c r="N445" s="147"/>
    </row>
    <row r="446" spans="12:14" ht="15.75" customHeight="1">
      <c r="L446" s="151"/>
      <c r="M446" s="146"/>
      <c r="N446" s="147"/>
    </row>
    <row r="447" spans="12:14" ht="15.75" customHeight="1">
      <c r="L447" s="151"/>
      <c r="M447" s="146"/>
      <c r="N447" s="147"/>
    </row>
    <row r="448" spans="12:14" ht="15.75" customHeight="1">
      <c r="L448" s="151"/>
      <c r="M448" s="146"/>
      <c r="N448" s="147"/>
    </row>
    <row r="449" spans="12:14" ht="15.75" customHeight="1">
      <c r="L449" s="151"/>
      <c r="M449" s="146"/>
      <c r="N449" s="147"/>
    </row>
    <row r="450" spans="12:14" ht="15.75" customHeight="1">
      <c r="L450" s="151"/>
      <c r="M450" s="146"/>
      <c r="N450" s="147"/>
    </row>
    <row r="451" spans="12:14" ht="15.75" customHeight="1">
      <c r="L451" s="151"/>
      <c r="M451" s="146"/>
      <c r="N451" s="147"/>
    </row>
    <row r="452" spans="12:14" ht="15.75" customHeight="1">
      <c r="L452" s="151"/>
      <c r="M452" s="146"/>
      <c r="N452" s="147"/>
    </row>
    <row r="453" spans="12:14" ht="15.75" customHeight="1">
      <c r="L453" s="151"/>
      <c r="M453" s="146"/>
      <c r="N453" s="147"/>
    </row>
    <row r="454" spans="12:14" ht="15.75" customHeight="1">
      <c r="L454" s="151"/>
      <c r="M454" s="146"/>
      <c r="N454" s="147"/>
    </row>
    <row r="455" spans="12:14" ht="15.75" customHeight="1">
      <c r="L455" s="151"/>
      <c r="M455" s="146"/>
      <c r="N455" s="147"/>
    </row>
    <row r="456" spans="12:14" ht="15.75" customHeight="1">
      <c r="L456" s="151"/>
      <c r="M456" s="146"/>
      <c r="N456" s="147"/>
    </row>
    <row r="457" spans="12:14" ht="15.75" customHeight="1">
      <c r="L457" s="151"/>
      <c r="M457" s="146"/>
      <c r="N457" s="147"/>
    </row>
    <row r="458" spans="12:14" ht="15.75" customHeight="1">
      <c r="L458" s="151"/>
      <c r="M458" s="146"/>
      <c r="N458" s="147"/>
    </row>
    <row r="459" spans="12:14" ht="15.75" customHeight="1">
      <c r="L459" s="151"/>
      <c r="M459" s="146"/>
      <c r="N459" s="147"/>
    </row>
    <row r="460" spans="12:14" ht="15.75" customHeight="1">
      <c r="L460" s="151"/>
      <c r="M460" s="146"/>
      <c r="N460" s="147"/>
    </row>
    <row r="461" spans="12:14" ht="15.75" customHeight="1">
      <c r="L461" s="151"/>
      <c r="M461" s="146"/>
      <c r="N461" s="147"/>
    </row>
    <row r="462" spans="12:14" ht="15.75" customHeight="1">
      <c r="L462" s="151"/>
      <c r="M462" s="146"/>
      <c r="N462" s="147"/>
    </row>
    <row r="463" spans="12:14" ht="15.75" customHeight="1">
      <c r="L463" s="151"/>
      <c r="M463" s="146"/>
      <c r="N463" s="147"/>
    </row>
    <row r="464" spans="12:14" ht="15.75" customHeight="1">
      <c r="L464" s="151"/>
      <c r="M464" s="146"/>
      <c r="N464" s="147"/>
    </row>
    <row r="465" spans="12:14" ht="15.75" customHeight="1">
      <c r="L465" s="151"/>
      <c r="M465" s="146"/>
      <c r="N465" s="147"/>
    </row>
    <row r="466" spans="12:14" ht="15.75" customHeight="1">
      <c r="L466" s="151"/>
      <c r="M466" s="146"/>
      <c r="N466" s="147"/>
    </row>
    <row r="467" spans="12:14" ht="15.75" customHeight="1">
      <c r="L467" s="151"/>
      <c r="M467" s="146"/>
      <c r="N467" s="147"/>
    </row>
    <row r="468" spans="12:14" ht="15.75" customHeight="1">
      <c r="L468" s="151"/>
      <c r="M468" s="146"/>
      <c r="N468" s="147"/>
    </row>
    <row r="469" spans="12:14" ht="15.75" customHeight="1">
      <c r="L469" s="151"/>
      <c r="M469" s="146"/>
      <c r="N469" s="147"/>
    </row>
    <row r="470" spans="12:14" ht="15.75" customHeight="1">
      <c r="L470" s="151"/>
      <c r="M470" s="146"/>
      <c r="N470" s="147"/>
    </row>
    <row r="471" spans="12:14" ht="15.75" customHeight="1">
      <c r="L471" s="151"/>
      <c r="M471" s="146"/>
      <c r="N471" s="147"/>
    </row>
    <row r="472" spans="12:14" ht="15.75" customHeight="1">
      <c r="L472" s="151"/>
      <c r="M472" s="146"/>
      <c r="N472" s="147"/>
    </row>
    <row r="473" spans="12:14" ht="15.75" customHeight="1">
      <c r="L473" s="151"/>
      <c r="M473" s="146"/>
      <c r="N473" s="147"/>
    </row>
    <row r="474" spans="12:14" ht="15.75" customHeight="1">
      <c r="L474" s="151"/>
      <c r="M474" s="146"/>
      <c r="N474" s="147"/>
    </row>
    <row r="475" spans="12:14" ht="15.75" customHeight="1">
      <c r="L475" s="151"/>
      <c r="M475" s="146"/>
      <c r="N475" s="147"/>
    </row>
    <row r="476" spans="12:14" ht="15.75" customHeight="1">
      <c r="L476" s="151"/>
      <c r="M476" s="146"/>
      <c r="N476" s="147"/>
    </row>
    <row r="477" spans="12:14" ht="15.75" customHeight="1">
      <c r="L477" s="151"/>
      <c r="M477" s="146"/>
      <c r="N477" s="147"/>
    </row>
    <row r="478" spans="12:14" ht="15.75" customHeight="1">
      <c r="L478" s="151"/>
      <c r="M478" s="146"/>
      <c r="N478" s="147"/>
    </row>
    <row r="479" spans="12:14" ht="15.75" customHeight="1">
      <c r="L479" s="151"/>
      <c r="M479" s="146"/>
      <c r="N479" s="147"/>
    </row>
    <row r="480" spans="12:14" ht="15.75" customHeight="1">
      <c r="L480" s="151"/>
      <c r="M480" s="146"/>
      <c r="N480" s="147"/>
    </row>
    <row r="481" spans="12:14" ht="15.75" customHeight="1">
      <c r="L481" s="151"/>
      <c r="M481" s="146"/>
      <c r="N481" s="147"/>
    </row>
    <row r="482" spans="12:14" ht="15.75" customHeight="1">
      <c r="L482" s="151"/>
      <c r="M482" s="146"/>
      <c r="N482" s="147"/>
    </row>
    <row r="483" spans="12:14" ht="15.75" customHeight="1">
      <c r="L483" s="151"/>
      <c r="M483" s="146"/>
      <c r="N483" s="147"/>
    </row>
    <row r="484" spans="12:14" ht="15.75" customHeight="1">
      <c r="L484" s="151"/>
      <c r="M484" s="146"/>
      <c r="N484" s="147"/>
    </row>
    <row r="485" spans="12:14" ht="15.75" customHeight="1">
      <c r="L485" s="151"/>
      <c r="M485" s="146"/>
      <c r="N485" s="147"/>
    </row>
    <row r="486" spans="12:14" ht="15.75" customHeight="1">
      <c r="L486" s="151"/>
      <c r="M486" s="146"/>
      <c r="N486" s="147"/>
    </row>
    <row r="487" spans="12:14" ht="15.75" customHeight="1">
      <c r="L487" s="151"/>
      <c r="M487" s="146"/>
      <c r="N487" s="147"/>
    </row>
    <row r="488" spans="12:14" ht="15.75" customHeight="1">
      <c r="L488" s="151"/>
      <c r="M488" s="146"/>
      <c r="N488" s="147"/>
    </row>
    <row r="489" spans="12:14" ht="15.75" customHeight="1">
      <c r="L489" s="151"/>
      <c r="M489" s="146"/>
      <c r="N489" s="147"/>
    </row>
    <row r="490" spans="12:14" ht="15.75" customHeight="1">
      <c r="L490" s="151"/>
      <c r="M490" s="146"/>
      <c r="N490" s="147"/>
    </row>
    <row r="491" spans="12:14" ht="15.75" customHeight="1">
      <c r="L491" s="151"/>
      <c r="M491" s="146"/>
      <c r="N491" s="147"/>
    </row>
    <row r="492" spans="12:14" ht="15.75" customHeight="1">
      <c r="L492" s="151"/>
      <c r="M492" s="146"/>
      <c r="N492" s="147"/>
    </row>
    <row r="493" spans="12:14" ht="15.75" customHeight="1">
      <c r="L493" s="151"/>
      <c r="M493" s="146"/>
      <c r="N493" s="147"/>
    </row>
    <row r="494" spans="12:14" ht="15.75" customHeight="1">
      <c r="L494" s="151"/>
      <c r="M494" s="146"/>
      <c r="N494" s="147"/>
    </row>
    <row r="495" spans="12:14" ht="15.75" customHeight="1">
      <c r="L495" s="151"/>
      <c r="M495" s="146"/>
      <c r="N495" s="147"/>
    </row>
    <row r="496" spans="12:14" ht="15.75" customHeight="1">
      <c r="L496" s="151"/>
      <c r="M496" s="146"/>
      <c r="N496" s="147"/>
    </row>
    <row r="497" spans="12:14" ht="15.75" customHeight="1">
      <c r="L497" s="151"/>
      <c r="M497" s="146"/>
      <c r="N497" s="147"/>
    </row>
    <row r="498" spans="12:14" ht="15.75" customHeight="1">
      <c r="L498" s="151"/>
      <c r="M498" s="146"/>
      <c r="N498" s="147"/>
    </row>
    <row r="499" spans="12:14" ht="15.75" customHeight="1">
      <c r="L499" s="151"/>
      <c r="M499" s="146"/>
      <c r="N499" s="147"/>
    </row>
    <row r="500" spans="12:14" ht="15.75" customHeight="1">
      <c r="L500" s="151"/>
      <c r="M500" s="146"/>
      <c r="N500" s="147"/>
    </row>
    <row r="501" spans="12:14" ht="15.75" customHeight="1">
      <c r="L501" s="151"/>
      <c r="M501" s="146"/>
      <c r="N501" s="147"/>
    </row>
    <row r="502" spans="12:14" ht="15.75" customHeight="1">
      <c r="L502" s="151"/>
      <c r="M502" s="146"/>
      <c r="N502" s="147"/>
    </row>
    <row r="503" spans="12:14" ht="15.75" customHeight="1">
      <c r="L503" s="151"/>
      <c r="M503" s="146"/>
      <c r="N503" s="147"/>
    </row>
    <row r="504" spans="12:14" ht="15.75" customHeight="1">
      <c r="L504" s="151"/>
      <c r="M504" s="146"/>
      <c r="N504" s="147"/>
    </row>
    <row r="505" spans="12:14" ht="15.75" customHeight="1">
      <c r="L505" s="151"/>
      <c r="M505" s="146"/>
      <c r="N505" s="147"/>
    </row>
    <row r="506" spans="12:14" ht="15.75" customHeight="1">
      <c r="L506" s="151"/>
      <c r="M506" s="146"/>
      <c r="N506" s="147"/>
    </row>
    <row r="507" spans="12:14" ht="15.75" customHeight="1">
      <c r="L507" s="151"/>
      <c r="M507" s="146"/>
      <c r="N507" s="147"/>
    </row>
    <row r="508" spans="12:14" ht="15.75" customHeight="1">
      <c r="L508" s="151"/>
      <c r="M508" s="146"/>
      <c r="N508" s="147"/>
    </row>
    <row r="509" spans="12:14" ht="15.75" customHeight="1">
      <c r="L509" s="151"/>
      <c r="M509" s="146"/>
      <c r="N509" s="147"/>
    </row>
    <row r="510" spans="12:14" ht="15.75" customHeight="1">
      <c r="L510" s="151"/>
      <c r="M510" s="146"/>
      <c r="N510" s="147"/>
    </row>
    <row r="511" spans="12:14" ht="15.75" customHeight="1">
      <c r="L511" s="151"/>
      <c r="M511" s="146"/>
      <c r="N511" s="147"/>
    </row>
    <row r="512" spans="12:14" ht="15.75" customHeight="1">
      <c r="L512" s="151"/>
      <c r="M512" s="146"/>
      <c r="N512" s="147"/>
    </row>
    <row r="513" spans="12:14" ht="15.75" customHeight="1">
      <c r="L513" s="151"/>
      <c r="M513" s="146"/>
      <c r="N513" s="147"/>
    </row>
    <row r="514" spans="12:14" ht="15.75" customHeight="1">
      <c r="L514" s="151"/>
      <c r="M514" s="146"/>
      <c r="N514" s="147"/>
    </row>
    <row r="515" spans="12:14" ht="15.75" customHeight="1">
      <c r="L515" s="151"/>
      <c r="M515" s="146"/>
      <c r="N515" s="147"/>
    </row>
    <row r="516" spans="12:14" ht="15.75" customHeight="1">
      <c r="L516" s="151"/>
      <c r="M516" s="146"/>
      <c r="N516" s="147"/>
    </row>
    <row r="517" spans="12:14" ht="15.75" customHeight="1">
      <c r="L517" s="151"/>
      <c r="M517" s="146"/>
      <c r="N517" s="147"/>
    </row>
    <row r="518" spans="12:14" ht="15.75" customHeight="1">
      <c r="L518" s="151"/>
      <c r="M518" s="146"/>
      <c r="N518" s="147"/>
    </row>
    <row r="519" spans="12:14" ht="15.75" customHeight="1">
      <c r="L519" s="151"/>
      <c r="M519" s="146"/>
      <c r="N519" s="147"/>
    </row>
    <row r="520" spans="12:14" ht="15.75" customHeight="1">
      <c r="L520" s="151"/>
      <c r="M520" s="146"/>
      <c r="N520" s="147"/>
    </row>
    <row r="521" spans="12:14" ht="15.75" customHeight="1">
      <c r="L521" s="151"/>
      <c r="M521" s="146"/>
      <c r="N521" s="147"/>
    </row>
    <row r="522" spans="12:14" ht="15.75" customHeight="1">
      <c r="L522" s="151"/>
      <c r="M522" s="146"/>
      <c r="N522" s="147"/>
    </row>
    <row r="523" spans="12:14" ht="15.75" customHeight="1">
      <c r="L523" s="151"/>
      <c r="M523" s="146"/>
      <c r="N523" s="147"/>
    </row>
    <row r="524" spans="12:14" ht="15.75" customHeight="1">
      <c r="L524" s="151"/>
      <c r="M524" s="146"/>
      <c r="N524" s="147"/>
    </row>
    <row r="525" spans="12:14" ht="15.75" customHeight="1">
      <c r="L525" s="151"/>
      <c r="M525" s="146"/>
      <c r="N525" s="147"/>
    </row>
    <row r="526" spans="12:14" ht="15.75" customHeight="1">
      <c r="L526" s="151"/>
      <c r="M526" s="146"/>
      <c r="N526" s="147"/>
    </row>
    <row r="527" spans="12:14" ht="15.75" customHeight="1">
      <c r="L527" s="151"/>
      <c r="M527" s="146"/>
      <c r="N527" s="147"/>
    </row>
    <row r="528" spans="12:14" ht="15.75" customHeight="1">
      <c r="L528" s="151"/>
      <c r="M528" s="146"/>
      <c r="N528" s="147"/>
    </row>
    <row r="529" spans="12:14" ht="15.75" customHeight="1">
      <c r="L529" s="151"/>
      <c r="M529" s="146"/>
      <c r="N529" s="147"/>
    </row>
    <row r="530" spans="12:14" ht="15.75" customHeight="1">
      <c r="L530" s="151"/>
      <c r="M530" s="146"/>
      <c r="N530" s="147"/>
    </row>
    <row r="531" spans="12:14" ht="15.75" customHeight="1">
      <c r="L531" s="151"/>
      <c r="M531" s="146"/>
      <c r="N531" s="147"/>
    </row>
    <row r="532" spans="12:14" ht="15.75" customHeight="1">
      <c r="L532" s="151"/>
      <c r="M532" s="146"/>
      <c r="N532" s="147"/>
    </row>
    <row r="533" spans="12:14" ht="15.75" customHeight="1">
      <c r="L533" s="151"/>
      <c r="M533" s="146"/>
      <c r="N533" s="147"/>
    </row>
    <row r="534" spans="12:14" ht="15.75" customHeight="1">
      <c r="L534" s="151"/>
      <c r="M534" s="146"/>
      <c r="N534" s="147"/>
    </row>
    <row r="535" spans="12:14" ht="15.75" customHeight="1">
      <c r="L535" s="151"/>
      <c r="M535" s="146"/>
      <c r="N535" s="147"/>
    </row>
    <row r="536" spans="12:14" ht="15.75" customHeight="1">
      <c r="L536" s="151"/>
      <c r="M536" s="146"/>
      <c r="N536" s="147"/>
    </row>
    <row r="537" spans="12:14" ht="15.75" customHeight="1">
      <c r="L537" s="151"/>
      <c r="M537" s="146"/>
      <c r="N537" s="147"/>
    </row>
    <row r="538" spans="12:14" ht="15.75" customHeight="1">
      <c r="L538" s="151"/>
      <c r="M538" s="146"/>
      <c r="N538" s="147"/>
    </row>
    <row r="539" spans="12:14" ht="15.75" customHeight="1">
      <c r="L539" s="151"/>
      <c r="M539" s="146"/>
      <c r="N539" s="147"/>
    </row>
    <row r="540" spans="12:14" ht="15.75" customHeight="1">
      <c r="L540" s="151"/>
      <c r="M540" s="146"/>
      <c r="N540" s="147"/>
    </row>
    <row r="541" spans="12:14" ht="15.75" customHeight="1">
      <c r="L541" s="151"/>
      <c r="M541" s="146"/>
      <c r="N541" s="147"/>
    </row>
    <row r="542" spans="12:14" ht="15.75" customHeight="1">
      <c r="L542" s="151"/>
      <c r="M542" s="146"/>
      <c r="N542" s="147"/>
    </row>
    <row r="543" spans="12:14" ht="15.75" customHeight="1">
      <c r="L543" s="151"/>
      <c r="M543" s="146"/>
      <c r="N543" s="147"/>
    </row>
    <row r="544" spans="12:14" ht="15.75" customHeight="1">
      <c r="L544" s="151"/>
      <c r="M544" s="146"/>
      <c r="N544" s="147"/>
    </row>
    <row r="545" spans="12:14" ht="15.75" customHeight="1">
      <c r="L545" s="151"/>
      <c r="M545" s="146"/>
      <c r="N545" s="147"/>
    </row>
    <row r="546" spans="12:14" ht="15.75" customHeight="1">
      <c r="L546" s="151"/>
      <c r="M546" s="146"/>
      <c r="N546" s="147"/>
    </row>
    <row r="547" spans="12:14" ht="15.75" customHeight="1">
      <c r="L547" s="151"/>
      <c r="M547" s="146"/>
      <c r="N547" s="147"/>
    </row>
    <row r="548" spans="12:14" ht="15.75" customHeight="1">
      <c r="L548" s="151"/>
      <c r="M548" s="146"/>
      <c r="N548" s="147"/>
    </row>
    <row r="549" spans="12:14" ht="15.75" customHeight="1">
      <c r="L549" s="151"/>
      <c r="M549" s="146"/>
      <c r="N549" s="147"/>
    </row>
    <row r="550" spans="12:14" ht="15.75" customHeight="1">
      <c r="L550" s="151"/>
      <c r="M550" s="146"/>
      <c r="N550" s="147"/>
    </row>
    <row r="551" spans="12:14" ht="15.75" customHeight="1">
      <c r="L551" s="151"/>
      <c r="M551" s="146"/>
      <c r="N551" s="147"/>
    </row>
    <row r="552" spans="12:14" ht="15.75" customHeight="1">
      <c r="L552" s="151"/>
      <c r="M552" s="146"/>
      <c r="N552" s="147"/>
    </row>
    <row r="553" spans="12:14" ht="15.75" customHeight="1">
      <c r="L553" s="151"/>
      <c r="M553" s="146"/>
      <c r="N553" s="147"/>
    </row>
    <row r="554" spans="12:14" ht="15.75" customHeight="1">
      <c r="L554" s="151"/>
      <c r="M554" s="146"/>
      <c r="N554" s="147"/>
    </row>
    <row r="555" spans="12:14" ht="15.75" customHeight="1">
      <c r="L555" s="151"/>
      <c r="M555" s="146"/>
      <c r="N555" s="147"/>
    </row>
    <row r="556" spans="12:14" ht="15.75" customHeight="1">
      <c r="L556" s="151"/>
      <c r="M556" s="146"/>
      <c r="N556" s="147"/>
    </row>
    <row r="557" spans="12:14" ht="15.75" customHeight="1">
      <c r="L557" s="151"/>
      <c r="M557" s="146"/>
      <c r="N557" s="147"/>
    </row>
    <row r="558" spans="12:14" ht="15.75" customHeight="1">
      <c r="L558" s="151"/>
      <c r="M558" s="146"/>
      <c r="N558" s="147"/>
    </row>
    <row r="559" spans="12:14" ht="15.75" customHeight="1">
      <c r="L559" s="151"/>
      <c r="M559" s="146"/>
      <c r="N559" s="147"/>
    </row>
    <row r="560" spans="12:14" ht="15.75" customHeight="1">
      <c r="L560" s="151"/>
      <c r="M560" s="146"/>
      <c r="N560" s="147"/>
    </row>
    <row r="561" spans="12:14" ht="15.75" customHeight="1">
      <c r="L561" s="151"/>
      <c r="M561" s="146"/>
      <c r="N561" s="147"/>
    </row>
    <row r="562" spans="12:14" ht="15.75" customHeight="1">
      <c r="L562" s="151"/>
      <c r="M562" s="146"/>
      <c r="N562" s="147"/>
    </row>
    <row r="563" spans="12:14" ht="15.75" customHeight="1">
      <c r="L563" s="151"/>
      <c r="M563" s="146"/>
      <c r="N563" s="147"/>
    </row>
    <row r="564" spans="12:14" ht="15.75" customHeight="1">
      <c r="L564" s="151"/>
      <c r="M564" s="146"/>
      <c r="N564" s="147"/>
    </row>
    <row r="565" spans="12:14" ht="15.75" customHeight="1">
      <c r="L565" s="151"/>
      <c r="M565" s="146"/>
      <c r="N565" s="147"/>
    </row>
    <row r="566" spans="12:14" ht="15.75" customHeight="1">
      <c r="L566" s="151"/>
      <c r="M566" s="146"/>
      <c r="N566" s="147"/>
    </row>
    <row r="567" spans="12:14" ht="15.75" customHeight="1">
      <c r="L567" s="151"/>
      <c r="M567" s="146"/>
      <c r="N567" s="147"/>
    </row>
    <row r="568" spans="12:14" ht="15.75" customHeight="1">
      <c r="L568" s="151"/>
      <c r="M568" s="146"/>
      <c r="N568" s="147"/>
    </row>
    <row r="569" spans="12:14" ht="15.75" customHeight="1">
      <c r="L569" s="151"/>
      <c r="M569" s="146"/>
      <c r="N569" s="147"/>
    </row>
    <row r="570" spans="12:14" ht="15.75" customHeight="1">
      <c r="L570" s="151"/>
      <c r="M570" s="146"/>
      <c r="N570" s="147"/>
    </row>
    <row r="571" spans="12:14" ht="15.75" customHeight="1">
      <c r="L571" s="151"/>
      <c r="M571" s="146"/>
      <c r="N571" s="147"/>
    </row>
    <row r="572" spans="12:14" ht="15.75" customHeight="1">
      <c r="L572" s="151"/>
      <c r="M572" s="146"/>
      <c r="N572" s="147"/>
    </row>
    <row r="573" spans="12:14" ht="15.75" customHeight="1">
      <c r="L573" s="151"/>
      <c r="M573" s="146"/>
      <c r="N573" s="147"/>
    </row>
    <row r="574" spans="12:14" ht="15.75" customHeight="1">
      <c r="L574" s="151"/>
      <c r="M574" s="146"/>
      <c r="N574" s="147"/>
    </row>
    <row r="575" spans="12:14" ht="15.75" customHeight="1">
      <c r="L575" s="151"/>
      <c r="M575" s="146"/>
      <c r="N575" s="147"/>
    </row>
    <row r="576" spans="12:14" ht="15.75" customHeight="1">
      <c r="L576" s="151"/>
      <c r="M576" s="146"/>
      <c r="N576" s="147"/>
    </row>
    <row r="577" spans="12:14" ht="15.75" customHeight="1">
      <c r="L577" s="151"/>
      <c r="M577" s="146"/>
      <c r="N577" s="147"/>
    </row>
    <row r="578" spans="12:14" ht="15.75" customHeight="1">
      <c r="L578" s="151"/>
      <c r="M578" s="146"/>
      <c r="N578" s="147"/>
    </row>
    <row r="579" spans="12:14" ht="15.75" customHeight="1">
      <c r="L579" s="151"/>
      <c r="M579" s="146"/>
      <c r="N579" s="147"/>
    </row>
    <row r="580" spans="12:14" ht="15.75" customHeight="1">
      <c r="L580" s="151"/>
      <c r="M580" s="146"/>
      <c r="N580" s="147"/>
    </row>
    <row r="581" spans="12:14" ht="15.75" customHeight="1">
      <c r="L581" s="151"/>
      <c r="M581" s="146"/>
      <c r="N581" s="147"/>
    </row>
    <row r="582" spans="12:14" ht="15.75" customHeight="1">
      <c r="L582" s="151"/>
      <c r="M582" s="146"/>
      <c r="N582" s="147"/>
    </row>
    <row r="583" spans="12:14" ht="15.75" customHeight="1">
      <c r="L583" s="151"/>
      <c r="M583" s="146"/>
      <c r="N583" s="147"/>
    </row>
    <row r="584" spans="12:14" ht="15.75" customHeight="1">
      <c r="L584" s="151"/>
      <c r="M584" s="146"/>
      <c r="N584" s="147"/>
    </row>
    <row r="585" spans="12:14" ht="15.75" customHeight="1">
      <c r="L585" s="151"/>
      <c r="M585" s="146"/>
      <c r="N585" s="147"/>
    </row>
    <row r="586" spans="12:14" ht="15.75" customHeight="1">
      <c r="L586" s="151"/>
      <c r="M586" s="146"/>
      <c r="N586" s="147"/>
    </row>
    <row r="587" spans="12:14" ht="15.75" customHeight="1">
      <c r="L587" s="151"/>
      <c r="M587" s="146"/>
      <c r="N587" s="147"/>
    </row>
    <row r="588" spans="12:14" ht="15.75" customHeight="1">
      <c r="L588" s="151"/>
      <c r="M588" s="146"/>
      <c r="N588" s="147"/>
    </row>
    <row r="589" spans="12:14" ht="15.75" customHeight="1">
      <c r="L589" s="151"/>
      <c r="M589" s="146"/>
      <c r="N589" s="147"/>
    </row>
    <row r="590" spans="12:14" ht="15.75" customHeight="1">
      <c r="L590" s="151"/>
      <c r="M590" s="146"/>
      <c r="N590" s="147"/>
    </row>
    <row r="591" spans="12:14" ht="15.75" customHeight="1">
      <c r="L591" s="151"/>
      <c r="M591" s="146"/>
      <c r="N591" s="147"/>
    </row>
    <row r="592" spans="12:14" ht="15.75" customHeight="1">
      <c r="L592" s="151"/>
      <c r="M592" s="146"/>
      <c r="N592" s="147"/>
    </row>
    <row r="593" spans="12:14" ht="15.75" customHeight="1">
      <c r="L593" s="151"/>
      <c r="M593" s="146"/>
      <c r="N593" s="147"/>
    </row>
    <row r="594" spans="12:14" ht="15.75" customHeight="1">
      <c r="L594" s="151"/>
      <c r="M594" s="146"/>
      <c r="N594" s="147"/>
    </row>
    <row r="595" spans="12:14" ht="15.75" customHeight="1">
      <c r="L595" s="151"/>
      <c r="M595" s="146"/>
      <c r="N595" s="147"/>
    </row>
    <row r="596" spans="12:14" ht="15.75" customHeight="1">
      <c r="L596" s="151"/>
      <c r="M596" s="146"/>
      <c r="N596" s="147"/>
    </row>
    <row r="597" spans="12:14" ht="15.75" customHeight="1">
      <c r="L597" s="151"/>
      <c r="M597" s="146"/>
      <c r="N597" s="147"/>
    </row>
    <row r="598" spans="12:14" ht="15.75" customHeight="1">
      <c r="L598" s="151"/>
      <c r="M598" s="146"/>
      <c r="N598" s="147"/>
    </row>
    <row r="599" spans="12:14" ht="15.75" customHeight="1">
      <c r="L599" s="151"/>
      <c r="M599" s="146"/>
      <c r="N599" s="147"/>
    </row>
    <row r="600" spans="12:14" ht="15.75" customHeight="1">
      <c r="L600" s="151"/>
      <c r="M600" s="146"/>
      <c r="N600" s="147"/>
    </row>
    <row r="601" spans="12:14" ht="15.75" customHeight="1">
      <c r="L601" s="151"/>
      <c r="M601" s="146"/>
      <c r="N601" s="147"/>
    </row>
    <row r="602" spans="12:14" ht="15.75" customHeight="1">
      <c r="L602" s="151"/>
      <c r="M602" s="146"/>
      <c r="N602" s="147"/>
    </row>
    <row r="603" spans="12:14" ht="15.75" customHeight="1">
      <c r="L603" s="151"/>
      <c r="M603" s="146"/>
      <c r="N603" s="147"/>
    </row>
    <row r="604" spans="12:14" ht="15.75" customHeight="1">
      <c r="L604" s="151"/>
      <c r="M604" s="146"/>
      <c r="N604" s="147"/>
    </row>
    <row r="605" spans="12:14" ht="15.75" customHeight="1">
      <c r="L605" s="151"/>
      <c r="M605" s="146"/>
      <c r="N605" s="147"/>
    </row>
    <row r="606" spans="12:14" ht="15.75" customHeight="1">
      <c r="L606" s="151"/>
      <c r="M606" s="146"/>
      <c r="N606" s="147"/>
    </row>
    <row r="607" spans="12:14" ht="15.75" customHeight="1">
      <c r="L607" s="151"/>
      <c r="M607" s="146"/>
      <c r="N607" s="147"/>
    </row>
    <row r="608" spans="12:14" ht="15.75" customHeight="1">
      <c r="L608" s="151"/>
      <c r="M608" s="146"/>
      <c r="N608" s="147"/>
    </row>
    <row r="609" spans="12:14" ht="15.75" customHeight="1">
      <c r="L609" s="151"/>
      <c r="M609" s="146"/>
      <c r="N609" s="147"/>
    </row>
    <row r="610" spans="12:14" ht="15.75" customHeight="1">
      <c r="L610" s="151"/>
      <c r="M610" s="146"/>
      <c r="N610" s="147"/>
    </row>
    <row r="611" spans="12:14" ht="15.75" customHeight="1">
      <c r="L611" s="151"/>
      <c r="M611" s="146"/>
      <c r="N611" s="147"/>
    </row>
    <row r="612" spans="12:14" ht="15.75" customHeight="1">
      <c r="L612" s="151"/>
      <c r="M612" s="146"/>
      <c r="N612" s="147"/>
    </row>
    <row r="613" spans="12:14" ht="15.75" customHeight="1">
      <c r="L613" s="151"/>
      <c r="M613" s="146"/>
      <c r="N613" s="147"/>
    </row>
    <row r="614" spans="12:14" ht="15.75" customHeight="1">
      <c r="L614" s="151"/>
      <c r="M614" s="146"/>
      <c r="N614" s="147"/>
    </row>
    <row r="615" spans="12:14" ht="15.75" customHeight="1">
      <c r="L615" s="151"/>
      <c r="M615" s="146"/>
      <c r="N615" s="147"/>
    </row>
    <row r="616" spans="12:14" ht="15.75" customHeight="1">
      <c r="L616" s="151"/>
      <c r="M616" s="146"/>
      <c r="N616" s="147"/>
    </row>
    <row r="617" spans="12:14" ht="15.75" customHeight="1">
      <c r="L617" s="151"/>
      <c r="M617" s="146"/>
      <c r="N617" s="147"/>
    </row>
    <row r="618" spans="12:14" ht="15.75" customHeight="1">
      <c r="L618" s="151"/>
      <c r="M618" s="146"/>
      <c r="N618" s="147"/>
    </row>
    <row r="619" spans="12:14" ht="15.75" customHeight="1">
      <c r="L619" s="151"/>
      <c r="M619" s="146"/>
      <c r="N619" s="147"/>
    </row>
    <row r="620" spans="12:14" ht="15.75" customHeight="1">
      <c r="L620" s="151"/>
      <c r="M620" s="146"/>
      <c r="N620" s="147"/>
    </row>
    <row r="621" spans="12:14" ht="15.75" customHeight="1">
      <c r="L621" s="151"/>
      <c r="M621" s="146"/>
      <c r="N621" s="147"/>
    </row>
    <row r="622" spans="12:14" ht="15.75" customHeight="1">
      <c r="L622" s="151"/>
      <c r="M622" s="146"/>
      <c r="N622" s="147"/>
    </row>
    <row r="623" spans="12:14" ht="15.75" customHeight="1">
      <c r="L623" s="151"/>
      <c r="M623" s="146"/>
      <c r="N623" s="147"/>
    </row>
    <row r="624" spans="12:14" ht="15.75" customHeight="1">
      <c r="L624" s="151"/>
      <c r="M624" s="146"/>
      <c r="N624" s="147"/>
    </row>
    <row r="625" spans="12:14" ht="15.75" customHeight="1">
      <c r="L625" s="151"/>
      <c r="M625" s="146"/>
      <c r="N625" s="147"/>
    </row>
    <row r="626" spans="12:14" ht="15.75" customHeight="1">
      <c r="L626" s="151"/>
      <c r="M626" s="146"/>
      <c r="N626" s="147"/>
    </row>
    <row r="627" spans="12:14" ht="15.75" customHeight="1">
      <c r="L627" s="151"/>
      <c r="M627" s="146"/>
      <c r="N627" s="147"/>
    </row>
    <row r="628" spans="12:14" ht="15.75" customHeight="1">
      <c r="L628" s="151"/>
      <c r="M628" s="146"/>
      <c r="N628" s="147"/>
    </row>
    <row r="629" spans="12:14" ht="15.75" customHeight="1">
      <c r="L629" s="151"/>
      <c r="M629" s="146"/>
      <c r="N629" s="147"/>
    </row>
    <row r="630" spans="12:14" ht="15.75" customHeight="1">
      <c r="L630" s="151"/>
      <c r="M630" s="146"/>
      <c r="N630" s="147"/>
    </row>
    <row r="631" spans="12:14" ht="15.75" customHeight="1">
      <c r="L631" s="151"/>
      <c r="M631" s="146"/>
      <c r="N631" s="147"/>
    </row>
    <row r="632" spans="12:14" ht="15.75" customHeight="1">
      <c r="L632" s="151"/>
      <c r="M632" s="146"/>
      <c r="N632" s="147"/>
    </row>
    <row r="633" spans="12:14" ht="15.75" customHeight="1">
      <c r="L633" s="151"/>
      <c r="M633" s="146"/>
      <c r="N633" s="147"/>
    </row>
    <row r="634" spans="12:14" ht="15.75" customHeight="1">
      <c r="L634" s="151"/>
      <c r="M634" s="146"/>
      <c r="N634" s="147"/>
    </row>
    <row r="635" spans="12:14" ht="15.75" customHeight="1">
      <c r="L635" s="151"/>
      <c r="M635" s="146"/>
      <c r="N635" s="147"/>
    </row>
    <row r="636" spans="12:14" ht="15.75" customHeight="1">
      <c r="L636" s="151"/>
      <c r="M636" s="146"/>
      <c r="N636" s="147"/>
    </row>
    <row r="637" spans="12:14" ht="15.75" customHeight="1">
      <c r="L637" s="151"/>
      <c r="M637" s="146"/>
      <c r="N637" s="147"/>
    </row>
    <row r="638" spans="12:14" ht="15.75" customHeight="1">
      <c r="L638" s="151"/>
      <c r="M638" s="146"/>
      <c r="N638" s="147"/>
    </row>
    <row r="639" spans="12:14" ht="15.75" customHeight="1">
      <c r="L639" s="151"/>
      <c r="M639" s="146"/>
      <c r="N639" s="147"/>
    </row>
    <row r="640" spans="12:14" ht="15.75" customHeight="1">
      <c r="L640" s="151"/>
      <c r="M640" s="146"/>
      <c r="N640" s="147"/>
    </row>
    <row r="641" spans="12:14" ht="15.75" customHeight="1">
      <c r="L641" s="151"/>
      <c r="M641" s="146"/>
      <c r="N641" s="147"/>
    </row>
    <row r="642" spans="12:14" ht="15.75" customHeight="1">
      <c r="L642" s="151"/>
      <c r="M642" s="146"/>
      <c r="N642" s="147"/>
    </row>
    <row r="643" spans="12:14" ht="15.75" customHeight="1">
      <c r="L643" s="151"/>
      <c r="M643" s="146"/>
      <c r="N643" s="147"/>
    </row>
    <row r="644" spans="12:14" ht="15.75" customHeight="1">
      <c r="L644" s="151"/>
      <c r="M644" s="146"/>
      <c r="N644" s="147"/>
    </row>
    <row r="645" spans="12:14" ht="15.75" customHeight="1">
      <c r="L645" s="151"/>
      <c r="M645" s="146"/>
      <c r="N645" s="147"/>
    </row>
    <row r="646" spans="12:14" ht="15.75" customHeight="1">
      <c r="L646" s="151"/>
      <c r="M646" s="146"/>
      <c r="N646" s="147"/>
    </row>
    <row r="647" spans="12:14" ht="15.75" customHeight="1">
      <c r="L647" s="151"/>
      <c r="M647" s="146"/>
      <c r="N647" s="147"/>
    </row>
    <row r="648" spans="12:14" ht="15.75" customHeight="1">
      <c r="L648" s="151"/>
      <c r="M648" s="146"/>
      <c r="N648" s="147"/>
    </row>
    <row r="649" spans="12:14" ht="15.75" customHeight="1">
      <c r="L649" s="151"/>
      <c r="M649" s="146"/>
      <c r="N649" s="147"/>
    </row>
    <row r="650" spans="12:14" ht="15.75" customHeight="1">
      <c r="L650" s="151"/>
      <c r="M650" s="146"/>
      <c r="N650" s="147"/>
    </row>
    <row r="651" spans="12:14" ht="15.75" customHeight="1">
      <c r="L651" s="151"/>
      <c r="M651" s="146"/>
      <c r="N651" s="147"/>
    </row>
    <row r="652" spans="12:14" ht="15.75" customHeight="1">
      <c r="L652" s="151"/>
      <c r="M652" s="146"/>
      <c r="N652" s="147"/>
    </row>
    <row r="653" spans="12:14" ht="15.75" customHeight="1">
      <c r="L653" s="151"/>
      <c r="M653" s="146"/>
      <c r="N653" s="147"/>
    </row>
    <row r="654" spans="12:14" ht="15.75" customHeight="1">
      <c r="L654" s="151"/>
      <c r="M654" s="146"/>
      <c r="N654" s="147"/>
    </row>
    <row r="655" spans="12:14" ht="15.75" customHeight="1">
      <c r="L655" s="151"/>
      <c r="M655" s="146"/>
      <c r="N655" s="147"/>
    </row>
    <row r="656" spans="12:14" ht="15.75" customHeight="1">
      <c r="L656" s="151"/>
      <c r="M656" s="146"/>
      <c r="N656" s="147"/>
    </row>
    <row r="657" spans="12:14" ht="15.75" customHeight="1">
      <c r="L657" s="151"/>
      <c r="M657" s="146"/>
      <c r="N657" s="147"/>
    </row>
    <row r="658" spans="12:14" ht="15.75" customHeight="1">
      <c r="L658" s="151"/>
      <c r="M658" s="146"/>
      <c r="N658" s="147"/>
    </row>
    <row r="659" spans="12:14" ht="15.75" customHeight="1">
      <c r="L659" s="151"/>
      <c r="M659" s="146"/>
      <c r="N659" s="147"/>
    </row>
    <row r="660" spans="12:14" ht="15.75" customHeight="1">
      <c r="L660" s="151"/>
      <c r="M660" s="146"/>
      <c r="N660" s="147"/>
    </row>
    <row r="661" spans="12:14" ht="15.75" customHeight="1">
      <c r="L661" s="151"/>
      <c r="M661" s="146"/>
      <c r="N661" s="147"/>
    </row>
    <row r="662" spans="12:14" ht="15.75" customHeight="1">
      <c r="L662" s="151"/>
      <c r="M662" s="146"/>
      <c r="N662" s="147"/>
    </row>
    <row r="663" spans="12:14" ht="15.75" customHeight="1">
      <c r="L663" s="151"/>
      <c r="M663" s="146"/>
      <c r="N663" s="147"/>
    </row>
    <row r="664" spans="12:14" ht="15.75" customHeight="1">
      <c r="L664" s="151"/>
      <c r="M664" s="146"/>
      <c r="N664" s="147"/>
    </row>
    <row r="665" spans="12:14" ht="15.75" customHeight="1">
      <c r="L665" s="151"/>
      <c r="M665" s="146"/>
      <c r="N665" s="147"/>
    </row>
    <row r="666" spans="12:14" ht="15.75" customHeight="1">
      <c r="L666" s="151"/>
      <c r="M666" s="146"/>
      <c r="N666" s="147"/>
    </row>
    <row r="667" spans="12:14" ht="15.75" customHeight="1">
      <c r="L667" s="151"/>
      <c r="M667" s="146"/>
      <c r="N667" s="147"/>
    </row>
    <row r="668" spans="12:14" ht="15.75" customHeight="1">
      <c r="L668" s="151"/>
      <c r="M668" s="146"/>
      <c r="N668" s="147"/>
    </row>
    <row r="669" spans="12:14" ht="15.75" customHeight="1">
      <c r="L669" s="151"/>
      <c r="M669" s="146"/>
      <c r="N669" s="147"/>
    </row>
    <row r="670" spans="12:14" ht="15.75" customHeight="1">
      <c r="L670" s="151"/>
      <c r="M670" s="146"/>
      <c r="N670" s="147"/>
    </row>
    <row r="671" spans="12:14" ht="15.75" customHeight="1">
      <c r="L671" s="151"/>
      <c r="M671" s="146"/>
      <c r="N671" s="147"/>
    </row>
    <row r="672" spans="12:14" ht="15.75" customHeight="1">
      <c r="L672" s="151"/>
      <c r="M672" s="146"/>
      <c r="N672" s="147"/>
    </row>
    <row r="673" spans="12:14" ht="15.75" customHeight="1">
      <c r="L673" s="151"/>
      <c r="M673" s="146"/>
      <c r="N673" s="147"/>
    </row>
    <row r="674" spans="12:14" ht="15.75" customHeight="1">
      <c r="L674" s="151"/>
      <c r="M674" s="146"/>
      <c r="N674" s="147"/>
    </row>
    <row r="675" spans="12:14" ht="15.75" customHeight="1">
      <c r="L675" s="151"/>
      <c r="M675" s="146"/>
      <c r="N675" s="147"/>
    </row>
    <row r="676" spans="12:14" ht="15.75" customHeight="1">
      <c r="L676" s="151"/>
      <c r="M676" s="146"/>
      <c r="N676" s="147"/>
    </row>
    <row r="677" spans="12:14" ht="15.75" customHeight="1">
      <c r="L677" s="151"/>
      <c r="M677" s="146"/>
      <c r="N677" s="147"/>
    </row>
    <row r="678" spans="12:14" ht="15.75" customHeight="1">
      <c r="L678" s="151"/>
      <c r="M678" s="146"/>
      <c r="N678" s="147"/>
    </row>
    <row r="679" spans="12:14" ht="15.75" customHeight="1">
      <c r="L679" s="151"/>
      <c r="M679" s="146"/>
      <c r="N679" s="147"/>
    </row>
    <row r="680" spans="12:14" ht="15.75" customHeight="1">
      <c r="L680" s="151"/>
      <c r="M680" s="146"/>
      <c r="N680" s="147"/>
    </row>
    <row r="681" spans="12:14" ht="15.75" customHeight="1">
      <c r="L681" s="151"/>
      <c r="M681" s="146"/>
      <c r="N681" s="147"/>
    </row>
    <row r="682" spans="12:14" ht="15.75" customHeight="1">
      <c r="L682" s="151"/>
      <c r="M682" s="146"/>
      <c r="N682" s="147"/>
    </row>
    <row r="683" spans="12:14" ht="15.75" customHeight="1">
      <c r="L683" s="151"/>
      <c r="M683" s="146"/>
      <c r="N683" s="147"/>
    </row>
    <row r="684" spans="12:14" ht="15.75" customHeight="1">
      <c r="L684" s="151"/>
      <c r="M684" s="146"/>
      <c r="N684" s="147"/>
    </row>
    <row r="685" spans="12:14" ht="15.75" customHeight="1">
      <c r="L685" s="151"/>
      <c r="M685" s="146"/>
      <c r="N685" s="147"/>
    </row>
    <row r="686" spans="12:14" ht="15.75" customHeight="1">
      <c r="L686" s="151"/>
      <c r="M686" s="146"/>
      <c r="N686" s="147"/>
    </row>
    <row r="687" spans="12:14" ht="15.75" customHeight="1">
      <c r="L687" s="151"/>
      <c r="M687" s="146"/>
      <c r="N687" s="147"/>
    </row>
    <row r="688" spans="12:14" ht="15.75" customHeight="1">
      <c r="L688" s="151"/>
      <c r="M688" s="146"/>
      <c r="N688" s="147"/>
    </row>
    <row r="689" spans="12:14" ht="15.75" customHeight="1">
      <c r="L689" s="151"/>
      <c r="M689" s="146"/>
      <c r="N689" s="147"/>
    </row>
    <row r="690" spans="12:14" ht="15.75" customHeight="1">
      <c r="L690" s="151"/>
      <c r="M690" s="146"/>
      <c r="N690" s="147"/>
    </row>
    <row r="691" spans="12:14" ht="15.75" customHeight="1">
      <c r="L691" s="151"/>
      <c r="M691" s="146"/>
      <c r="N691" s="147"/>
    </row>
    <row r="692" spans="12:14" ht="15.75" customHeight="1">
      <c r="L692" s="151"/>
      <c r="M692" s="146"/>
      <c r="N692" s="147"/>
    </row>
    <row r="693" spans="12:14" ht="15.75" customHeight="1">
      <c r="L693" s="151"/>
      <c r="M693" s="146"/>
      <c r="N693" s="147"/>
    </row>
    <row r="694" spans="12:14" ht="15.75" customHeight="1">
      <c r="L694" s="151"/>
      <c r="M694" s="146"/>
      <c r="N694" s="147"/>
    </row>
    <row r="695" spans="12:14" ht="15.75" customHeight="1">
      <c r="L695" s="151"/>
      <c r="M695" s="146"/>
      <c r="N695" s="147"/>
    </row>
    <row r="696" spans="12:14" ht="15.75" customHeight="1">
      <c r="L696" s="151"/>
      <c r="M696" s="146"/>
      <c r="N696" s="147"/>
    </row>
    <row r="697" spans="12:14" ht="15.75" customHeight="1">
      <c r="L697" s="151"/>
      <c r="M697" s="146"/>
      <c r="N697" s="147"/>
    </row>
    <row r="698" spans="12:14" ht="15.75" customHeight="1">
      <c r="L698" s="151"/>
      <c r="M698" s="146"/>
      <c r="N698" s="147"/>
    </row>
    <row r="699" spans="12:14" ht="15.75" customHeight="1">
      <c r="L699" s="151"/>
      <c r="M699" s="146"/>
      <c r="N699" s="147"/>
    </row>
    <row r="700" spans="12:14" ht="15.75" customHeight="1">
      <c r="L700" s="151"/>
      <c r="M700" s="146"/>
      <c r="N700" s="147"/>
    </row>
    <row r="701" spans="12:14" ht="15.75" customHeight="1">
      <c r="L701" s="151"/>
      <c r="M701" s="146"/>
      <c r="N701" s="147"/>
    </row>
    <row r="702" spans="12:14" ht="15.75" customHeight="1">
      <c r="L702" s="151"/>
      <c r="M702" s="146"/>
      <c r="N702" s="147"/>
    </row>
    <row r="703" spans="12:14" ht="15.75" customHeight="1">
      <c r="L703" s="151"/>
      <c r="M703" s="146"/>
      <c r="N703" s="147"/>
    </row>
    <row r="704" spans="12:14" ht="15.75" customHeight="1">
      <c r="L704" s="151"/>
      <c r="M704" s="146"/>
      <c r="N704" s="147"/>
    </row>
    <row r="705" spans="12:14" ht="15.75" customHeight="1">
      <c r="L705" s="151"/>
      <c r="M705" s="146"/>
      <c r="N705" s="147"/>
    </row>
    <row r="706" spans="12:14" ht="15.75" customHeight="1">
      <c r="L706" s="151"/>
      <c r="M706" s="146"/>
      <c r="N706" s="147"/>
    </row>
    <row r="707" spans="12:14" ht="15.75" customHeight="1">
      <c r="L707" s="151"/>
      <c r="M707" s="146"/>
      <c r="N707" s="147"/>
    </row>
    <row r="708" spans="12:14" ht="15.75" customHeight="1">
      <c r="L708" s="151"/>
      <c r="M708" s="146"/>
      <c r="N708" s="147"/>
    </row>
    <row r="709" spans="12:14" ht="15.75" customHeight="1">
      <c r="L709" s="151"/>
      <c r="M709" s="146"/>
      <c r="N709" s="147"/>
    </row>
    <row r="710" spans="12:14" ht="15.75" customHeight="1">
      <c r="L710" s="151"/>
      <c r="M710" s="146"/>
      <c r="N710" s="147"/>
    </row>
    <row r="711" spans="12:14" ht="15.75" customHeight="1">
      <c r="L711" s="151"/>
      <c r="M711" s="146"/>
      <c r="N711" s="147"/>
    </row>
    <row r="712" spans="12:14" ht="15.75" customHeight="1">
      <c r="L712" s="151"/>
      <c r="M712" s="146"/>
      <c r="N712" s="147"/>
    </row>
    <row r="713" spans="12:14" ht="15.75" customHeight="1">
      <c r="L713" s="151"/>
      <c r="M713" s="146"/>
      <c r="N713" s="147"/>
    </row>
    <row r="714" spans="12:14" ht="15.75" customHeight="1">
      <c r="L714" s="151"/>
      <c r="M714" s="146"/>
      <c r="N714" s="147"/>
    </row>
    <row r="715" spans="12:14" ht="15.75" customHeight="1">
      <c r="L715" s="151"/>
      <c r="M715" s="146"/>
      <c r="N715" s="147"/>
    </row>
    <row r="716" spans="12:14" ht="15.75" customHeight="1">
      <c r="L716" s="151"/>
      <c r="M716" s="146"/>
      <c r="N716" s="147"/>
    </row>
    <row r="717" spans="12:14" ht="15.75" customHeight="1">
      <c r="L717" s="151"/>
      <c r="M717" s="146"/>
      <c r="N717" s="147"/>
    </row>
    <row r="718" spans="12:14" ht="15.75" customHeight="1">
      <c r="L718" s="151"/>
      <c r="M718" s="146"/>
      <c r="N718" s="147"/>
    </row>
    <row r="719" spans="12:14" ht="15.75" customHeight="1">
      <c r="L719" s="151"/>
      <c r="M719" s="146"/>
      <c r="N719" s="147"/>
    </row>
    <row r="720" spans="12:14" ht="15.75" customHeight="1">
      <c r="L720" s="151"/>
      <c r="M720" s="146"/>
      <c r="N720" s="147"/>
    </row>
    <row r="721" spans="12:14" ht="15.75" customHeight="1">
      <c r="L721" s="151"/>
      <c r="M721" s="146"/>
      <c r="N721" s="147"/>
    </row>
    <row r="722" spans="12:14" ht="15.75" customHeight="1">
      <c r="L722" s="151"/>
      <c r="M722" s="146"/>
      <c r="N722" s="147"/>
    </row>
    <row r="723" spans="12:14" ht="15.75" customHeight="1">
      <c r="L723" s="151"/>
      <c r="M723" s="146"/>
      <c r="N723" s="147"/>
    </row>
    <row r="724" spans="12:14" ht="15.75" customHeight="1">
      <c r="L724" s="151"/>
      <c r="M724" s="146"/>
      <c r="N724" s="147"/>
    </row>
    <row r="725" spans="12:14" ht="15.75" customHeight="1">
      <c r="L725" s="151"/>
      <c r="M725" s="146"/>
      <c r="N725" s="147"/>
    </row>
    <row r="726" spans="12:14" ht="15.75" customHeight="1">
      <c r="L726" s="151"/>
      <c r="M726" s="146"/>
      <c r="N726" s="147"/>
    </row>
    <row r="727" spans="12:14" ht="15.75" customHeight="1">
      <c r="L727" s="151"/>
      <c r="M727" s="146"/>
      <c r="N727" s="147"/>
    </row>
    <row r="728" spans="12:14" ht="15.75" customHeight="1">
      <c r="L728" s="151"/>
      <c r="M728" s="146"/>
      <c r="N728" s="147"/>
    </row>
    <row r="729" spans="12:14" ht="15.75" customHeight="1">
      <c r="L729" s="151"/>
      <c r="M729" s="146"/>
      <c r="N729" s="147"/>
    </row>
    <row r="730" spans="12:14" ht="15.75" customHeight="1">
      <c r="L730" s="151"/>
      <c r="M730" s="146"/>
      <c r="N730" s="147"/>
    </row>
    <row r="731" spans="12:14" ht="15.75" customHeight="1">
      <c r="L731" s="151"/>
      <c r="M731" s="146"/>
      <c r="N731" s="147"/>
    </row>
    <row r="732" spans="12:14" ht="15.75" customHeight="1">
      <c r="L732" s="151"/>
      <c r="M732" s="146"/>
      <c r="N732" s="147"/>
    </row>
    <row r="733" spans="12:14" ht="15.75" customHeight="1">
      <c r="L733" s="151"/>
      <c r="M733" s="146"/>
      <c r="N733" s="147"/>
    </row>
    <row r="734" spans="12:14" ht="15.75" customHeight="1">
      <c r="L734" s="151"/>
      <c r="M734" s="146"/>
      <c r="N734" s="147"/>
    </row>
    <row r="735" spans="12:14" ht="15.75" customHeight="1">
      <c r="L735" s="151"/>
      <c r="M735" s="146"/>
      <c r="N735" s="147"/>
    </row>
    <row r="736" spans="12:14" ht="15.75" customHeight="1">
      <c r="L736" s="151"/>
      <c r="M736" s="146"/>
      <c r="N736" s="147"/>
    </row>
    <row r="737" spans="12:14" ht="15.75" customHeight="1">
      <c r="L737" s="151"/>
      <c r="M737" s="146"/>
      <c r="N737" s="147"/>
    </row>
    <row r="738" spans="12:14" ht="15.75" customHeight="1">
      <c r="L738" s="151"/>
      <c r="M738" s="146"/>
      <c r="N738" s="147"/>
    </row>
    <row r="739" spans="12:14" ht="15.75" customHeight="1">
      <c r="L739" s="151"/>
      <c r="M739" s="146"/>
      <c r="N739" s="147"/>
    </row>
    <row r="740" spans="12:14" ht="15.75" customHeight="1">
      <c r="L740" s="151"/>
      <c r="M740" s="146"/>
      <c r="N740" s="147"/>
    </row>
    <row r="741" spans="12:14" ht="15.75" customHeight="1">
      <c r="L741" s="151"/>
      <c r="M741" s="146"/>
      <c r="N741" s="147"/>
    </row>
    <row r="742" spans="12:14" ht="15.75" customHeight="1">
      <c r="L742" s="151"/>
      <c r="M742" s="146"/>
      <c r="N742" s="147"/>
    </row>
    <row r="743" spans="12:14" ht="15.75" customHeight="1">
      <c r="L743" s="151"/>
      <c r="M743" s="146"/>
      <c r="N743" s="147"/>
    </row>
    <row r="744" spans="12:14" ht="15.75" customHeight="1">
      <c r="L744" s="151"/>
      <c r="M744" s="146"/>
      <c r="N744" s="147"/>
    </row>
    <row r="745" spans="12:14" ht="15.75" customHeight="1">
      <c r="L745" s="151"/>
      <c r="M745" s="146"/>
      <c r="N745" s="147"/>
    </row>
    <row r="746" spans="12:14" ht="15.75" customHeight="1">
      <c r="L746" s="151"/>
      <c r="M746" s="146"/>
      <c r="N746" s="147"/>
    </row>
    <row r="747" spans="12:14" ht="15.75" customHeight="1">
      <c r="L747" s="151"/>
      <c r="M747" s="146"/>
      <c r="N747" s="147"/>
    </row>
    <row r="748" spans="12:14" ht="15.75" customHeight="1">
      <c r="L748" s="151"/>
      <c r="M748" s="146"/>
      <c r="N748" s="147"/>
    </row>
    <row r="749" spans="12:14" ht="15.75" customHeight="1">
      <c r="L749" s="151"/>
      <c r="M749" s="146"/>
      <c r="N749" s="147"/>
    </row>
    <row r="750" spans="12:14" ht="15.75" customHeight="1">
      <c r="L750" s="151"/>
      <c r="M750" s="146"/>
      <c r="N750" s="147"/>
    </row>
    <row r="751" spans="12:14" ht="15.75" customHeight="1">
      <c r="L751" s="151"/>
      <c r="M751" s="146"/>
      <c r="N751" s="147"/>
    </row>
    <row r="752" spans="12:14" ht="15.75" customHeight="1">
      <c r="L752" s="151"/>
      <c r="M752" s="146"/>
      <c r="N752" s="147"/>
    </row>
    <row r="753" spans="12:14" ht="15.75" customHeight="1">
      <c r="L753" s="151"/>
      <c r="M753" s="146"/>
      <c r="N753" s="147"/>
    </row>
    <row r="754" spans="12:14" ht="15.75" customHeight="1">
      <c r="L754" s="151"/>
      <c r="M754" s="146"/>
      <c r="N754" s="147"/>
    </row>
    <row r="755" spans="12:14" ht="15.75" customHeight="1">
      <c r="L755" s="151"/>
      <c r="M755" s="146"/>
      <c r="N755" s="147"/>
    </row>
    <row r="756" spans="12:14" ht="15.75" customHeight="1">
      <c r="L756" s="151"/>
      <c r="M756" s="146"/>
      <c r="N756" s="147"/>
    </row>
    <row r="757" spans="12:14" ht="15.75" customHeight="1">
      <c r="L757" s="151"/>
      <c r="M757" s="146"/>
      <c r="N757" s="147"/>
    </row>
    <row r="758" spans="12:14" ht="15.75" customHeight="1">
      <c r="L758" s="151"/>
      <c r="M758" s="146"/>
      <c r="N758" s="147"/>
    </row>
    <row r="759" spans="12:14" ht="15.75" customHeight="1">
      <c r="L759" s="151"/>
      <c r="M759" s="146"/>
      <c r="N759" s="147"/>
    </row>
    <row r="760" spans="12:14" ht="15.75" customHeight="1">
      <c r="L760" s="151"/>
      <c r="M760" s="146"/>
      <c r="N760" s="147"/>
    </row>
    <row r="761" spans="12:14" ht="15.75" customHeight="1">
      <c r="L761" s="151"/>
      <c r="M761" s="146"/>
      <c r="N761" s="147"/>
    </row>
    <row r="762" spans="12:14" ht="15.75" customHeight="1">
      <c r="L762" s="151"/>
      <c r="M762" s="146"/>
      <c r="N762" s="147"/>
    </row>
    <row r="763" spans="12:14" ht="15.75" customHeight="1">
      <c r="L763" s="151"/>
      <c r="M763" s="146"/>
      <c r="N763" s="147"/>
    </row>
    <row r="764" spans="12:14" ht="15.75" customHeight="1">
      <c r="L764" s="151"/>
      <c r="M764" s="146"/>
      <c r="N764" s="147"/>
    </row>
    <row r="765" spans="12:14" ht="15.75" customHeight="1">
      <c r="L765" s="151"/>
      <c r="M765" s="146"/>
      <c r="N765" s="147"/>
    </row>
    <row r="766" spans="12:14" ht="15.75" customHeight="1">
      <c r="L766" s="151"/>
      <c r="M766" s="146"/>
      <c r="N766" s="147"/>
    </row>
    <row r="767" spans="12:14" ht="15.75" customHeight="1">
      <c r="L767" s="151"/>
      <c r="M767" s="146"/>
      <c r="N767" s="147"/>
    </row>
    <row r="768" spans="12:14" ht="15.75" customHeight="1">
      <c r="L768" s="151"/>
      <c r="M768" s="146"/>
      <c r="N768" s="147"/>
    </row>
    <row r="769" spans="12:14" ht="15.75" customHeight="1">
      <c r="L769" s="151"/>
      <c r="M769" s="146"/>
      <c r="N769" s="147"/>
    </row>
    <row r="770" spans="12:14" ht="15.75" customHeight="1">
      <c r="L770" s="151"/>
      <c r="M770" s="146"/>
      <c r="N770" s="147"/>
    </row>
    <row r="771" spans="12:14" ht="15.75" customHeight="1">
      <c r="L771" s="151"/>
      <c r="M771" s="146"/>
      <c r="N771" s="147"/>
    </row>
    <row r="772" spans="12:14" ht="15.75" customHeight="1">
      <c r="L772" s="151"/>
      <c r="M772" s="146"/>
      <c r="N772" s="147"/>
    </row>
    <row r="773" spans="12:14" ht="15.75" customHeight="1">
      <c r="L773" s="151"/>
      <c r="M773" s="146"/>
      <c r="N773" s="147"/>
    </row>
    <row r="774" spans="12:14" ht="15.75" customHeight="1">
      <c r="L774" s="151"/>
      <c r="M774" s="146"/>
      <c r="N774" s="147"/>
    </row>
    <row r="775" spans="12:14" ht="15.75" customHeight="1">
      <c r="L775" s="151"/>
      <c r="M775" s="146"/>
      <c r="N775" s="147"/>
    </row>
    <row r="776" spans="12:14" ht="15.75" customHeight="1">
      <c r="L776" s="151"/>
      <c r="M776" s="146"/>
      <c r="N776" s="147"/>
    </row>
    <row r="777" spans="12:14" ht="15.75" customHeight="1">
      <c r="L777" s="151"/>
      <c r="M777" s="146"/>
      <c r="N777" s="147"/>
    </row>
    <row r="778" spans="12:14" ht="15.75" customHeight="1">
      <c r="L778" s="151"/>
      <c r="M778" s="146"/>
      <c r="N778" s="147"/>
    </row>
    <row r="779" spans="12:14" ht="15.75" customHeight="1">
      <c r="L779" s="151"/>
      <c r="M779" s="146"/>
      <c r="N779" s="147"/>
    </row>
    <row r="780" spans="12:14" ht="15.75" customHeight="1">
      <c r="L780" s="151"/>
      <c r="M780" s="146"/>
      <c r="N780" s="147"/>
    </row>
    <row r="781" spans="12:14" ht="15.75" customHeight="1">
      <c r="L781" s="151"/>
      <c r="M781" s="146"/>
      <c r="N781" s="147"/>
    </row>
    <row r="782" spans="12:14" ht="15.75" customHeight="1">
      <c r="L782" s="151"/>
      <c r="M782" s="146"/>
      <c r="N782" s="147"/>
    </row>
    <row r="783" spans="12:14" ht="15.75" customHeight="1">
      <c r="L783" s="151"/>
      <c r="M783" s="146"/>
      <c r="N783" s="147"/>
    </row>
    <row r="784" spans="12:14" ht="15.75" customHeight="1">
      <c r="L784" s="151"/>
      <c r="M784" s="146"/>
      <c r="N784" s="147"/>
    </row>
    <row r="785" spans="12:14" ht="15.75" customHeight="1">
      <c r="L785" s="151"/>
      <c r="M785" s="146"/>
      <c r="N785" s="147"/>
    </row>
    <row r="786" spans="12:14" ht="15.75" customHeight="1">
      <c r="L786" s="151"/>
      <c r="M786" s="146"/>
      <c r="N786" s="147"/>
    </row>
    <row r="787" spans="12:14" ht="15.75" customHeight="1">
      <c r="L787" s="151"/>
      <c r="M787" s="146"/>
      <c r="N787" s="147"/>
    </row>
    <row r="788" spans="12:14" ht="15.75" customHeight="1">
      <c r="L788" s="151"/>
      <c r="M788" s="146"/>
      <c r="N788" s="147"/>
    </row>
    <row r="789" spans="12:14" ht="15.75" customHeight="1">
      <c r="L789" s="151"/>
      <c r="M789" s="146"/>
      <c r="N789" s="147"/>
    </row>
    <row r="790" spans="12:14" ht="15.75" customHeight="1">
      <c r="L790" s="151"/>
      <c r="M790" s="146"/>
      <c r="N790" s="147"/>
    </row>
    <row r="791" spans="12:14" ht="15.75" customHeight="1">
      <c r="L791" s="151"/>
      <c r="M791" s="146"/>
      <c r="N791" s="147"/>
    </row>
    <row r="792" spans="12:14" ht="15.75" customHeight="1">
      <c r="L792" s="151"/>
      <c r="M792" s="146"/>
      <c r="N792" s="147"/>
    </row>
    <row r="793" spans="12:14" ht="15.75" customHeight="1">
      <c r="L793" s="151"/>
      <c r="M793" s="146"/>
      <c r="N793" s="147"/>
    </row>
    <row r="794" spans="12:14" ht="15.75" customHeight="1">
      <c r="L794" s="151"/>
      <c r="M794" s="146"/>
      <c r="N794" s="147"/>
    </row>
    <row r="795" spans="12:14" ht="15.75" customHeight="1">
      <c r="L795" s="151"/>
      <c r="M795" s="146"/>
      <c r="N795" s="147"/>
    </row>
    <row r="796" spans="12:14" ht="15.75" customHeight="1">
      <c r="L796" s="151"/>
      <c r="M796" s="146"/>
      <c r="N796" s="147"/>
    </row>
    <row r="797" spans="12:14" ht="15.75" customHeight="1">
      <c r="L797" s="151"/>
      <c r="M797" s="146"/>
      <c r="N797" s="147"/>
    </row>
    <row r="798" spans="12:14" ht="15.75" customHeight="1">
      <c r="L798" s="151"/>
      <c r="M798" s="146"/>
      <c r="N798" s="147"/>
    </row>
    <row r="799" spans="12:14" ht="15.75" customHeight="1">
      <c r="L799" s="151"/>
      <c r="M799" s="146"/>
      <c r="N799" s="147"/>
    </row>
    <row r="800" spans="12:14" ht="15.75" customHeight="1">
      <c r="L800" s="151"/>
      <c r="M800" s="146"/>
      <c r="N800" s="147"/>
    </row>
    <row r="801" spans="12:14" ht="15.75" customHeight="1">
      <c r="L801" s="151"/>
      <c r="M801" s="146"/>
      <c r="N801" s="147"/>
    </row>
    <row r="802" spans="12:14" ht="15.75" customHeight="1">
      <c r="L802" s="151"/>
      <c r="M802" s="146"/>
      <c r="N802" s="147"/>
    </row>
    <row r="803" spans="12:14" ht="15.75" customHeight="1">
      <c r="L803" s="151"/>
      <c r="M803" s="146"/>
      <c r="N803" s="147"/>
    </row>
    <row r="804" spans="12:14" ht="15.75" customHeight="1">
      <c r="L804" s="151"/>
      <c r="M804" s="146"/>
      <c r="N804" s="147"/>
    </row>
    <row r="805" spans="12:14" ht="15.75" customHeight="1">
      <c r="L805" s="151"/>
      <c r="M805" s="146"/>
      <c r="N805" s="147"/>
    </row>
    <row r="806" spans="12:14" ht="15.75" customHeight="1">
      <c r="L806" s="151"/>
      <c r="M806" s="146"/>
      <c r="N806" s="147"/>
    </row>
    <row r="807" spans="12:14" ht="15.75" customHeight="1">
      <c r="L807" s="151"/>
      <c r="M807" s="146"/>
      <c r="N807" s="147"/>
    </row>
    <row r="808" spans="12:14" ht="15.75" customHeight="1">
      <c r="L808" s="151"/>
      <c r="M808" s="146"/>
      <c r="N808" s="147"/>
    </row>
    <row r="809" spans="12:14" ht="15.75" customHeight="1">
      <c r="L809" s="151"/>
      <c r="M809" s="146"/>
      <c r="N809" s="147"/>
    </row>
    <row r="810" spans="12:14" ht="15.75" customHeight="1">
      <c r="L810" s="151"/>
      <c r="M810" s="146"/>
      <c r="N810" s="147"/>
    </row>
    <row r="811" spans="12:14" ht="15.75" customHeight="1">
      <c r="L811" s="151"/>
      <c r="M811" s="146"/>
      <c r="N811" s="147"/>
    </row>
    <row r="812" spans="12:14" ht="15.75" customHeight="1">
      <c r="L812" s="151"/>
      <c r="M812" s="146"/>
      <c r="N812" s="147"/>
    </row>
    <row r="813" spans="12:14" ht="15.75" customHeight="1">
      <c r="L813" s="151"/>
      <c r="M813" s="146"/>
      <c r="N813" s="147"/>
    </row>
    <row r="814" spans="12:14" ht="15.75" customHeight="1">
      <c r="L814" s="151"/>
      <c r="M814" s="146"/>
      <c r="N814" s="147"/>
    </row>
    <row r="815" spans="12:14" ht="15.75" customHeight="1">
      <c r="L815" s="151"/>
      <c r="M815" s="146"/>
      <c r="N815" s="147"/>
    </row>
    <row r="816" spans="12:14" ht="15.75" customHeight="1">
      <c r="L816" s="151"/>
      <c r="M816" s="146"/>
      <c r="N816" s="147"/>
    </row>
    <row r="817" spans="12:14" ht="15.75" customHeight="1">
      <c r="L817" s="151"/>
      <c r="M817" s="146"/>
      <c r="N817" s="147"/>
    </row>
    <row r="818" spans="12:14" ht="15.75" customHeight="1">
      <c r="L818" s="151"/>
      <c r="M818" s="146"/>
      <c r="N818" s="147"/>
    </row>
    <row r="819" spans="12:14" ht="15.75" customHeight="1">
      <c r="L819" s="151"/>
      <c r="M819" s="146"/>
      <c r="N819" s="147"/>
    </row>
    <row r="820" spans="12:14" ht="15.75" customHeight="1">
      <c r="L820" s="151"/>
      <c r="M820" s="146"/>
      <c r="N820" s="147"/>
    </row>
    <row r="821" spans="12:14" ht="15.75" customHeight="1">
      <c r="L821" s="151"/>
      <c r="M821" s="146"/>
      <c r="N821" s="147"/>
    </row>
    <row r="822" spans="12:14" ht="15.75" customHeight="1">
      <c r="L822" s="151"/>
      <c r="M822" s="146"/>
      <c r="N822" s="147"/>
    </row>
    <row r="823" spans="12:14" ht="15.75" customHeight="1">
      <c r="L823" s="151"/>
      <c r="M823" s="146"/>
      <c r="N823" s="147"/>
    </row>
    <row r="824" spans="12:14" ht="15.75" customHeight="1">
      <c r="L824" s="151"/>
      <c r="M824" s="146"/>
      <c r="N824" s="147"/>
    </row>
    <row r="825" spans="12:14" ht="15.75" customHeight="1">
      <c r="L825" s="151"/>
      <c r="M825" s="146"/>
      <c r="N825" s="147"/>
    </row>
    <row r="826" spans="12:14" ht="15.75" customHeight="1">
      <c r="L826" s="151"/>
      <c r="M826" s="146"/>
      <c r="N826" s="147"/>
    </row>
    <row r="827" spans="12:14" ht="15.75" customHeight="1">
      <c r="L827" s="151"/>
      <c r="M827" s="146"/>
      <c r="N827" s="147"/>
    </row>
    <row r="828" spans="12:14" ht="15.75" customHeight="1">
      <c r="L828" s="151"/>
      <c r="M828" s="146"/>
      <c r="N828" s="147"/>
    </row>
    <row r="829" spans="12:14" ht="15.75" customHeight="1">
      <c r="L829" s="151"/>
      <c r="M829" s="146"/>
      <c r="N829" s="147"/>
    </row>
    <row r="830" spans="12:14" ht="15.75" customHeight="1">
      <c r="L830" s="151"/>
      <c r="M830" s="146"/>
      <c r="N830" s="147"/>
    </row>
    <row r="831" spans="12:14" ht="15.75" customHeight="1">
      <c r="L831" s="151"/>
      <c r="M831" s="146"/>
      <c r="N831" s="147"/>
    </row>
    <row r="832" spans="12:14" ht="15.75" customHeight="1">
      <c r="L832" s="151"/>
      <c r="M832" s="146"/>
      <c r="N832" s="147"/>
    </row>
    <row r="833" spans="12:14" ht="15.75" customHeight="1">
      <c r="L833" s="151"/>
      <c r="M833" s="146"/>
      <c r="N833" s="147"/>
    </row>
    <row r="834" spans="12:14" ht="15.75" customHeight="1">
      <c r="L834" s="151"/>
      <c r="M834" s="146"/>
      <c r="N834" s="147"/>
    </row>
    <row r="835" spans="12:14" ht="15.75" customHeight="1">
      <c r="L835" s="151"/>
      <c r="M835" s="146"/>
      <c r="N835" s="147"/>
    </row>
    <row r="836" spans="12:14" ht="15.75" customHeight="1">
      <c r="L836" s="151"/>
      <c r="M836" s="146"/>
      <c r="N836" s="147"/>
    </row>
    <row r="837" spans="12:14" ht="15.75" customHeight="1">
      <c r="L837" s="151"/>
      <c r="M837" s="146"/>
      <c r="N837" s="147"/>
    </row>
    <row r="838" spans="12:14" ht="15.75" customHeight="1">
      <c r="L838" s="151"/>
      <c r="M838" s="146"/>
      <c r="N838" s="147"/>
    </row>
    <row r="839" spans="12:14" ht="15.75" customHeight="1">
      <c r="L839" s="151"/>
      <c r="M839" s="146"/>
      <c r="N839" s="147"/>
    </row>
    <row r="840" spans="12:14" ht="15.75" customHeight="1">
      <c r="L840" s="151"/>
      <c r="M840" s="146"/>
      <c r="N840" s="147"/>
    </row>
    <row r="841" spans="12:14" ht="15.75" customHeight="1">
      <c r="L841" s="151"/>
      <c r="M841" s="146"/>
      <c r="N841" s="147"/>
    </row>
    <row r="842" spans="12:14" ht="15.75" customHeight="1">
      <c r="L842" s="151"/>
      <c r="M842" s="146"/>
      <c r="N842" s="147"/>
    </row>
    <row r="843" spans="12:14" ht="15.75" customHeight="1">
      <c r="L843" s="151"/>
      <c r="M843" s="146"/>
      <c r="N843" s="147"/>
    </row>
    <row r="844" spans="12:14" ht="15.75" customHeight="1">
      <c r="L844" s="151"/>
      <c r="M844" s="146"/>
      <c r="N844" s="147"/>
    </row>
    <row r="845" spans="12:14" ht="15.75" customHeight="1">
      <c r="L845" s="151"/>
      <c r="M845" s="146"/>
      <c r="N845" s="147"/>
    </row>
    <row r="846" spans="12:14" ht="15.75" customHeight="1">
      <c r="L846" s="151"/>
      <c r="M846" s="146"/>
      <c r="N846" s="147"/>
    </row>
    <row r="847" spans="12:14" ht="15.75" customHeight="1">
      <c r="L847" s="151"/>
      <c r="M847" s="146"/>
      <c r="N847" s="147"/>
    </row>
    <row r="848" spans="12:14" ht="15.75" customHeight="1">
      <c r="L848" s="151"/>
      <c r="M848" s="146"/>
      <c r="N848" s="147"/>
    </row>
    <row r="849" spans="12:14" ht="15.75" customHeight="1">
      <c r="L849" s="151"/>
      <c r="M849" s="146"/>
      <c r="N849" s="147"/>
    </row>
    <row r="850" spans="12:14" ht="15.75" customHeight="1">
      <c r="L850" s="151"/>
      <c r="M850" s="146"/>
      <c r="N850" s="147"/>
    </row>
    <row r="851" spans="12:14" ht="15.75" customHeight="1">
      <c r="L851" s="151"/>
      <c r="M851" s="146"/>
      <c r="N851" s="147"/>
    </row>
    <row r="852" spans="12:14" ht="15.75" customHeight="1">
      <c r="L852" s="151"/>
      <c r="M852" s="146"/>
      <c r="N852" s="147"/>
    </row>
    <row r="853" spans="12:14" ht="15.75" customHeight="1">
      <c r="L853" s="151"/>
      <c r="M853" s="146"/>
      <c r="N853" s="147"/>
    </row>
    <row r="854" spans="12:14" ht="15.75" customHeight="1">
      <c r="L854" s="151"/>
      <c r="M854" s="146"/>
      <c r="N854" s="147"/>
    </row>
    <row r="855" spans="12:14" ht="15.75" customHeight="1">
      <c r="L855" s="151"/>
      <c r="M855" s="146"/>
      <c r="N855" s="147"/>
    </row>
    <row r="856" spans="12:14" ht="15.75" customHeight="1">
      <c r="L856" s="151"/>
      <c r="M856" s="146"/>
      <c r="N856" s="147"/>
    </row>
    <row r="857" spans="12:14" ht="15.75" customHeight="1">
      <c r="L857" s="151"/>
      <c r="M857" s="146"/>
      <c r="N857" s="147"/>
    </row>
    <row r="858" spans="12:14" ht="15.75" customHeight="1">
      <c r="L858" s="151"/>
      <c r="M858" s="146"/>
      <c r="N858" s="147"/>
    </row>
    <row r="859" spans="12:14" ht="15.75" customHeight="1">
      <c r="L859" s="151"/>
      <c r="M859" s="146"/>
      <c r="N859" s="147"/>
    </row>
    <row r="860" spans="12:14" ht="15.75" customHeight="1">
      <c r="L860" s="151"/>
      <c r="M860" s="146"/>
      <c r="N860" s="147"/>
    </row>
    <row r="861" spans="12:14" ht="15.75" customHeight="1">
      <c r="L861" s="151"/>
      <c r="M861" s="146"/>
      <c r="N861" s="147"/>
    </row>
    <row r="862" spans="12:14" ht="15.75" customHeight="1">
      <c r="L862" s="151"/>
      <c r="M862" s="146"/>
      <c r="N862" s="147"/>
    </row>
    <row r="863" spans="12:14" ht="15.75" customHeight="1">
      <c r="L863" s="151"/>
      <c r="M863" s="146"/>
      <c r="N863" s="147"/>
    </row>
    <row r="864" spans="12:14" ht="15.75" customHeight="1">
      <c r="L864" s="151"/>
      <c r="M864" s="146"/>
      <c r="N864" s="147"/>
    </row>
    <row r="865" spans="12:14" ht="15.75" customHeight="1">
      <c r="L865" s="151"/>
      <c r="M865" s="146"/>
      <c r="N865" s="147"/>
    </row>
    <row r="866" spans="12:14" ht="15.75" customHeight="1">
      <c r="L866" s="151"/>
      <c r="M866" s="146"/>
      <c r="N866" s="147"/>
    </row>
    <row r="867" spans="12:14" ht="15.75" customHeight="1">
      <c r="L867" s="151"/>
      <c r="M867" s="146"/>
      <c r="N867" s="147"/>
    </row>
    <row r="868" spans="12:14" ht="15.75" customHeight="1">
      <c r="L868" s="151"/>
      <c r="M868" s="146"/>
      <c r="N868" s="147"/>
    </row>
    <row r="869" spans="12:14" ht="15.75" customHeight="1">
      <c r="L869" s="151"/>
      <c r="M869" s="146"/>
      <c r="N869" s="147"/>
    </row>
    <row r="870" spans="12:14" ht="15.75" customHeight="1">
      <c r="L870" s="151"/>
      <c r="M870" s="146"/>
      <c r="N870" s="147"/>
    </row>
    <row r="871" spans="12:14" ht="15.75" customHeight="1">
      <c r="L871" s="151"/>
      <c r="M871" s="146"/>
      <c r="N871" s="147"/>
    </row>
    <row r="872" spans="12:14" ht="15.75" customHeight="1">
      <c r="L872" s="151"/>
      <c r="M872" s="146"/>
      <c r="N872" s="147"/>
    </row>
    <row r="873" spans="12:14" ht="15.75" customHeight="1">
      <c r="L873" s="151"/>
      <c r="M873" s="146"/>
      <c r="N873" s="147"/>
    </row>
    <row r="874" spans="12:14" ht="15.75" customHeight="1">
      <c r="L874" s="151"/>
      <c r="M874" s="146"/>
      <c r="N874" s="147"/>
    </row>
    <row r="875" spans="12:14" ht="15.75" customHeight="1">
      <c r="L875" s="151"/>
      <c r="M875" s="146"/>
      <c r="N875" s="147"/>
    </row>
    <row r="876" spans="12:14" ht="15.75" customHeight="1">
      <c r="L876" s="151"/>
      <c r="M876" s="146"/>
      <c r="N876" s="147"/>
    </row>
    <row r="877" spans="12:14" ht="15.75" customHeight="1">
      <c r="L877" s="151"/>
      <c r="M877" s="146"/>
      <c r="N877" s="147"/>
    </row>
    <row r="878" spans="12:14" ht="15.75" customHeight="1">
      <c r="L878" s="151"/>
      <c r="M878" s="146"/>
      <c r="N878" s="147"/>
    </row>
    <row r="879" spans="12:14" ht="15.75" customHeight="1">
      <c r="L879" s="151"/>
      <c r="M879" s="146"/>
      <c r="N879" s="147"/>
    </row>
    <row r="880" spans="12:14" ht="15.75" customHeight="1">
      <c r="L880" s="151"/>
      <c r="M880" s="146"/>
      <c r="N880" s="147"/>
    </row>
    <row r="881" spans="12:14" ht="15.75" customHeight="1">
      <c r="L881" s="151"/>
      <c r="M881" s="146"/>
      <c r="N881" s="147"/>
    </row>
    <row r="882" spans="12:14" ht="15.75" customHeight="1">
      <c r="L882" s="151"/>
      <c r="M882" s="146"/>
      <c r="N882" s="147"/>
    </row>
    <row r="883" spans="12:14" ht="15.75" customHeight="1">
      <c r="L883" s="151"/>
      <c r="M883" s="146"/>
      <c r="N883" s="147"/>
    </row>
    <row r="884" spans="12:14" ht="15.75" customHeight="1">
      <c r="L884" s="151"/>
      <c r="M884" s="146"/>
      <c r="N884" s="147"/>
    </row>
    <row r="885" spans="12:14" ht="15.75" customHeight="1">
      <c r="L885" s="151"/>
      <c r="M885" s="146"/>
      <c r="N885" s="147"/>
    </row>
    <row r="886" spans="12:14" ht="15.75" customHeight="1">
      <c r="L886" s="151"/>
      <c r="M886" s="146"/>
      <c r="N886" s="147"/>
    </row>
    <row r="887" spans="12:14" ht="15.75" customHeight="1">
      <c r="L887" s="151"/>
      <c r="M887" s="146"/>
      <c r="N887" s="147"/>
    </row>
    <row r="888" spans="12:14" ht="15.75" customHeight="1">
      <c r="L888" s="151"/>
      <c r="M888" s="146"/>
      <c r="N888" s="147"/>
    </row>
    <row r="889" spans="12:14" ht="15.75" customHeight="1">
      <c r="L889" s="151"/>
      <c r="M889" s="146"/>
      <c r="N889" s="147"/>
    </row>
    <row r="890" spans="12:14" ht="15.75" customHeight="1">
      <c r="L890" s="151"/>
      <c r="M890" s="146"/>
      <c r="N890" s="147"/>
    </row>
    <row r="891" spans="12:14" ht="15.75" customHeight="1">
      <c r="L891" s="151"/>
      <c r="M891" s="146"/>
      <c r="N891" s="147"/>
    </row>
    <row r="892" spans="12:14" ht="15.75" customHeight="1">
      <c r="L892" s="151"/>
      <c r="M892" s="146"/>
      <c r="N892" s="147"/>
    </row>
    <row r="893" spans="12:14" ht="15.75" customHeight="1">
      <c r="L893" s="151"/>
      <c r="M893" s="146"/>
      <c r="N893" s="147"/>
    </row>
    <row r="894" spans="12:14" ht="15.75" customHeight="1">
      <c r="L894" s="151"/>
      <c r="M894" s="146"/>
      <c r="N894" s="147"/>
    </row>
    <row r="895" spans="12:14" ht="15.75" customHeight="1">
      <c r="L895" s="151"/>
      <c r="M895" s="146"/>
      <c r="N895" s="147"/>
    </row>
    <row r="896" spans="12:14" ht="15.75" customHeight="1">
      <c r="L896" s="151"/>
      <c r="M896" s="146"/>
      <c r="N896" s="147"/>
    </row>
    <row r="897" spans="12:14" ht="15.75" customHeight="1">
      <c r="L897" s="151"/>
      <c r="M897" s="146"/>
      <c r="N897" s="147"/>
    </row>
    <row r="898" spans="12:14" ht="15.75" customHeight="1">
      <c r="L898" s="151"/>
      <c r="M898" s="146"/>
      <c r="N898" s="147"/>
    </row>
    <row r="899" spans="12:14" ht="15.75" customHeight="1">
      <c r="L899" s="151"/>
      <c r="M899" s="146"/>
      <c r="N899" s="147"/>
    </row>
    <row r="900" spans="12:14" ht="15.75" customHeight="1">
      <c r="L900" s="151"/>
      <c r="M900" s="146"/>
      <c r="N900" s="147"/>
    </row>
    <row r="901" spans="12:14" ht="15.75" customHeight="1">
      <c r="L901" s="151"/>
      <c r="M901" s="146"/>
      <c r="N901" s="147"/>
    </row>
    <row r="902" spans="12:14" ht="15.75" customHeight="1">
      <c r="L902" s="151"/>
      <c r="M902" s="146"/>
      <c r="N902" s="147"/>
    </row>
    <row r="903" spans="12:14" ht="15.75" customHeight="1">
      <c r="L903" s="151"/>
      <c r="M903" s="146"/>
      <c r="N903" s="147"/>
    </row>
    <row r="904" spans="12:14" ht="15.75" customHeight="1">
      <c r="L904" s="151"/>
      <c r="M904" s="146"/>
      <c r="N904" s="147"/>
    </row>
    <row r="905" spans="12:14" ht="15.75" customHeight="1">
      <c r="L905" s="151"/>
      <c r="M905" s="146"/>
      <c r="N905" s="147"/>
    </row>
    <row r="906" spans="12:14" ht="15.75" customHeight="1">
      <c r="L906" s="151"/>
      <c r="M906" s="146"/>
      <c r="N906" s="147"/>
    </row>
    <row r="907" spans="12:14" ht="15.75" customHeight="1">
      <c r="L907" s="151"/>
      <c r="M907" s="146"/>
      <c r="N907" s="147"/>
    </row>
    <row r="908" spans="12:14" ht="15.75" customHeight="1">
      <c r="L908" s="151"/>
      <c r="M908" s="146"/>
      <c r="N908" s="147"/>
    </row>
    <row r="909" spans="12:14" ht="15.75" customHeight="1">
      <c r="L909" s="151"/>
      <c r="M909" s="146"/>
      <c r="N909" s="147"/>
    </row>
    <row r="910" spans="12:14" ht="15.75" customHeight="1">
      <c r="L910" s="151"/>
      <c r="M910" s="146"/>
      <c r="N910" s="147"/>
    </row>
    <row r="911" spans="12:14" ht="15.75" customHeight="1">
      <c r="L911" s="151"/>
      <c r="M911" s="146"/>
      <c r="N911" s="147"/>
    </row>
    <row r="912" spans="12:14" ht="15.75" customHeight="1">
      <c r="L912" s="151"/>
      <c r="M912" s="146"/>
      <c r="N912" s="147"/>
    </row>
    <row r="913" spans="12:14" ht="15.75" customHeight="1">
      <c r="L913" s="151"/>
      <c r="M913" s="146"/>
      <c r="N913" s="147"/>
    </row>
    <row r="914" spans="12:14" ht="15.75" customHeight="1">
      <c r="L914" s="151"/>
      <c r="M914" s="146"/>
      <c r="N914" s="147"/>
    </row>
    <row r="915" spans="12:14" ht="15.75" customHeight="1">
      <c r="L915" s="151"/>
      <c r="M915" s="146"/>
      <c r="N915" s="147"/>
    </row>
    <row r="916" spans="12:14" ht="15.75" customHeight="1">
      <c r="L916" s="151"/>
      <c r="M916" s="146"/>
      <c r="N916" s="147"/>
    </row>
    <row r="917" spans="12:14" ht="15.75" customHeight="1">
      <c r="L917" s="151"/>
      <c r="M917" s="146"/>
      <c r="N917" s="147"/>
    </row>
    <row r="918" spans="12:14" ht="15.75" customHeight="1">
      <c r="L918" s="151"/>
      <c r="M918" s="146"/>
      <c r="N918" s="147"/>
    </row>
    <row r="919" spans="12:14" ht="15.75" customHeight="1">
      <c r="L919" s="151"/>
      <c r="M919" s="146"/>
      <c r="N919" s="147"/>
    </row>
    <row r="920" spans="12:14" ht="15.75" customHeight="1">
      <c r="L920" s="151"/>
      <c r="M920" s="146"/>
      <c r="N920" s="147"/>
    </row>
    <row r="921" spans="12:14" ht="15.75" customHeight="1">
      <c r="L921" s="151"/>
      <c r="M921" s="146"/>
      <c r="N921" s="147"/>
    </row>
    <row r="922" spans="12:14" ht="15.75" customHeight="1">
      <c r="L922" s="151"/>
      <c r="M922" s="146"/>
      <c r="N922" s="147"/>
    </row>
    <row r="923" spans="12:14" ht="15.75" customHeight="1">
      <c r="L923" s="151"/>
      <c r="M923" s="146"/>
      <c r="N923" s="147"/>
    </row>
    <row r="924" spans="12:14" ht="15.75" customHeight="1">
      <c r="L924" s="151"/>
      <c r="M924" s="146"/>
      <c r="N924" s="147"/>
    </row>
    <row r="925" spans="12:14" ht="15.75" customHeight="1">
      <c r="L925" s="151"/>
      <c r="M925" s="146"/>
      <c r="N925" s="147"/>
    </row>
    <row r="926" spans="12:14" ht="15.75" customHeight="1">
      <c r="L926" s="151"/>
      <c r="M926" s="146"/>
      <c r="N926" s="147"/>
    </row>
    <row r="927" spans="12:14" ht="15.75" customHeight="1">
      <c r="L927" s="151"/>
      <c r="M927" s="146"/>
      <c r="N927" s="147"/>
    </row>
    <row r="928" spans="12:14" ht="15.75" customHeight="1">
      <c r="L928" s="151"/>
      <c r="M928" s="146"/>
      <c r="N928" s="147"/>
    </row>
    <row r="929" spans="12:14" ht="15.75" customHeight="1">
      <c r="L929" s="151"/>
      <c r="M929" s="146"/>
      <c r="N929" s="147"/>
    </row>
    <row r="930" spans="12:14" ht="15.75" customHeight="1">
      <c r="L930" s="151"/>
      <c r="M930" s="146"/>
      <c r="N930" s="147"/>
    </row>
    <row r="931" spans="12:14" ht="15.75" customHeight="1">
      <c r="L931" s="151"/>
      <c r="M931" s="146"/>
      <c r="N931" s="147"/>
    </row>
    <row r="932" spans="12:14" ht="15.75" customHeight="1">
      <c r="L932" s="151"/>
      <c r="M932" s="146"/>
      <c r="N932" s="147"/>
    </row>
    <row r="933" spans="12:14" ht="15.75" customHeight="1">
      <c r="L933" s="151"/>
      <c r="M933" s="146"/>
      <c r="N933" s="147"/>
    </row>
    <row r="934" spans="12:14" ht="15.75" customHeight="1">
      <c r="L934" s="151"/>
      <c r="M934" s="146"/>
      <c r="N934" s="147"/>
    </row>
    <row r="935" spans="12:14" ht="15.75" customHeight="1">
      <c r="L935" s="151"/>
      <c r="M935" s="146"/>
      <c r="N935" s="147"/>
    </row>
    <row r="936" spans="12:14" ht="15.75" customHeight="1">
      <c r="L936" s="151"/>
      <c r="M936" s="146"/>
      <c r="N936" s="147"/>
    </row>
    <row r="937" spans="12:14" ht="15.75" customHeight="1">
      <c r="L937" s="151"/>
      <c r="M937" s="146"/>
      <c r="N937" s="147"/>
    </row>
    <row r="938" spans="12:14" ht="15.75" customHeight="1">
      <c r="L938" s="151"/>
      <c r="M938" s="146"/>
      <c r="N938" s="147"/>
    </row>
    <row r="939" spans="12:14" ht="15.75" customHeight="1">
      <c r="L939" s="151"/>
      <c r="M939" s="146"/>
      <c r="N939" s="147"/>
    </row>
    <row r="940" spans="12:14" ht="15.75" customHeight="1">
      <c r="L940" s="151"/>
      <c r="M940" s="146"/>
      <c r="N940" s="147"/>
    </row>
    <row r="941" spans="12:14" ht="15.75" customHeight="1">
      <c r="L941" s="151"/>
      <c r="M941" s="146"/>
      <c r="N941" s="147"/>
    </row>
    <row r="942" spans="12:14" ht="15.75" customHeight="1">
      <c r="L942" s="151"/>
      <c r="M942" s="146"/>
      <c r="N942" s="147"/>
    </row>
    <row r="943" spans="12:14" ht="15.75" customHeight="1">
      <c r="L943" s="151"/>
      <c r="M943" s="146"/>
      <c r="N943" s="147"/>
    </row>
    <row r="944" spans="12:14" ht="15.75" customHeight="1">
      <c r="L944" s="151"/>
      <c r="M944" s="146"/>
      <c r="N944" s="147"/>
    </row>
    <row r="945" spans="12:14" ht="15.75" customHeight="1">
      <c r="L945" s="151"/>
      <c r="M945" s="146"/>
      <c r="N945" s="147"/>
    </row>
    <row r="946" spans="12:14" ht="15.75" customHeight="1">
      <c r="L946" s="151"/>
      <c r="M946" s="146"/>
      <c r="N946" s="147"/>
    </row>
    <row r="947" spans="12:14" ht="15.75" customHeight="1">
      <c r="L947" s="151"/>
      <c r="M947" s="146"/>
      <c r="N947" s="147"/>
    </row>
    <row r="948" spans="12:14" ht="15.75" customHeight="1">
      <c r="L948" s="151"/>
      <c r="M948" s="146"/>
      <c r="N948" s="147"/>
    </row>
    <row r="949" spans="12:14" ht="15.75" customHeight="1">
      <c r="L949" s="151"/>
      <c r="M949" s="146"/>
      <c r="N949" s="147"/>
    </row>
    <row r="950" spans="12:14" ht="15.75" customHeight="1">
      <c r="L950" s="151"/>
      <c r="M950" s="146"/>
      <c r="N950" s="147"/>
    </row>
    <row r="951" spans="12:14" ht="15.75" customHeight="1">
      <c r="L951" s="151"/>
      <c r="M951" s="146"/>
      <c r="N951" s="147"/>
    </row>
    <row r="952" spans="12:14" ht="15.75" customHeight="1">
      <c r="L952" s="151"/>
      <c r="M952" s="146"/>
      <c r="N952" s="147"/>
    </row>
    <row r="953" spans="12:14" ht="15.75" customHeight="1">
      <c r="L953" s="151"/>
      <c r="M953" s="146"/>
      <c r="N953" s="147"/>
    </row>
    <row r="954" spans="12:14" ht="15.75" customHeight="1">
      <c r="L954" s="151"/>
      <c r="M954" s="146"/>
      <c r="N954" s="147"/>
    </row>
    <row r="955" spans="12:14" ht="15.75" customHeight="1">
      <c r="L955" s="151"/>
      <c r="M955" s="146"/>
      <c r="N955" s="147"/>
    </row>
    <row r="956" spans="12:14" ht="15.75" customHeight="1">
      <c r="L956" s="151"/>
      <c r="M956" s="146"/>
      <c r="N956" s="147"/>
    </row>
    <row r="957" spans="12:14" ht="15.75" customHeight="1">
      <c r="L957" s="151"/>
      <c r="M957" s="146"/>
      <c r="N957" s="147"/>
    </row>
    <row r="958" spans="12:14" ht="15.75" customHeight="1">
      <c r="L958" s="151"/>
      <c r="M958" s="146"/>
      <c r="N958" s="147"/>
    </row>
    <row r="959" spans="12:14" ht="15.75" customHeight="1">
      <c r="L959" s="151"/>
      <c r="M959" s="146"/>
      <c r="N959" s="147"/>
    </row>
    <row r="960" spans="12:14" ht="15.75" customHeight="1">
      <c r="L960" s="151"/>
      <c r="M960" s="146"/>
      <c r="N960" s="147"/>
    </row>
    <row r="961" spans="12:14" ht="15.75" customHeight="1">
      <c r="L961" s="151"/>
      <c r="M961" s="146"/>
      <c r="N961" s="147"/>
    </row>
    <row r="962" spans="12:14" ht="15.75" customHeight="1">
      <c r="L962" s="151"/>
      <c r="M962" s="146"/>
      <c r="N962" s="147"/>
    </row>
    <row r="963" spans="12:14" ht="15.75" customHeight="1">
      <c r="L963" s="151"/>
      <c r="M963" s="146"/>
      <c r="N963" s="147"/>
    </row>
    <row r="964" spans="12:14" ht="15.75" customHeight="1">
      <c r="L964" s="151"/>
      <c r="M964" s="146"/>
      <c r="N964" s="147"/>
    </row>
    <row r="965" spans="12:14" ht="15.75" customHeight="1">
      <c r="L965" s="151"/>
      <c r="M965" s="146"/>
      <c r="N965" s="147"/>
    </row>
    <row r="966" spans="12:14" ht="15.75" customHeight="1">
      <c r="L966" s="151"/>
      <c r="M966" s="146"/>
      <c r="N966" s="147"/>
    </row>
    <row r="967" spans="12:14" ht="15.75" customHeight="1">
      <c r="L967" s="151"/>
      <c r="M967" s="146"/>
      <c r="N967" s="147"/>
    </row>
    <row r="968" spans="12:14" ht="15.75" customHeight="1">
      <c r="L968" s="151"/>
      <c r="M968" s="146"/>
      <c r="N968" s="147"/>
    </row>
    <row r="969" spans="12:14" ht="15.75" customHeight="1">
      <c r="L969" s="151"/>
      <c r="M969" s="146"/>
      <c r="N969" s="147"/>
    </row>
    <row r="970" spans="12:14" ht="15.75" customHeight="1">
      <c r="L970" s="151"/>
      <c r="M970" s="146"/>
      <c r="N970" s="147"/>
    </row>
    <row r="971" spans="12:14" ht="15.75" customHeight="1">
      <c r="L971" s="151"/>
      <c r="M971" s="146"/>
      <c r="N971" s="147"/>
    </row>
    <row r="972" spans="12:14" ht="15.75" customHeight="1">
      <c r="L972" s="151"/>
      <c r="M972" s="146"/>
      <c r="N972" s="147"/>
    </row>
    <row r="973" spans="12:14" ht="15.75" customHeight="1">
      <c r="L973" s="151"/>
      <c r="M973" s="146"/>
      <c r="N973" s="147"/>
    </row>
    <row r="974" spans="12:14" ht="15.75" customHeight="1">
      <c r="L974" s="151"/>
      <c r="M974" s="146"/>
      <c r="N974" s="147"/>
    </row>
    <row r="975" spans="12:14" ht="15.75" customHeight="1">
      <c r="L975" s="151"/>
      <c r="M975" s="146"/>
      <c r="N975" s="147"/>
    </row>
    <row r="976" spans="12:14" ht="15.75" customHeight="1">
      <c r="L976" s="151"/>
      <c r="M976" s="146"/>
      <c r="N976" s="147"/>
    </row>
    <row r="977" spans="12:14" ht="15.75" customHeight="1">
      <c r="L977" s="151"/>
      <c r="M977" s="146"/>
      <c r="N977" s="147"/>
    </row>
    <row r="978" spans="12:14" ht="15.75" customHeight="1">
      <c r="L978" s="151"/>
      <c r="M978" s="146"/>
      <c r="N978" s="147"/>
    </row>
    <row r="979" spans="12:14" ht="15.75" customHeight="1">
      <c r="L979" s="151"/>
      <c r="M979" s="146"/>
      <c r="N979" s="147"/>
    </row>
    <row r="980" spans="12:14" ht="15.75" customHeight="1">
      <c r="L980" s="151"/>
      <c r="M980" s="146"/>
      <c r="N980" s="147"/>
    </row>
    <row r="981" spans="12:14" ht="15.75" customHeight="1">
      <c r="L981" s="151"/>
      <c r="M981" s="146"/>
      <c r="N981" s="147"/>
    </row>
    <row r="982" spans="12:14" ht="15.75" customHeight="1">
      <c r="L982" s="151"/>
      <c r="M982" s="146"/>
      <c r="N982" s="147"/>
    </row>
    <row r="983" spans="12:14" ht="15.75" customHeight="1">
      <c r="L983" s="151"/>
      <c r="M983" s="146"/>
      <c r="N983" s="147"/>
    </row>
    <row r="984" spans="12:14" ht="15.75" customHeight="1">
      <c r="L984" s="151"/>
      <c r="M984" s="146"/>
      <c r="N984" s="147"/>
    </row>
    <row r="985" spans="12:14" ht="15.75" customHeight="1">
      <c r="L985" s="151"/>
      <c r="M985" s="146"/>
      <c r="N985" s="147"/>
    </row>
    <row r="986" spans="12:14" ht="15.75" customHeight="1">
      <c r="L986" s="151"/>
      <c r="M986" s="146"/>
      <c r="N986" s="147"/>
    </row>
    <row r="987" spans="12:14" ht="15.75" customHeight="1">
      <c r="L987" s="151"/>
      <c r="M987" s="146"/>
      <c r="N987" s="147"/>
    </row>
    <row r="988" spans="12:14" ht="15.75" customHeight="1">
      <c r="L988" s="151"/>
      <c r="M988" s="146"/>
      <c r="N988" s="147"/>
    </row>
    <row r="989" spans="12:14" ht="15.75" customHeight="1">
      <c r="L989" s="151"/>
      <c r="M989" s="146"/>
      <c r="N989" s="147"/>
    </row>
    <row r="990" spans="12:14" ht="15.75" customHeight="1">
      <c r="L990" s="151"/>
      <c r="M990" s="146"/>
      <c r="N990" s="147"/>
    </row>
    <row r="991" spans="12:14" ht="15.75" customHeight="1">
      <c r="L991" s="151"/>
      <c r="M991" s="146"/>
      <c r="N991" s="147"/>
    </row>
    <row r="992" spans="12:14" ht="15.75" customHeight="1">
      <c r="L992" s="151"/>
      <c r="M992" s="146"/>
      <c r="N992" s="147"/>
    </row>
    <row r="993" spans="12:14" ht="15.75" customHeight="1">
      <c r="L993" s="151"/>
      <c r="M993" s="146"/>
      <c r="N993" s="147"/>
    </row>
    <row r="994" spans="12:14" ht="15.75" customHeight="1">
      <c r="L994" s="151"/>
      <c r="M994" s="146"/>
      <c r="N994" s="147"/>
    </row>
    <row r="995" spans="12:14" ht="15.75" customHeight="1">
      <c r="L995" s="151"/>
      <c r="M995" s="146"/>
      <c r="N995" s="147"/>
    </row>
    <row r="996" spans="12:14" ht="15.75" customHeight="1">
      <c r="L996" s="151"/>
      <c r="M996" s="146"/>
      <c r="N996" s="147"/>
    </row>
    <row r="997" spans="12:14" ht="15.75" customHeight="1">
      <c r="L997" s="151"/>
      <c r="M997" s="146"/>
      <c r="N997" s="147"/>
    </row>
    <row r="998" spans="12:14" ht="15.75" customHeight="1">
      <c r="L998" s="151"/>
      <c r="M998" s="146"/>
      <c r="N998" s="147"/>
    </row>
    <row r="999" spans="12:14" ht="15.75" customHeight="1">
      <c r="L999" s="151"/>
      <c r="M999" s="146"/>
      <c r="N999" s="147"/>
    </row>
    <row r="1000" spans="12:14" ht="15.75" customHeight="1">
      <c r="L1000" s="151"/>
      <c r="M1000" s="146"/>
      <c r="N1000" s="147"/>
    </row>
    <row r="1001" spans="12:14" ht="15.75" customHeight="1">
      <c r="L1001" s="151"/>
      <c r="M1001" s="146"/>
      <c r="N1001" s="147"/>
    </row>
    <row r="1002" spans="12:14" ht="15.75" customHeight="1">
      <c r="L1002" s="151"/>
      <c r="M1002" s="146"/>
      <c r="N1002" s="147"/>
    </row>
    <row r="1003" spans="12:14" ht="15.75" customHeight="1">
      <c r="L1003" s="151"/>
      <c r="M1003" s="146"/>
      <c r="N1003" s="147"/>
    </row>
    <row r="1004" spans="12:14" ht="15.75" customHeight="1">
      <c r="L1004" s="151"/>
      <c r="M1004" s="146"/>
      <c r="N1004" s="147"/>
    </row>
    <row r="1005" spans="12:14" ht="15.75" customHeight="1">
      <c r="L1005" s="151"/>
      <c r="M1005" s="146"/>
      <c r="N1005" s="147"/>
    </row>
    <row r="1006" spans="12:14" ht="15.75" customHeight="1">
      <c r="L1006" s="151"/>
      <c r="M1006" s="146"/>
      <c r="N1006" s="147"/>
    </row>
    <row r="1007" spans="12:14" ht="15.75" customHeight="1">
      <c r="L1007" s="151"/>
      <c r="M1007" s="146"/>
      <c r="N1007" s="147"/>
    </row>
    <row r="1008" spans="12:14" ht="15.75" customHeight="1">
      <c r="L1008" s="151"/>
      <c r="M1008" s="146"/>
      <c r="N1008" s="147"/>
    </row>
    <row r="1009" spans="12:14" ht="15.75" customHeight="1">
      <c r="L1009" s="151"/>
      <c r="M1009" s="146"/>
      <c r="N1009" s="147"/>
    </row>
    <row r="1010" spans="12:14" ht="15.75" customHeight="1">
      <c r="L1010" s="151"/>
      <c r="M1010" s="146"/>
      <c r="N1010" s="147"/>
    </row>
    <row r="1011" spans="12:14" ht="15.75" customHeight="1">
      <c r="L1011" s="151"/>
      <c r="M1011" s="146"/>
      <c r="N1011" s="147"/>
    </row>
    <row r="1012" spans="12:14" ht="15.75" customHeight="1">
      <c r="L1012" s="151"/>
      <c r="M1012" s="146"/>
      <c r="N1012" s="147"/>
    </row>
    <row r="1013" spans="12:14" ht="15.75" customHeight="1">
      <c r="L1013" s="151"/>
      <c r="M1013" s="146"/>
      <c r="N1013" s="147"/>
    </row>
    <row r="1014" spans="12:14" ht="15.75" customHeight="1">
      <c r="L1014" s="151"/>
      <c r="M1014" s="146"/>
      <c r="N1014" s="147"/>
    </row>
    <row r="1015" spans="12:14" ht="15.75" customHeight="1">
      <c r="L1015" s="151"/>
      <c r="M1015" s="146"/>
      <c r="N1015" s="147"/>
    </row>
    <row r="1016" spans="12:14" ht="15.75" customHeight="1">
      <c r="L1016" s="151"/>
      <c r="M1016" s="146"/>
      <c r="N1016" s="147"/>
    </row>
    <row r="1017" spans="12:14" ht="15.75" customHeight="1">
      <c r="L1017" s="151"/>
      <c r="M1017" s="146"/>
      <c r="N1017" s="147"/>
    </row>
    <row r="1018" spans="12:14" ht="15.75" customHeight="1">
      <c r="L1018" s="151"/>
      <c r="M1018" s="146"/>
      <c r="N1018" s="147"/>
    </row>
    <row r="1019" spans="12:14" ht="15.75" customHeight="1">
      <c r="L1019" s="151"/>
      <c r="M1019" s="146"/>
      <c r="N1019" s="147"/>
    </row>
    <row r="1020" spans="12:14" ht="15.75" customHeight="1">
      <c r="L1020" s="151"/>
      <c r="M1020" s="146"/>
      <c r="N1020" s="147"/>
    </row>
    <row r="1021" spans="12:14" ht="15.75" customHeight="1">
      <c r="L1021" s="151"/>
      <c r="M1021" s="146"/>
      <c r="N1021" s="147"/>
    </row>
    <row r="1022" spans="12:14" ht="15.75" customHeight="1">
      <c r="L1022" s="151"/>
      <c r="M1022" s="146"/>
      <c r="N1022" s="147"/>
    </row>
    <row r="1023" spans="12:14" ht="15.75" customHeight="1">
      <c r="L1023" s="151"/>
      <c r="M1023" s="146"/>
      <c r="N1023" s="147"/>
    </row>
    <row r="1024" spans="12:14" ht="15.75" customHeight="1">
      <c r="L1024" s="151"/>
      <c r="M1024" s="146"/>
      <c r="N1024" s="147"/>
    </row>
    <row r="1025" spans="12:14" ht="15.75" customHeight="1">
      <c r="L1025" s="151"/>
      <c r="M1025" s="146"/>
      <c r="N1025" s="147"/>
    </row>
    <row r="1026" spans="12:14" ht="15.75" customHeight="1">
      <c r="L1026" s="151"/>
      <c r="M1026" s="146"/>
      <c r="N1026" s="147"/>
    </row>
    <row r="1027" spans="12:14" ht="15.75" customHeight="1">
      <c r="L1027" s="151"/>
      <c r="M1027" s="146"/>
      <c r="N1027" s="147"/>
    </row>
    <row r="1028" spans="12:14" ht="15.75" customHeight="1">
      <c r="L1028" s="151"/>
      <c r="M1028" s="146"/>
      <c r="N1028" s="147"/>
    </row>
    <row r="1029" spans="12:14" ht="15.75" customHeight="1">
      <c r="L1029" s="151"/>
      <c r="M1029" s="146"/>
      <c r="N1029" s="147"/>
    </row>
    <row r="1030" spans="12:14" ht="15.75" customHeight="1">
      <c r="L1030" s="151"/>
      <c r="M1030" s="146"/>
      <c r="N1030" s="147"/>
    </row>
    <row r="1031" spans="12:14" ht="15.75" customHeight="1">
      <c r="L1031" s="151"/>
      <c r="M1031" s="146"/>
      <c r="N1031" s="147"/>
    </row>
    <row r="1032" spans="12:14" ht="15.75" customHeight="1">
      <c r="L1032" s="151"/>
      <c r="M1032" s="146"/>
      <c r="N1032" s="147"/>
    </row>
    <row r="1033" spans="12:14" ht="15.75" customHeight="1">
      <c r="L1033" s="151"/>
      <c r="M1033" s="146"/>
      <c r="N1033" s="147"/>
    </row>
    <row r="1034" spans="12:14" ht="15.75" customHeight="1">
      <c r="L1034" s="151"/>
      <c r="M1034" s="146"/>
      <c r="N1034" s="147"/>
    </row>
    <row r="1035" spans="12:14" ht="15.75" customHeight="1">
      <c r="L1035" s="151"/>
      <c r="M1035" s="146"/>
      <c r="N1035" s="147"/>
    </row>
    <row r="1036" spans="12:14" ht="15.75" customHeight="1">
      <c r="L1036" s="151"/>
      <c r="M1036" s="146"/>
      <c r="N1036" s="147"/>
    </row>
    <row r="1037" spans="12:14" ht="15.75" customHeight="1">
      <c r="L1037" s="151"/>
      <c r="M1037" s="146"/>
      <c r="N1037" s="147"/>
    </row>
    <row r="1038" spans="12:14" ht="15.75" customHeight="1">
      <c r="L1038" s="151"/>
      <c r="M1038" s="146"/>
      <c r="N1038" s="147"/>
    </row>
    <row r="1039" spans="12:14" ht="15.75" customHeight="1">
      <c r="L1039" s="151"/>
      <c r="M1039" s="146"/>
      <c r="N1039" s="147"/>
    </row>
    <row r="1040" spans="12:14" ht="15.75" customHeight="1">
      <c r="L1040" s="151"/>
      <c r="M1040" s="146"/>
      <c r="N1040" s="147"/>
    </row>
    <row r="1041" spans="12:14" ht="15.75" customHeight="1">
      <c r="L1041" s="151"/>
      <c r="M1041" s="146"/>
      <c r="N1041" s="147"/>
    </row>
    <row r="1042" spans="12:14" ht="15.75" customHeight="1">
      <c r="L1042" s="151"/>
      <c r="M1042" s="146"/>
      <c r="N1042" s="147"/>
    </row>
    <row r="1043" spans="12:14" ht="15.75" customHeight="1">
      <c r="L1043" s="154"/>
      <c r="M1043" s="155"/>
      <c r="N1043" s="156"/>
    </row>
  </sheetData>
  <autoFilter ref="A1:AB1043" xr:uid="{00000000-0009-0000-0000-000002000000}">
    <sortState xmlns:xlrd2="http://schemas.microsoft.com/office/spreadsheetml/2017/richdata2" ref="A2:AB1043">
      <sortCondition ref="A1:A1043"/>
    </sortState>
  </autoFilter>
  <hyperlinks>
    <hyperlink ref="K305" r:id="rId1" xr:uid="{959159F4-5BC6-4A60-A21D-964FC89BCCA6}"/>
    <hyperlink ref="K311" r:id="rId2" xr:uid="{8872F167-501F-473F-B8A3-DAF2D773C0FF}"/>
    <hyperlink ref="K310" r:id="rId3" xr:uid="{59280FB1-F8EF-40C7-9E49-74D91B71E1F7}"/>
    <hyperlink ref="K308" r:id="rId4" xr:uid="{5059F857-F11E-4DBB-AF94-26AFA589E336}"/>
    <hyperlink ref="K304" r:id="rId5" xr:uid="{FE84D866-AD6E-4A7C-9A53-B07CCAB4CEB5}"/>
    <hyperlink ref="K312" r:id="rId6" xr:uid="{303B8DBF-774D-4102-B381-A4AB4BFB2079}"/>
    <hyperlink ref="K309" r:id="rId7" xr:uid="{5EF554FE-16DD-4112-9E0B-C5949B4BF30F}"/>
    <hyperlink ref="K316" r:id="rId8" xr:uid="{97E65A77-CCEB-4CE0-9E03-9FD14B342D1F}"/>
    <hyperlink ref="K317" r:id="rId9" xr:uid="{8986634A-D813-4C7F-903C-CF4655C35FEE}"/>
    <hyperlink ref="K318" r:id="rId10" xr:uid="{35926153-44DD-4F5F-A986-397C4B4C0C7A}"/>
    <hyperlink ref="K319" r:id="rId11" xr:uid="{D203DB53-24AF-4AB7-9F21-7167B785402F}"/>
    <hyperlink ref="K320" r:id="rId12" xr:uid="{11096F04-6C0E-4AD7-9B46-14D5F14FC76F}"/>
    <hyperlink ref="K321" r:id="rId13" xr:uid="{7503A0CD-A04E-4E2F-8B28-85045099A522}"/>
    <hyperlink ref="K322" r:id="rId14" xr:uid="{7C10FADD-95A4-4B91-84CC-4C4912F5E5A4}"/>
    <hyperlink ref="K323" r:id="rId15" xr:uid="{1045324E-02B9-4C0A-8C53-997F40C46333}"/>
    <hyperlink ref="K324" r:id="rId16" xr:uid="{D04B6CFF-38C0-4DF6-809D-F4480577DAEF}"/>
    <hyperlink ref="K325" r:id="rId17" xr:uid="{AB4CEAC8-4189-4690-933D-B3D622C014BF}"/>
    <hyperlink ref="K326" r:id="rId18" xr:uid="{756C2335-59EB-4037-B219-78D7D4EA9CD3}"/>
    <hyperlink ref="K75" r:id="rId19" xr:uid="{474C4F0F-8C29-447A-B6A2-B85CE958417F}"/>
    <hyperlink ref="K74" r:id="rId20" xr:uid="{0DB4A274-83D2-4487-864C-AB7C6B5407C8}"/>
    <hyperlink ref="K73" r:id="rId21" xr:uid="{1A00BCEF-97D1-4484-BAC3-50C560866E97}"/>
    <hyperlink ref="K72" r:id="rId22" xr:uid="{A38C91EE-3C75-4E76-B3CC-B593C7221EC9}"/>
    <hyperlink ref="K71" r:id="rId23" xr:uid="{59CE8CEB-43FA-4E43-9C94-5F1709E55ECB}"/>
    <hyperlink ref="K85" r:id="rId24" xr:uid="{FB5A81E6-8085-4846-862F-56609D125725}"/>
    <hyperlink ref="K86" r:id="rId25" xr:uid="{093163C0-7F68-4A32-9AB4-610143AEDD64}"/>
    <hyperlink ref="K87" r:id="rId26" xr:uid="{37D1E74C-CE23-425C-8A27-309C9E586327}"/>
    <hyperlink ref="K115" r:id="rId27" xr:uid="{02F36FB1-D9CC-454F-8068-D13DE0C453F9}"/>
    <hyperlink ref="K131" r:id="rId28" xr:uid="{BE89C024-08E3-47C9-AE5D-CFC436FC8F5E}"/>
    <hyperlink ref="O2" r:id="rId29" xr:uid="{E60C221D-F621-4F2D-9FE9-BEBF39F5BEC9}"/>
    <hyperlink ref="K295" r:id="rId30" xr:uid="{8A3B80B5-E7FD-45B2-88C4-0C49C5B2189B}"/>
    <hyperlink ref="K290" r:id="rId31" xr:uid="{08BB3EB6-5468-414E-98E8-6B5B9ACEF98E}"/>
    <hyperlink ref="K291" r:id="rId32" xr:uid="{BF9A4202-3138-4141-A422-29908D87467B}"/>
    <hyperlink ref="K296" r:id="rId33" xr:uid="{1EBF4546-E13C-4ED1-952C-4A1058FFE066}"/>
    <hyperlink ref="K298" r:id="rId34" xr:uid="{22F10925-3F88-4767-9CB2-CCF1B9FA5F97}"/>
    <hyperlink ref="K299" r:id="rId35" xr:uid="{1298396E-20B6-4A6A-BB58-C9A7E120F5CC}"/>
    <hyperlink ref="K301" r:id="rId36" xr:uid="{BE236AFC-F6C8-469F-B0AA-95DDF2E94305}"/>
    <hyperlink ref="K300" r:id="rId37" xr:uid="{0FF765DD-CE8E-4E4E-B51B-5741CD1B4E2B}"/>
    <hyperlink ref="K303" r:id="rId38" xr:uid="{38F8D5F2-4A9D-4076-A19C-B24D1039B325}"/>
    <hyperlink ref="K261" r:id="rId39" xr:uid="{9069ED3E-EBC9-4473-B272-0A416AE92395}"/>
    <hyperlink ref="K262" r:id="rId40" xr:uid="{3073680C-9C25-4EFD-8E7D-A5F45B9D607B}"/>
    <hyperlink ref="K263" r:id="rId41" xr:uid="{5F8C65E3-FB01-4097-AF92-02187E093249}"/>
    <hyperlink ref="K264" r:id="rId42" xr:uid="{EA18968C-55BB-4DBE-AB31-F1AF5D7560F7}"/>
    <hyperlink ref="K275" r:id="rId43" xr:uid="{88ECA169-84C2-4642-A686-1F84AB3E0A74}"/>
    <hyperlink ref="K155" r:id="rId44" xr:uid="{62CAF722-E407-4351-963D-06B224B73FE6}"/>
    <hyperlink ref="K270" r:id="rId45" xr:uid="{5340EDA9-1D49-4881-A1D6-702AF61E83A9}"/>
    <hyperlink ref="K277" r:id="rId46" xr:uid="{A0582814-59C9-4300-846B-214B4F6B038B}"/>
    <hyperlink ref="K272" r:id="rId47" xr:uid="{B8884143-116A-4F38-989C-7B9E94CE8121}"/>
    <hyperlink ref="K273" r:id="rId48" xr:uid="{CA566853-14EC-4F98-9E9B-8EE982625721}"/>
    <hyperlink ref="K276" r:id="rId49" xr:uid="{7ACD8606-4985-4A61-B1F3-89A68BFAA2D3}"/>
    <hyperlink ref="K278" r:id="rId50" xr:uid="{A3C38D95-58E7-487C-AFFB-63C894A5E351}"/>
    <hyperlink ref="K284" r:id="rId51" xr:uid="{5DD38918-BC73-4D0C-B25E-431F3474AF34}"/>
    <hyperlink ref="K279" r:id="rId52" xr:uid="{8699A266-7EAE-4D95-BABB-865CE79B021C}"/>
    <hyperlink ref="K280" r:id="rId53" xr:uid="{B5784A18-725E-40E9-AB98-BEFACBD39F50}"/>
    <hyperlink ref="K281" r:id="rId54" xr:uid="{78898181-B92F-42A2-B49C-45B3A3B1FD5B}"/>
    <hyperlink ref="K282" r:id="rId55" xr:uid="{E8D4986B-4052-4647-AF0A-9C9CC08CFDC9}"/>
    <hyperlink ref="K288" r:id="rId56" xr:uid="{1E3262BD-4C81-49DD-8798-09C345318427}"/>
    <hyperlink ref="K289" r:id="rId57" xr:uid="{348A73C2-8958-483B-8451-701A96AFA6B9}"/>
    <hyperlink ref="K286" r:id="rId58" xr:uid="{AF7BE699-FAF8-4A3B-8EB3-7854CA0E7641}"/>
    <hyperlink ref="K287" r:id="rId59" xr:uid="{CD8F3D46-43FE-424D-A021-1EDA9B3A1A4B}"/>
    <hyperlink ref="K313" r:id="rId60" xr:uid="{8D98CE61-54ED-4BD6-86C4-EF16FBB08EC5}"/>
    <hyperlink ref="K314" r:id="rId61" xr:uid="{B1326412-239E-41C5-80CB-158D1382199F}"/>
    <hyperlink ref="K315" r:id="rId62" xr:uid="{2E5CCF6F-A41A-442B-B721-4866260F629B}"/>
    <hyperlink ref="K92" r:id="rId63" xr:uid="{4302325B-4691-457E-BFD5-41FC61ABFFBA}"/>
    <hyperlink ref="K94" r:id="rId64" xr:uid="{20880396-1DF7-4784-B314-6F5C9E6F8C8C}"/>
    <hyperlink ref="K95" r:id="rId65" xr:uid="{B1164F49-1C77-4925-8970-DD80A711E5BC}"/>
    <hyperlink ref="K60" r:id="rId66" xr:uid="{8D0C6C2D-62F9-4A31-BD57-CCCB067989D9}"/>
    <hyperlink ref="K62" r:id="rId67" xr:uid="{7604A8B5-510C-4BB9-B000-9B3DF66CF3F9}"/>
    <hyperlink ref="K61" r:id="rId68" xr:uid="{A1F6B033-EC20-4E2D-929E-A38D826446AD}"/>
    <hyperlink ref="K47" r:id="rId69" xr:uid="{276F1657-9B32-421E-B539-593988ED282F}"/>
    <hyperlink ref="K107" r:id="rId70" xr:uid="{877FD7E9-B191-423A-85D0-A440B4187416}"/>
    <hyperlink ref="K108" r:id="rId71" xr:uid="{C1A0E0DB-CBB7-4FEB-B3A7-EF9906F84DB8}"/>
    <hyperlink ref="K109" r:id="rId72" xr:uid="{1C4CA90F-F8F5-4C0F-85F7-5ECB36378879}"/>
    <hyperlink ref="K110" r:id="rId73" xr:uid="{B004DA8D-DCF8-48B2-BB2A-C950544B1716}"/>
    <hyperlink ref="K128" r:id="rId74" xr:uid="{F93DE93F-9629-4EAA-94F7-30672BDD7993}"/>
    <hyperlink ref="K127" r:id="rId75" xr:uid="{2F3D3F18-82C1-46C0-9D63-3C93DB8BB03B}"/>
    <hyperlink ref="K50" r:id="rId76" xr:uid="{CF8AB77D-8175-4C29-9A89-5A801BD4E600}"/>
    <hyperlink ref="K51" r:id="rId77" xr:uid="{90B18FBB-1C16-4D2B-BE6F-0DF93EF9455C}"/>
    <hyperlink ref="K52" r:id="rId78" xr:uid="{A588AA48-CF7F-4ACD-8538-68982AAC159E}"/>
    <hyperlink ref="K55" r:id="rId79" xr:uid="{7500E2BC-7B20-4BF8-802F-1C26E66491A4}"/>
    <hyperlink ref="K56" r:id="rId80" xr:uid="{8CF91905-CC46-46CD-B15C-EBAD328DAA45}"/>
    <hyperlink ref="K58" r:id="rId81" xr:uid="{14E62D16-3059-4455-8DA6-B1A3C821C1DB}"/>
    <hyperlink ref="K57" r:id="rId82" xr:uid="{D6393035-BD28-4455-8453-E3C5CFB8D325}"/>
    <hyperlink ref="K65" r:id="rId83" xr:uid="{BFB05459-7836-434F-9015-918B323742E0}"/>
    <hyperlink ref="K82" r:id="rId84" xr:uid="{392EA71C-9461-4147-B262-9FAA5908234F}"/>
    <hyperlink ref="K81" r:id="rId85" xr:uid="{650738B0-2027-467F-91ED-E9CE1F833EFF}"/>
    <hyperlink ref="K67" r:id="rId86" xr:uid="{3076CA8E-76EB-487F-9ED2-7FBFF6E0B002}"/>
    <hyperlink ref="K66" r:id="rId87" xr:uid="{D01EC0FD-1CBB-46D4-BC41-80A1A569D397}"/>
    <hyperlink ref="K68" r:id="rId88" xr:uid="{3FF2E133-38A6-4B4C-B554-CB3EF0C3B9AF}"/>
    <hyperlink ref="K69" r:id="rId89" xr:uid="{28D50911-B35E-4EBF-AD16-60A0BE87B21C}"/>
    <hyperlink ref="K80" r:id="rId90" xr:uid="{53F22667-BECC-4966-9439-312A7D123055}"/>
    <hyperlink ref="K79" r:id="rId91" xr:uid="{527F0972-D420-446A-B028-C3958A36FD0B}"/>
    <hyperlink ref="K78" r:id="rId92" xr:uid="{50925718-D7C7-46D8-A414-41BEC897868C}"/>
    <hyperlink ref="K77" r:id="rId93" xr:uid="{6BD873EA-FC95-402B-8C7D-70D254B2D1C3}"/>
    <hyperlink ref="K76" r:id="rId94" xr:uid="{72261B67-6EF0-4D7A-938F-87CDFB391CAE}"/>
    <hyperlink ref="K144" r:id="rId95" xr:uid="{37DA953A-956C-4C8F-A584-A425B4FCC0C7}"/>
    <hyperlink ref="K146" r:id="rId96" xr:uid="{1F62A4D3-7099-4206-B574-4DBB8882414E}"/>
    <hyperlink ref="K90" r:id="rId97" xr:uid="{EDEE7DE4-F112-4AFD-B8CB-1A0B2B3E29C5}"/>
    <hyperlink ref="K93" r:id="rId98" xr:uid="{DE4F2C0A-52FB-4E3A-B94E-C0B98DBC4CC9}"/>
    <hyperlink ref="K49" r:id="rId99" xr:uid="{8D83913B-97BC-401D-9C94-ED2DF892B28C}"/>
    <hyperlink ref="K91" r:id="rId100" xr:uid="{4973C249-1F82-4DAE-B1E4-DA807AFD6C3A}"/>
    <hyperlink ref="K140" r:id="rId101" xr:uid="{659E665E-8DE6-413F-9726-33CD30A90BD2}"/>
    <hyperlink ref="K99" r:id="rId102" xr:uid="{70E2B064-DBA2-4A8E-BB2E-F99B56B24AB1}"/>
    <hyperlink ref="K100" r:id="rId103" xr:uid="{C3F35A50-8B5E-4A3C-B675-55EFDE303C12}"/>
    <hyperlink ref="K101" r:id="rId104" xr:uid="{78308C00-D226-485F-A10F-CDF514F7C8A1}"/>
    <hyperlink ref="K102" r:id="rId105" xr:uid="{F0A52405-5A9F-4DCC-AB7C-62641C88241F}"/>
    <hyperlink ref="K103" r:id="rId106" xr:uid="{428E296D-FE18-44C6-B8A2-362341251136}"/>
    <hyperlink ref="K114" r:id="rId107" xr:uid="{6FDAAC89-A256-4CF7-85E6-FC18B00038A8}"/>
    <hyperlink ref="K119" r:id="rId108" xr:uid="{D6ACAFE2-E008-4CFD-B6A6-6FC9200587D0}"/>
    <hyperlink ref="K124" r:id="rId109" xr:uid="{700552DF-4985-454D-8D61-DC01BE18F15B}"/>
    <hyperlink ref="K136" r:id="rId110" xr:uid="{38D892A7-D753-424A-AD8B-6A2659D0E7FD}"/>
    <hyperlink ref="K105" r:id="rId111" xr:uid="{E7DFA148-99E4-4A02-B390-3356A69B2266}"/>
    <hyperlink ref="K163" r:id="rId112" xr:uid="{8CD9E8B3-0368-4112-82E0-D7956AB55F52}"/>
    <hyperlink ref="K111" r:id="rId113" xr:uid="{643EAA9A-91F8-4FFB-ACED-91016BF15F72}"/>
    <hyperlink ref="K104" r:id="rId114" xr:uid="{E5F02FBF-BCB4-4CE3-9BEB-00A187C7AF21}"/>
    <hyperlink ref="K122" r:id="rId115" xr:uid="{260379C2-A511-4A3A-8BE8-A11FD027610A}"/>
    <hyperlink ref="K142" r:id="rId116" xr:uid="{2C58C9D4-2F8F-47BD-9105-E8553A2E4697}"/>
    <hyperlink ref="K117" r:id="rId117" xr:uid="{AE1B9701-8C79-4EFE-A192-74D6F83D1BA3}"/>
    <hyperlink ref="K123" r:id="rId118" xr:uid="{DF504FB2-11DD-472B-BA57-76F92464D611}"/>
    <hyperlink ref="K129" r:id="rId119" xr:uid="{2F026D44-D365-4C52-9C56-AE92669881DC}"/>
    <hyperlink ref="K120" r:id="rId120" xr:uid="{E22DFFF9-322F-42B0-820A-3CB5078DDA36}"/>
    <hyperlink ref="K126" r:id="rId121" xr:uid="{65580C58-9ECE-448D-B754-A77F28E6D2B5}"/>
    <hyperlink ref="K125" r:id="rId122" xr:uid="{AA87BE69-9BA4-449E-9E9F-BB43D29312C9}"/>
    <hyperlink ref="K238" r:id="rId123" xr:uid="{0669DF57-4D48-42D8-9574-D716CDD37FDA}"/>
    <hyperlink ref="K239" r:id="rId124" xr:uid="{2E59F1A7-7E37-481A-AB4C-3CDB907DBEAE}"/>
    <hyperlink ref="K251" r:id="rId125" xr:uid="{798B3E26-5FB6-4E2D-AB50-9460A976154C}"/>
    <hyperlink ref="K240" r:id="rId126" xr:uid="{4C49A60E-24C0-45E1-A208-17ECDD5B0C06}"/>
    <hyperlink ref="K252" r:id="rId127" xr:uid="{477E896D-B338-4D41-95E7-64B9F6EAEAC6}"/>
    <hyperlink ref="K241" r:id="rId128" xr:uid="{1D7BD3BD-00BF-4B6F-89D9-1FB00E959EA6}"/>
    <hyperlink ref="K253" r:id="rId129" xr:uid="{CDCC5090-B8BE-4415-AD3E-2440ED1AF541}"/>
    <hyperlink ref="K244" r:id="rId130" xr:uid="{41CA57F8-17F5-4D68-8D21-405D39CD4EE7}"/>
    <hyperlink ref="K242" r:id="rId131" xr:uid="{F76206F4-7524-4C37-92E0-670C1929C2C0}"/>
    <hyperlink ref="K245" r:id="rId132" xr:uid="{24AB42BE-0541-496B-A226-4865EFA995F5}"/>
    <hyperlink ref="K246" r:id="rId133" xr:uid="{C6391780-A882-4137-B705-51ACFA6CDA29}"/>
    <hyperlink ref="K247" r:id="rId134" xr:uid="{4D864A4E-D609-45E3-AC31-90B3903A915F}"/>
    <hyperlink ref="K254" r:id="rId135" xr:uid="{48CC9408-A642-4278-A26B-CCF6504EF15B}"/>
    <hyperlink ref="K255" r:id="rId136" xr:uid="{4F95056C-5866-414E-8CA7-69946E46A3CE}"/>
    <hyperlink ref="K256" r:id="rId137" xr:uid="{A978E0A5-8B10-40F4-A051-F6A9F0A0D2E1}"/>
    <hyperlink ref="K257" r:id="rId138" xr:uid="{940FCE1A-E975-473F-84B0-E40ACC0FA8CA}"/>
    <hyperlink ref="K248" r:id="rId139" xr:uid="{C0E6FB0F-B86C-4A08-B986-D9AB1E18AB9A}"/>
    <hyperlink ref="K250" r:id="rId140" xr:uid="{E98F28FA-5709-4F85-880C-006984944F4F}"/>
    <hyperlink ref="K243" r:id="rId141" xr:uid="{23C28439-073E-43DF-9834-4960DC6EC01C}"/>
    <hyperlink ref="K249" r:id="rId142" xr:uid="{EEE0FF2F-88E6-4E9B-A289-E744A6E0297D}"/>
    <hyperlink ref="K258" r:id="rId143" xr:uid="{A0E7132F-A105-41A7-9738-57501355248F}"/>
    <hyperlink ref="K259" r:id="rId144" xr:uid="{4E789D9A-8A2C-4E3F-9C65-5D9E59681A5A}"/>
    <hyperlink ref="O3" r:id="rId145" xr:uid="{EECAF9FA-0E70-4BC9-A13F-DFEC23CD5FF8}"/>
    <hyperlink ref="O4" r:id="rId146" xr:uid="{E01A5808-95F6-4847-8BED-3F75F7DD6EA7}"/>
    <hyperlink ref="O6" r:id="rId147" xr:uid="{3C28C49C-C05F-4095-9FA2-99AB680861D1}"/>
    <hyperlink ref="O9" r:id="rId148" xr:uid="{3CE67DE3-A80B-4A9E-98A2-7381EEDD35DA}"/>
    <hyperlink ref="O10" r:id="rId149" xr:uid="{BC51B179-D767-44BE-891C-BAD8BE5AFE85}"/>
    <hyperlink ref="O11" r:id="rId150" xr:uid="{0C3CC75F-ADF3-41E3-9DA3-17327BA82CD7}"/>
    <hyperlink ref="O12" r:id="rId151" xr:uid="{33C80937-F0CD-4B2E-9443-978CA75DD525}"/>
    <hyperlink ref="O14" r:id="rId152" xr:uid="{B04B3B68-0C59-4CB0-9020-E5E75C520F55}"/>
    <hyperlink ref="O13" r:id="rId153" xr:uid="{78490550-A2CF-4281-B8C1-B3A891F017F6}"/>
    <hyperlink ref="O15" r:id="rId154" xr:uid="{0BD815A9-B1B6-4EB5-9428-D6864F0E4342}"/>
    <hyperlink ref="O16" r:id="rId155" xr:uid="{3F32BCDF-631A-4D6C-931B-415B5D317FF0}"/>
    <hyperlink ref="O17" r:id="rId156" xr:uid="{67632915-6814-45C6-AD1D-9BB0E21F5150}"/>
    <hyperlink ref="O18" r:id="rId157" xr:uid="{81B85D58-FD85-4E30-9952-2EF140DD819F}"/>
    <hyperlink ref="O22" r:id="rId158" xr:uid="{8C438BFC-D9BF-438F-9B2E-EEE30725A838}"/>
    <hyperlink ref="O19" r:id="rId159" xr:uid="{66F56CE8-B1AA-42BB-BD88-36704FAE45DF}"/>
    <hyperlink ref="O20" r:id="rId160" xr:uid="{87EF6210-8E7D-4C6A-841E-AA76827ABCCA}"/>
    <hyperlink ref="O24" r:id="rId161" xr:uid="{D67525FB-978C-44CE-97ED-4E2D09180C77}"/>
    <hyperlink ref="O25" r:id="rId162" xr:uid="{B4203D2B-F7AB-4213-9B97-2CDD06FA058D}"/>
    <hyperlink ref="O21" r:id="rId163" xr:uid="{1766C7D4-1FCF-4095-8740-2ABADEC734E0}"/>
    <hyperlink ref="O23" r:id="rId164" xr:uid="{C4AAB0EA-D950-4259-A30C-F7BCFE785C6C}"/>
    <hyperlink ref="O26" r:id="rId165" xr:uid="{C9061787-98AF-4F18-BB43-AC6DBFC95F07}"/>
    <hyperlink ref="O27" r:id="rId166" xr:uid="{665111ED-EABF-4983-84D2-FFC4A2A00562}"/>
    <hyperlink ref="O28" r:id="rId167" xr:uid="{1C59F0BF-2FDF-44FB-B351-99FB6E6C9FB0}"/>
    <hyperlink ref="O29" r:id="rId168" xr:uid="{3788CF0F-7487-43B6-9212-01F4F77007FE}"/>
    <hyperlink ref="O30" r:id="rId169" xr:uid="{E2BA9A41-DE1E-4268-953A-05F52171F2BD}"/>
    <hyperlink ref="O31" r:id="rId170" xr:uid="{95B1A0CF-9358-4C1E-8744-22EC0BFB21B1}"/>
    <hyperlink ref="O33" r:id="rId171" xr:uid="{2607FEA5-69B2-4EF0-A086-95F05A54EFC4}"/>
    <hyperlink ref="O34" r:id="rId172" xr:uid="{B8C9AB8F-0A74-45D7-B68D-740737EE434D}"/>
    <hyperlink ref="O35" r:id="rId173" xr:uid="{8CDE2A49-94E1-4B0D-B580-4EC977C7B75E}"/>
    <hyperlink ref="O39" r:id="rId174" xr:uid="{2B4B472C-0A98-4978-84B3-6E0A286C4931}"/>
    <hyperlink ref="O36" r:id="rId175" xr:uid="{F62CDE9B-632B-4504-AE75-6A3B69BB55D1}"/>
    <hyperlink ref="O37" r:id="rId176" xr:uid="{812C4D19-94B4-4B83-B827-3478A39B7D98}"/>
    <hyperlink ref="O38" r:id="rId177" xr:uid="{50D2E7FB-829C-4136-8F82-9796003CA705}"/>
    <hyperlink ref="O40" r:id="rId178" xr:uid="{3428CF6F-1D53-42F3-833B-F8B34CA69A13}"/>
    <hyperlink ref="O41" r:id="rId179" xr:uid="{A8096BD7-BA13-4681-9D42-BF6A51C77847}"/>
    <hyperlink ref="O42" r:id="rId180" xr:uid="{3E4B6F62-3FBF-4750-A19C-8155E7AC7A5B}"/>
    <hyperlink ref="O43" r:id="rId181" xr:uid="{559B7302-8684-4348-909C-2AD7AEF40453}"/>
    <hyperlink ref="O44" r:id="rId182" xr:uid="{CDF97F1C-D355-4E9F-A869-267CF0216310}"/>
    <hyperlink ref="O45" r:id="rId183" xr:uid="{2B91B814-1497-402F-B588-C7DF98BF5CE4}"/>
    <hyperlink ref="O46" r:id="rId184" xr:uid="{E1937625-85A5-4B7C-B180-F5C8CC8A96CE}"/>
    <hyperlink ref="O47" r:id="rId185" xr:uid="{862781A4-8EF2-4B6F-9897-190E200A005B}"/>
    <hyperlink ref="O48" r:id="rId186" xr:uid="{565C7F9E-2B99-47A9-AB90-763E177EE61C}"/>
    <hyperlink ref="O49" r:id="rId187" xr:uid="{E652D7E7-05DC-4FEF-B913-DB8151C2D426}"/>
    <hyperlink ref="O50" r:id="rId188" xr:uid="{9B4AFB1B-A6D7-4098-B7A1-58B92B1EDD71}"/>
    <hyperlink ref="O51" r:id="rId189" xr:uid="{252EC56F-60A8-4687-80A7-FD8FA55C9D91}"/>
    <hyperlink ref="O52" r:id="rId190" xr:uid="{642FA3BF-BB58-43C5-AC88-7B9C6721A6C5}"/>
    <hyperlink ref="O53" r:id="rId191" xr:uid="{938F9DA4-35D3-4C7B-B6DE-70D73590D38F}"/>
    <hyperlink ref="O54" r:id="rId192" xr:uid="{55D8713A-E281-40E9-9796-361131E75202}"/>
    <hyperlink ref="O55" r:id="rId193" xr:uid="{9B665037-68F4-4295-8A4B-9C4835904ACF}"/>
    <hyperlink ref="O56" r:id="rId194" xr:uid="{11FC04FA-D2B1-4F12-95BE-BE0DE53364BB}"/>
    <hyperlink ref="O57" r:id="rId195" xr:uid="{59878F7E-B106-417F-ACCC-F61294ED06D0}"/>
    <hyperlink ref="O58" r:id="rId196" xr:uid="{CFDF5A91-C5D1-4E88-AF7B-15919AFEFD80}"/>
    <hyperlink ref="O59" r:id="rId197" xr:uid="{D9DD1BCC-DB87-4663-901C-F43F1EB21631}"/>
    <hyperlink ref="O61" r:id="rId198" xr:uid="{B1BF4168-D55F-4057-94B9-8B19EBA6AD10}"/>
    <hyperlink ref="O60" r:id="rId199" xr:uid="{421CA967-CD65-4288-964D-C171F7FB8CDC}"/>
    <hyperlink ref="O62" r:id="rId200" xr:uid="{8886EEB8-B2FC-42DF-B0FE-01D2AB4BDF0C}"/>
    <hyperlink ref="O63" r:id="rId201" xr:uid="{39BBD6EE-C470-4A8D-8A41-EB71D51C51AF}"/>
    <hyperlink ref="O64" r:id="rId202" xr:uid="{C971ABCD-4AF4-4D3E-BB6B-58CD7F50BE10}"/>
    <hyperlink ref="O65" r:id="rId203" xr:uid="{CE6CFFD5-F22B-4450-BA92-3D248B09A249}"/>
    <hyperlink ref="O66" r:id="rId204" xr:uid="{59C173BF-7E7C-489E-94DA-B9F878FCFB58}"/>
    <hyperlink ref="O67" r:id="rId205" xr:uid="{6D95C5E6-251C-4E07-9299-7D41DBA51B4F}"/>
    <hyperlink ref="O68" r:id="rId206" xr:uid="{492C135B-C29C-448A-8D1A-98BF3C05D401}"/>
    <hyperlink ref="O69" r:id="rId207" xr:uid="{BAA390E8-D504-4BC7-8345-A8057E469276}"/>
    <hyperlink ref="O70" r:id="rId208" xr:uid="{A7A55C63-0259-42C0-A2F8-F9BE7F54905D}"/>
    <hyperlink ref="O71" r:id="rId209" xr:uid="{082E7B13-ADD9-4DAC-949C-F6AFCA64864B}"/>
    <hyperlink ref="O72" r:id="rId210" xr:uid="{E7B86884-64F0-4444-A1A1-DB237DD8F0D3}"/>
    <hyperlink ref="O73" r:id="rId211" xr:uid="{009865C8-9F59-4646-9A5C-35E0F64B3EFE}"/>
    <hyperlink ref="O74" r:id="rId212" xr:uid="{BB852919-5648-4160-84B8-3B8529264BE6}"/>
    <hyperlink ref="O75" r:id="rId213" xr:uid="{B200DE1F-A935-4E69-8F5A-4558ECA6DD6E}"/>
    <hyperlink ref="O76" r:id="rId214" xr:uid="{69AC1994-0401-45AE-B99F-E37FE839D377}"/>
    <hyperlink ref="O77" r:id="rId215" xr:uid="{571AA9BA-D2F4-49AE-B52F-CCE18B7E4178}"/>
    <hyperlink ref="O78" r:id="rId216" xr:uid="{8F0C28BF-7FE1-4697-8311-9495ACB87CC4}"/>
    <hyperlink ref="O79" r:id="rId217" xr:uid="{A1AD60CC-9A21-4213-88F1-F7CC4CEA8869}"/>
    <hyperlink ref="O80" r:id="rId218" xr:uid="{086F85F5-9264-4CF5-AE4B-47C61813EFDB}"/>
    <hyperlink ref="O81" r:id="rId219" xr:uid="{B9D98FCF-5A74-4E90-98C1-7B5168B6CD08}"/>
    <hyperlink ref="O83" r:id="rId220" xr:uid="{CDC524C2-DFF8-4261-B035-29A6298A39FD}"/>
    <hyperlink ref="O82" r:id="rId221" xr:uid="{2FB3C18F-03BF-4C92-8FA7-B41F7037A70B}"/>
    <hyperlink ref="O84" r:id="rId222" xr:uid="{91F8353E-F38C-4A88-A00C-644B56E1AF9F}"/>
    <hyperlink ref="O85" r:id="rId223" xr:uid="{DD765514-F171-4FCC-8910-ABA5F7786D21}"/>
    <hyperlink ref="O86" r:id="rId224" xr:uid="{6E41938E-AFD5-4F2E-AEF2-75B3338CDA4D}"/>
    <hyperlink ref="O87" r:id="rId225" xr:uid="{2E27B556-E488-4051-A5EE-6083BF4B84A9}"/>
    <hyperlink ref="K88" r:id="rId226" xr:uid="{05912DAF-67EC-46D2-8ADB-06262D47B00F}"/>
    <hyperlink ref="O88" r:id="rId227" xr:uid="{5C479390-8958-468A-9D3B-EB5B83C48FBC}"/>
    <hyperlink ref="O89" r:id="rId228" xr:uid="{77FDCC98-F50C-4C94-BF6E-367BB82DF720}"/>
    <hyperlink ref="O92" r:id="rId229" xr:uid="{954E4BB6-126A-4287-89E2-BF987B5AC5CA}"/>
    <hyperlink ref="O90" r:id="rId230" xr:uid="{C0FE975E-C1AD-463D-AA0B-BD14FB7734E5}"/>
    <hyperlink ref="O93" r:id="rId231" xr:uid="{BDFF141E-9C94-4B44-8E87-6DC80ED01357}"/>
    <hyperlink ref="O94" r:id="rId232" xr:uid="{789C512A-5904-418E-B7C3-AE479485BFFF}"/>
    <hyperlink ref="O96" r:id="rId233" xr:uid="{46F8D7CD-6E30-419D-A158-ACD561E6D97D}"/>
    <hyperlink ref="O97" r:id="rId234" xr:uid="{8BBABCB2-E1F3-46E7-ACC1-DC25D52042D6}"/>
    <hyperlink ref="O98" r:id="rId235" xr:uid="{2D88D80F-8CC1-4145-ABED-9F5D6BD65598}"/>
    <hyperlink ref="O104" r:id="rId236" xr:uid="{3DD77FA9-1A8F-467E-9687-6D429670870A}"/>
    <hyperlink ref="O105" r:id="rId237" xr:uid="{C9441510-6541-46BA-97AA-ED791D52B6AC}"/>
    <hyperlink ref="O106" r:id="rId238" xr:uid="{317C4D30-AF34-40AA-B24C-6A14A7995029}"/>
    <hyperlink ref="O108" r:id="rId239" xr:uid="{6FA8E9D2-D04D-4BB9-BEAD-32544C5C7E40}"/>
    <hyperlink ref="O111" r:id="rId240" xr:uid="{2993A10F-B8AB-4E44-8674-ADC89CA1AC39}"/>
    <hyperlink ref="O112" r:id="rId241" xr:uid="{094C0330-EC31-472D-A7A4-A70D42E2A3A6}"/>
    <hyperlink ref="O113" r:id="rId242" xr:uid="{0D962DB9-8FC0-4EE0-A059-0F98CCEB6D22}"/>
    <hyperlink ref="O114" r:id="rId243" xr:uid="{2951E3B9-B509-4A97-A719-5B011CE02327}"/>
    <hyperlink ref="O115" r:id="rId244" xr:uid="{440FCAAC-AF02-458D-8A30-46F220680CD7}"/>
    <hyperlink ref="O116" r:id="rId245" xr:uid="{045CC380-8A7E-446A-8A35-24A6F8AFAF1A}"/>
    <hyperlink ref="O117" r:id="rId246" xr:uid="{1C795134-15FF-44DC-BDA6-02F0C8A98544}"/>
    <hyperlink ref="O118" r:id="rId247" xr:uid="{AB235FF0-EF36-4043-B4C1-40130C6183BD}"/>
    <hyperlink ref="O119" r:id="rId248" xr:uid="{95BBD0D7-DEB7-436F-8652-D4B8E564E80E}"/>
    <hyperlink ref="O120" r:id="rId249" xr:uid="{24BC7E52-BE9B-43A5-9779-79B53CF00704}"/>
    <hyperlink ref="O121" r:id="rId250" xr:uid="{1E74392F-FF8B-45F0-ABB9-8F0867551B06}"/>
    <hyperlink ref="O123" r:id="rId251" xr:uid="{020476D1-D1B6-4D3F-A385-ABE8201605CE}"/>
    <hyperlink ref="O124" r:id="rId252" xr:uid="{F7C91A82-4D29-4410-94E1-CF9ACC4AEAC2}"/>
    <hyperlink ref="O125" r:id="rId253" xr:uid="{70BA3D11-0510-4C97-AA12-E318807C63E4}"/>
    <hyperlink ref="O127" r:id="rId254" xr:uid="{266AFEF3-FAB7-481B-894A-470C02099F88}"/>
    <hyperlink ref="O128" r:id="rId255" xr:uid="{B78FB424-78A0-4059-A63E-96A5AF750984}"/>
    <hyperlink ref="O129" r:id="rId256" xr:uid="{7B6D7F0B-BCFA-445C-BE3F-203BE7CF3DBD}"/>
    <hyperlink ref="O131" r:id="rId257" xr:uid="{5E5F1A9A-025C-400E-AA00-5009C29562E2}"/>
    <hyperlink ref="O132" r:id="rId258" xr:uid="{1F55CBEF-9471-4B01-8767-F4D3BDD625C7}"/>
    <hyperlink ref="O133" r:id="rId259" xr:uid="{ED3BA17D-E03F-4A96-B6F1-091B72067606}"/>
    <hyperlink ref="O134" r:id="rId260" xr:uid="{A5DD1D2C-0866-4951-9FE5-76FB8AD3719C}"/>
    <hyperlink ref="O135" r:id="rId261" xr:uid="{CEA75783-EF37-428E-81DB-51C86178190D}"/>
    <hyperlink ref="O136" r:id="rId262" xr:uid="{2535F0B3-FA81-4F49-816F-7DE223B0CF15}"/>
    <hyperlink ref="O138" r:id="rId263" xr:uid="{65C06F7C-627F-450D-AD32-A5C0A96DD3ED}"/>
    <hyperlink ref="O140" r:id="rId264" xr:uid="{E87931C9-C87E-43E9-8A94-BFE217636F1B}"/>
    <hyperlink ref="O142" r:id="rId265" xr:uid="{6E75C49E-12F0-4E9E-9542-E7E11A37A759}"/>
    <hyperlink ref="O144" r:id="rId266" xr:uid="{A98AB8F9-CFE3-42BF-B2C2-D96C6B6C6204}"/>
    <hyperlink ref="O146" r:id="rId267" xr:uid="{F954B052-7742-4C98-9E1B-E65697742AB3}"/>
    <hyperlink ref="O148" r:id="rId268" xr:uid="{01CC566B-9CEC-494F-993D-5362271D4B50}"/>
    <hyperlink ref="O152" r:id="rId269" xr:uid="{39A754BC-C30A-45C5-8F56-92A39E80BA2D}"/>
    <hyperlink ref="O155" r:id="rId270" xr:uid="{A475279E-AF86-473F-8123-F98DFBDBF89F}"/>
    <hyperlink ref="O161" r:id="rId271" xr:uid="{D712B592-D8CF-4A21-B6B4-AAE0E1CE5EC9}"/>
    <hyperlink ref="O156" r:id="rId272" xr:uid="{D2E61735-50F2-41F7-9C15-000E901743DF}"/>
    <hyperlink ref="O159" r:id="rId273" xr:uid="{24C3C406-CBF9-44BE-BAA6-09A96DCBA9B5}"/>
    <hyperlink ref="O160" r:id="rId274" xr:uid="{A438DE40-4115-4CB5-9E95-056855CE3654}"/>
    <hyperlink ref="O162" r:id="rId275" xr:uid="{8496C748-82F7-4CF9-861B-09A1CA858009}"/>
    <hyperlink ref="O166" r:id="rId276" xr:uid="{08C14BB0-BB60-4328-B2F0-BC81C3FF48FE}"/>
    <hyperlink ref="O169" r:id="rId277" xr:uid="{1E05C713-BEB5-4BE1-8745-8ECF56BE955E}"/>
    <hyperlink ref="O172" r:id="rId278" xr:uid="{14FB4670-8DEF-4D3A-B761-9C90F846D0F2}"/>
    <hyperlink ref="O175" r:id="rId279" xr:uid="{CA976BDF-06C2-4050-AAFC-79CAFAA405D8}"/>
    <hyperlink ref="O177" r:id="rId280" xr:uid="{6FDECF97-40A5-4554-B869-0B872F133E6F}"/>
    <hyperlink ref="O176" r:id="rId281" xr:uid="{44EC679E-87E7-43E0-8069-1F66D34C3196}"/>
    <hyperlink ref="O178" r:id="rId282" xr:uid="{3093D962-A2F4-4CBD-8D15-D42903A6DA13}"/>
    <hyperlink ref="O179" r:id="rId283" xr:uid="{F37937BE-E018-4D16-9CD4-269D6DD92185}"/>
    <hyperlink ref="O180" r:id="rId284" xr:uid="{1EAB91B6-D67C-4113-9540-59BEC55BA375}"/>
    <hyperlink ref="O181" r:id="rId285" xr:uid="{40CBF9BA-6F18-46EC-9D38-0C094FC011B1}"/>
    <hyperlink ref="O183" r:id="rId286" xr:uid="{95759AF1-42A0-4FF0-B855-78253D991394}"/>
    <hyperlink ref="O189" r:id="rId287" xr:uid="{ECD8DCC4-9310-4661-A006-FEF0793956F7}"/>
    <hyperlink ref="O186" r:id="rId288" xr:uid="{312E827A-99F1-458D-9FBE-E7BF37D6CE4A}"/>
    <hyperlink ref="O190" r:id="rId289" xr:uid="{D4F19C33-C9A1-4365-8BD1-1C1575B3AEA5}"/>
    <hyperlink ref="O193" r:id="rId290" xr:uid="{AA76FBC8-015C-4AA9-A2A5-6C14C2ADE59E}"/>
    <hyperlink ref="O194" r:id="rId291" xr:uid="{C1444753-8D0C-498C-9487-B875A8AF533A}"/>
    <hyperlink ref="O197" r:id="rId292" xr:uid="{03D4E40C-5884-4F3B-AE94-55D3481E2935}"/>
    <hyperlink ref="O202" r:id="rId293" xr:uid="{5CB2C24C-9668-4228-9674-3F3D8B1C97A1}"/>
    <hyperlink ref="O203" r:id="rId294" xr:uid="{6389768D-8689-4855-870C-FD56D1EE45D9}"/>
    <hyperlink ref="O204" r:id="rId295" xr:uid="{3498474E-A3D0-412E-8CFC-82308E72D759}"/>
    <hyperlink ref="O207" r:id="rId296" xr:uid="{FAD0A5AA-7680-4F2A-8436-27C393B85683}"/>
    <hyperlink ref="O208" r:id="rId297" xr:uid="{28FA16C6-3541-4D9C-9282-99FD691B8890}"/>
    <hyperlink ref="O210" r:id="rId298" xr:uid="{FFCDEBE9-B87C-4866-B386-EAA646030436}"/>
    <hyperlink ref="O212" r:id="rId299" xr:uid="{9A1FC3A8-270F-440D-9B4D-A7BED22F5320}"/>
    <hyperlink ref="O215" r:id="rId300" xr:uid="{D02D9E2E-2F1A-4347-81F3-34A1C7644F75}"/>
    <hyperlink ref="O216" r:id="rId301" xr:uid="{F7DDA9DA-EEBE-4989-B367-DE60FBD12EB1}"/>
    <hyperlink ref="O217" r:id="rId302" xr:uid="{6A0114C5-8030-46B9-9B15-5E0DA12236B6}"/>
    <hyperlink ref="O218" r:id="rId303" xr:uid="{248F154B-3012-4AD5-9015-988E1E289571}"/>
    <hyperlink ref="O223" r:id="rId304" xr:uid="{FA9791E7-53C3-4E6D-A7A3-A0CEA669A9DC}"/>
    <hyperlink ref="O224" r:id="rId305" xr:uid="{D9C209A6-DEE9-4004-A15B-447FFC110EDD}"/>
    <hyperlink ref="O225" r:id="rId306" xr:uid="{F20B6638-6F1C-4F1F-8BC9-2566C8525835}"/>
    <hyperlink ref="O226" r:id="rId307" xr:uid="{F0BA6A08-C340-488A-BA1A-41DAC4BD5406}"/>
    <hyperlink ref="O227" r:id="rId308" xr:uid="{E61A2F62-2BD3-4E49-B3F4-BC4EBD7BEA0C}"/>
    <hyperlink ref="O228" r:id="rId309" xr:uid="{31223BA0-BDDB-40B7-908C-EA4B5B43EC63}"/>
    <hyperlink ref="O230" r:id="rId310" xr:uid="{596DD96D-CEFB-4D26-AE58-68B8A85E9677}"/>
    <hyperlink ref="O231" r:id="rId311" xr:uid="{85E33A57-E410-4204-9E82-4D2D0F2F6AD6}"/>
    <hyperlink ref="O232" r:id="rId312" xr:uid="{AD610C8E-3423-4D84-AA5E-EC4CE00FF0DC}"/>
    <hyperlink ref="O233" r:id="rId313" xr:uid="{F6B47831-B6CC-4B19-BA76-1BA701009810}"/>
    <hyperlink ref="O234" r:id="rId314" xr:uid="{0C439CB3-625E-4BA1-88D5-45F615422326}"/>
    <hyperlink ref="O235" r:id="rId315" xr:uid="{D6324171-5020-4415-8051-8D626F866E3D}"/>
    <hyperlink ref="O236" r:id="rId316" xr:uid="{7C77C0E6-5700-4FF2-B57D-47EB67F47087}"/>
    <hyperlink ref="O237" r:id="rId317" xr:uid="{E59E0C19-FE37-4D97-BE8C-3BF65C78ECC2}"/>
    <hyperlink ref="O238" r:id="rId318" xr:uid="{A5C0BBA2-F0A7-4D69-BD7E-806F2308EE37}"/>
    <hyperlink ref="O239" r:id="rId319" xr:uid="{01D023F1-00EE-4739-994E-8290EE19B066}"/>
    <hyperlink ref="O240" r:id="rId320" xr:uid="{25F628CE-69E6-43CE-8819-294D1902E2C1}"/>
    <hyperlink ref="O241" r:id="rId321" xr:uid="{B5E29A05-3AA5-4C57-933B-92767EEF4F0E}"/>
    <hyperlink ref="O242" r:id="rId322" xr:uid="{6873BA7C-D9FD-4B85-BA03-CD30BE63B186}"/>
    <hyperlink ref="O243" r:id="rId323" xr:uid="{A533D17B-B9DE-4EE4-9DC2-8587C544833A}"/>
    <hyperlink ref="O244" r:id="rId324" xr:uid="{0F37BDCC-A707-4711-82AB-F0DA7E20FAE5}"/>
    <hyperlink ref="O245" r:id="rId325" xr:uid="{E4C94D46-F17A-4BA2-9A47-B602D3ACB4C1}"/>
    <hyperlink ref="O246" r:id="rId326" xr:uid="{66DD0A36-5A82-4B1F-99C9-30D35152A867}"/>
    <hyperlink ref="O247" r:id="rId327" xr:uid="{7CC4E4A0-1C5B-40C7-8CDA-6C2912F678A7}"/>
    <hyperlink ref="O248" r:id="rId328" xr:uid="{ABFACEC1-00FB-405A-BC08-7AEB2374DB8C}"/>
    <hyperlink ref="O249" r:id="rId329" xr:uid="{69DDF66C-7DD9-43CE-9FD9-80DA9D852919}"/>
    <hyperlink ref="O250" r:id="rId330" xr:uid="{A4D8CA6C-7AFB-45E1-A5B6-C7D28DAAE540}"/>
    <hyperlink ref="O251" r:id="rId331" xr:uid="{4BA61AD5-884B-4568-80F5-0200D75F8BD8}"/>
    <hyperlink ref="O252" r:id="rId332" xr:uid="{A07540DC-7CC6-4C23-B373-5287E78B18F7}"/>
    <hyperlink ref="O253" r:id="rId333" xr:uid="{FD69E984-6014-4FA6-8135-2C0B813D5DF8}"/>
    <hyperlink ref="O254" r:id="rId334" xr:uid="{B88EF7F4-86EE-446D-9A0E-A9317DBEA404}"/>
    <hyperlink ref="O255" r:id="rId335" xr:uid="{F26011A1-58E7-44B7-81CC-01E30AC7197B}"/>
    <hyperlink ref="O256" r:id="rId336" xr:uid="{312C0F91-1CBC-4A2B-857D-7EE554F0F64F}"/>
    <hyperlink ref="O257" r:id="rId337" xr:uid="{5284A0DA-0170-4C42-B8C1-172A0FE1C795}"/>
    <hyperlink ref="O258" r:id="rId338" xr:uid="{262645D6-4492-41BC-BC2C-DD9D1786C52E}"/>
    <hyperlink ref="O261" r:id="rId339" xr:uid="{BC850270-13D0-48A1-A2E9-983B3A2E56BD}"/>
    <hyperlink ref="O262" r:id="rId340" xr:uid="{7BA7BC76-7D1F-4DD7-BBA6-E32C07AE1148}"/>
    <hyperlink ref="O259" r:id="rId341" xr:uid="{7D1ADC3C-E3BD-4AE7-A228-1CAB747926C1}"/>
    <hyperlink ref="O263" r:id="rId342" xr:uid="{E7A981AE-F51B-42B9-B5E3-ADA1BBB13A9B}"/>
    <hyperlink ref="O266" r:id="rId343" xr:uid="{C76F9736-FC61-4C96-933F-EC2326DFFDD5}"/>
    <hyperlink ref="O267" r:id="rId344" xr:uid="{CB3B21BF-CC15-4984-B9D7-513B91970086}"/>
    <hyperlink ref="O270" r:id="rId345" xr:uid="{6DF8CC72-C1DD-4356-8380-594D3E537DB3}"/>
    <hyperlink ref="O271" r:id="rId346" xr:uid="{58008157-4E21-42AE-AE2F-A8204ABAA0A8}"/>
    <hyperlink ref="O272" r:id="rId347" xr:uid="{C3B5830D-3245-4330-8B3F-0ECC03F4AEB8}"/>
    <hyperlink ref="O264" r:id="rId348" xr:uid="{A2D8ED63-170E-4EE4-B5FB-313CA5ECD7AE}"/>
    <hyperlink ref="O273" r:id="rId349" xr:uid="{AB00E778-5DCC-4330-8236-16CB6DE13D3B}"/>
    <hyperlink ref="O275" r:id="rId350" xr:uid="{39854FDF-91EB-40B8-A5E0-C5EF05A4A981}"/>
    <hyperlink ref="O276" r:id="rId351" xr:uid="{EB39BB96-AA2E-4D87-87C5-B7DE6B5C58BA}"/>
    <hyperlink ref="O277" r:id="rId352" xr:uid="{9D5128BE-45AF-4C22-869F-3D21594637B7}"/>
    <hyperlink ref="O279" r:id="rId353" xr:uid="{185B9CA7-0D9C-478C-8CF6-96159F4B0631}"/>
    <hyperlink ref="O280" r:id="rId354" xr:uid="{4CD4D409-9135-4487-899C-0A6CF893C14F}"/>
    <hyperlink ref="O281" r:id="rId355" xr:uid="{4ED7BFC7-C818-4A41-AB16-ECCA9EEFD57E}"/>
    <hyperlink ref="O282" r:id="rId356" xr:uid="{7BB4AEBF-28A5-497E-8371-96815ACD82DE}"/>
    <hyperlink ref="O284" r:id="rId357" xr:uid="{DE4A4825-B5A6-495B-B8E2-6CA059FB9249}"/>
    <hyperlink ref="O285" r:id="rId358" xr:uid="{BDBAECBD-0C28-47AF-8038-F4E10631DF87}"/>
    <hyperlink ref="O286" r:id="rId359" xr:uid="{CB8C800D-EC7C-4D17-B18A-927A58F2BC5E}"/>
    <hyperlink ref="O287" r:id="rId360" xr:uid="{6460220B-CE42-4861-B252-3898B02757A1}"/>
    <hyperlink ref="O288" r:id="rId361" xr:uid="{BDE7B026-508F-45D1-AFCE-A55105B1FC5A}"/>
    <hyperlink ref="O289" r:id="rId362" xr:uid="{32062E08-3ED8-4F5B-8A8D-A6CC4788E38C}"/>
    <hyperlink ref="O290" r:id="rId363" xr:uid="{A35E1A70-00DB-434B-B427-DB61109E81FB}"/>
    <hyperlink ref="O291" r:id="rId364" xr:uid="{9BC9D5EC-C3CA-444E-8E35-B7B498A12F22}"/>
    <hyperlink ref="O292" r:id="rId365" xr:uid="{C0D3D48F-4E60-455A-83BD-41BEFD106D0A}"/>
    <hyperlink ref="O295" r:id="rId366" xr:uid="{8B13A3C1-0417-472C-9C40-4E5350BE5EAB}"/>
    <hyperlink ref="O296" r:id="rId367" xr:uid="{56F92327-588E-4936-A633-8402D5D8FCCF}"/>
    <hyperlink ref="O299" r:id="rId368" xr:uid="{3AEE1946-9829-4F0B-94DF-2057345A2CF6}"/>
    <hyperlink ref="O300" r:id="rId369" xr:uid="{E656534F-4E70-4416-B78C-EC5B9499F57E}"/>
    <hyperlink ref="O302" r:id="rId370" xr:uid="{4C878642-B9A5-470D-B0F9-CB59506E0F0B}"/>
    <hyperlink ref="O304" r:id="rId371" xr:uid="{1EF67102-4920-407B-9F1B-2E1E31B8E275}"/>
    <hyperlink ref="O305" r:id="rId372" xr:uid="{0F9E975F-BC66-479A-AF63-FC5DC119B6C5}"/>
    <hyperlink ref="O308" r:id="rId373" xr:uid="{90B742BC-0C2E-42DA-9EE0-280AD0D35311}"/>
    <hyperlink ref="O310" r:id="rId374" xr:uid="{2D0ECA51-F809-4846-8E39-0938499153DC}"/>
    <hyperlink ref="O311" r:id="rId375" xr:uid="{5C1ACE1E-BF75-4B35-8F8C-2839723F0868}"/>
    <hyperlink ref="O313" r:id="rId376" xr:uid="{368C5EC8-F304-46C1-A1E0-882E0E093D47}"/>
    <hyperlink ref="O314" r:id="rId377" xr:uid="{DA003C16-E848-4301-A113-2F2D524581C1}"/>
    <hyperlink ref="O315" r:id="rId378" xr:uid="{4A8F9136-EBD0-4860-98F4-B1F1F668B527}"/>
    <hyperlink ref="O316" r:id="rId379" xr:uid="{4500E2B0-07D3-42F1-AA36-A82C2E1AE28B}"/>
    <hyperlink ref="O317" r:id="rId380" xr:uid="{F2770D4C-B4DE-40D5-886C-63DD7338A95D}"/>
    <hyperlink ref="O319" r:id="rId381" xr:uid="{F65AA336-8A91-4365-AE21-437CD80ED344}"/>
    <hyperlink ref="O320" r:id="rId382" xr:uid="{9AEB6EF2-4FB3-46F2-BD3E-6F0EF656FE88}"/>
    <hyperlink ref="O321" r:id="rId383" xr:uid="{5B109342-87EE-4E19-9734-C00E70F6B6D3}"/>
    <hyperlink ref="O323" r:id="rId384" xr:uid="{459ACCEE-7887-44CA-8E0C-23824427D348}"/>
    <hyperlink ref="O324" r:id="rId385" xr:uid="{7833CB51-1FA2-4E95-A82A-7FCBBC259D73}"/>
    <hyperlink ref="O325" r:id="rId386" xr:uid="{20A50B3D-904E-474D-A4A3-8E6D81F992F5}"/>
    <hyperlink ref="O326" r:id="rId387" xr:uid="{E9F51EC7-9C07-4BEE-A81E-24C0CD629A41}"/>
    <hyperlink ref="O327" r:id="rId388" xr:uid="{AD65587E-5631-4C19-8CA9-1E485E4BE230}"/>
    <hyperlink ref="K327" r:id="rId389" location="1196687600" xr:uid="{57ED60D3-96F9-43A6-852D-B690DC953615}"/>
    <hyperlink ref="O328" r:id="rId390" xr:uid="{D176987A-F4D4-4827-BE72-46C58EBEF56E}"/>
    <hyperlink ref="J136" r:id="rId391" xr:uid="{DAFC478F-E45A-40DE-9930-F714D84BAE78}"/>
    <hyperlink ref="J138" r:id="rId392" xr:uid="{7316DBFD-107A-4805-B587-0D4BFFA609E2}"/>
    <hyperlink ref="J140" r:id="rId393" xr:uid="{CB6D31E5-13D8-4C9B-ADF7-071A55F1DF53}"/>
    <hyperlink ref="J142" r:id="rId394" xr:uid="{A2A4DED3-2701-4693-84B9-1F9ACEED15E8}"/>
    <hyperlink ref="J144" r:id="rId395" xr:uid="{A795745F-E418-49A1-897B-D628076361F3}"/>
    <hyperlink ref="J146" r:id="rId396" xr:uid="{ECECC793-0BF1-46B6-8603-0E9F49B08F3F}"/>
    <hyperlink ref="J148" r:id="rId397" xr:uid="{557DE820-12F8-4A14-A60F-C00E156CD76B}"/>
    <hyperlink ref="J133" r:id="rId398" xr:uid="{0B214FB1-9CB2-452A-B3EB-47F67EBDA620}"/>
    <hyperlink ref="J152" r:id="rId399" xr:uid="{CAB2E03F-AD8B-4C79-8A77-9D9A7CBB5899}"/>
    <hyperlink ref="J155" r:id="rId400" xr:uid="{8C4990BF-B90E-4F26-A90B-11DD066B6124}"/>
    <hyperlink ref="J156" r:id="rId401" xr:uid="{1A9E780C-B7CC-45A6-9326-D9F2D407F132}"/>
    <hyperlink ref="J162" r:id="rId402" xr:uid="{17E1D5E7-72A0-4176-A761-C55D93C0575F}"/>
    <hyperlink ref="J161" r:id="rId403" xr:uid="{31A667A8-E709-41C4-9FE5-BA9908225711}"/>
    <hyperlink ref="J160" r:id="rId404" xr:uid="{01D5C77C-0888-4180-AC79-B4F242382017}"/>
    <hyperlink ref="J159" r:id="rId405" xr:uid="{AC4BFD81-1543-4DCD-870B-BFD9B489B38C}"/>
    <hyperlink ref="J134" r:id="rId406" xr:uid="{2081ABD7-74E2-4884-8511-4B5A5001CCEB}"/>
    <hyperlink ref="J132" r:id="rId407" xr:uid="{8DA00C58-E243-4E58-9E4C-491E49EDA16E}"/>
    <hyperlink ref="J172" r:id="rId408" xr:uid="{B2094174-7D08-4C84-A70E-7396B2137F81}"/>
    <hyperlink ref="J175" r:id="rId409" xr:uid="{0A0E607E-55A0-437C-8031-D17F488238D7}"/>
    <hyperlink ref="J169" r:id="rId410" xr:uid="{77F1F2B6-804F-4FF4-A7AB-DFEB4BAA9097}"/>
    <hyperlink ref="J166" r:id="rId411" xr:uid="{6BD8550E-7EC2-46E4-9CAB-CC0CB144ED58}"/>
    <hyperlink ref="J163" r:id="rId412" xr:uid="{E0FB1FAF-D160-4B07-95C3-3A7A1AAE4968}"/>
    <hyperlink ref="J176" r:id="rId413" xr:uid="{00AB5C98-0639-43BB-8D5B-1A33736E023C}"/>
    <hyperlink ref="J177" r:id="rId414" xr:uid="{CD6D9B58-092B-4A9E-9B1D-C389DCC2C7CF}"/>
    <hyperlink ref="J183" r:id="rId415" xr:uid="{63947697-DD23-4B27-834D-307B9497420E}"/>
    <hyperlink ref="J186" r:id="rId416" xr:uid="{E0761F31-8955-4EA4-A933-815FCA4FE542}"/>
    <hyperlink ref="J189" r:id="rId417" xr:uid="{1DC43ABA-0313-47B5-AE9D-6E779AB7DBE0}"/>
    <hyperlink ref="J190" r:id="rId418" xr:uid="{B72B302B-ABD3-4BA3-AAB2-8505EB742F24}"/>
    <hyperlink ref="J193" r:id="rId419" xr:uid="{AB9F2474-7645-4385-8E8A-D13658A1880C}"/>
    <hyperlink ref="J194" r:id="rId420" xr:uid="{D1F10AF8-D93B-48E5-855E-A7FA4EA3C55D}"/>
    <hyperlink ref="J197" r:id="rId421" xr:uid="{FF8A9C38-C079-44A3-AB2E-B463E62E8DAA}"/>
    <hyperlink ref="J202" r:id="rId422" xr:uid="{B26654F1-BF8A-4CD6-8ADB-DA6E5854451B}"/>
    <hyperlink ref="J203" r:id="rId423" xr:uid="{85BB32B3-DA95-48C5-8304-6A57957F49D6}"/>
    <hyperlink ref="J204" r:id="rId424" xr:uid="{9F6856CF-F4C5-4E73-91CF-64945FC934A5}"/>
    <hyperlink ref="J207" r:id="rId425" xr:uid="{FF1093E1-5950-4E20-B4B4-957EFE37C457}"/>
    <hyperlink ref="J208" r:id="rId426" xr:uid="{E0D54D90-876F-4B3F-9854-5B76C2F1E5C7}"/>
    <hyperlink ref="J178" r:id="rId427" xr:uid="{8A187EF9-4F0A-4318-8C09-BF9BECA6A9F6}"/>
    <hyperlink ref="J210" r:id="rId428" xr:uid="{8AD57FAE-5723-4525-81A5-EA25A63AF956}"/>
    <hyperlink ref="J212" r:id="rId429" xr:uid="{31C021BA-935D-4759-85BC-9EDD6E0042DB}"/>
    <hyperlink ref="J215" r:id="rId430" xr:uid="{9DED72F4-95D5-4DF5-B9AD-13AA3D29E559}"/>
    <hyperlink ref="J216" r:id="rId431" xr:uid="{A725BDA4-9669-4B5D-8AEB-2ECA3EDF9312}"/>
    <hyperlink ref="J217" r:id="rId432" xr:uid="{9B2C5FF2-524E-4AFE-B0A1-EC5E75C628DA}"/>
    <hyperlink ref="J218" r:id="rId433" xr:uid="{A3E8B9C4-C867-4F0B-BFF0-6F1AF6A83B93}"/>
    <hyperlink ref="J223" r:id="rId434" xr:uid="{E3768186-3A87-4144-9FC9-8016C1CE1A1E}"/>
    <hyperlink ref="J180" r:id="rId435" xr:uid="{95113C2D-DAF6-44E4-A239-19A721CB243A}"/>
    <hyperlink ref="J226" r:id="rId436" xr:uid="{B4A8C5FC-8655-4A6F-8A76-CE88387FC833}"/>
    <hyperlink ref="J227" r:id="rId437" xr:uid="{9AFC4BD8-5F88-4A6C-B9A3-01B2C15757EA}"/>
    <hyperlink ref="J228" r:id="rId438" xr:uid="{3080B522-DAF1-4767-860D-67B3CAC7F7CB}"/>
    <hyperlink ref="J225" r:id="rId439" xr:uid="{B3689142-3BBC-4B5D-A17F-BEE8612DD2CE}"/>
    <hyperlink ref="J224" r:id="rId440" xr:uid="{89F187C3-07F9-41A1-A34F-886FEFDF9ED0}"/>
    <hyperlink ref="J231" r:id="rId441" xr:uid="{76B7FA83-DC9B-414C-8B8F-AAC730454D9A}"/>
    <hyperlink ref="J230" r:id="rId442" xr:uid="{7BFB3775-9E48-41D9-B97C-38B815504E04}"/>
    <hyperlink ref="J232" r:id="rId443" xr:uid="{81777D72-4E56-4903-BFF2-E42DB6C62D47}"/>
    <hyperlink ref="J233" r:id="rId444" xr:uid="{0A2F9101-7649-4978-9A98-9C389C63B782}"/>
    <hyperlink ref="J234" r:id="rId445" xr:uid="{7D8D30C6-8ED7-4EEA-BE1A-05987244E9A7}"/>
    <hyperlink ref="J235" r:id="rId446" xr:uid="{7F7EC749-6DCE-4AC4-A13C-E2A01A36CDE5}"/>
    <hyperlink ref="J236" r:id="rId447" xr:uid="{F69FD301-A117-4E7B-918D-D36567ACA4A1}"/>
    <hyperlink ref="J237" r:id="rId448" xr:uid="{C25C0969-7B08-4586-87B7-79D1701894C1}"/>
    <hyperlink ref="J34" r:id="rId449" xr:uid="{D0191622-3981-40CA-A7A8-E95B5B41C054}"/>
    <hyperlink ref="J35" r:id="rId450" xr:uid="{FD9F800B-8861-4AFB-BF84-00272493C62D}"/>
    <hyperlink ref="J9" r:id="rId451" xr:uid="{F0369E71-0C70-46A9-A4E9-2320CB9EE384}"/>
    <hyperlink ref="J10" r:id="rId452" xr:uid="{9D651DC2-CEA3-4B9E-8D30-D7A1DFCFE5C9}"/>
    <hyperlink ref="J11" r:id="rId453" xr:uid="{9D224343-9873-477A-A020-46B0F816D71D}"/>
    <hyperlink ref="J12" r:id="rId454" xr:uid="{4A187665-70B8-4F2D-BDF8-B2898912CE1E}"/>
    <hyperlink ref="J13" r:id="rId455" xr:uid="{6F03E628-EC6E-4B40-AA03-8282A7685AAC}"/>
    <hyperlink ref="J14" r:id="rId456" xr:uid="{342B2230-4B68-47CD-81E6-EF50AD9EA73B}"/>
    <hyperlink ref="J15" r:id="rId457" xr:uid="{7E2A2C37-74E9-41B0-9C79-40D0E3801703}"/>
    <hyperlink ref="J3" r:id="rId458" xr:uid="{3F2DD82F-A787-4A26-AC07-46C0392839BF}"/>
    <hyperlink ref="J4" r:id="rId459" xr:uid="{99572C26-FD69-455A-9760-3E0A65B5D035}"/>
    <hyperlink ref="J37" r:id="rId460" xr:uid="{7377BB2F-21C7-4940-80A8-D93EE236B24F}"/>
    <hyperlink ref="J38" r:id="rId461" xr:uid="{58D18480-B052-49D5-BFC4-4EEDDCA34877}"/>
    <hyperlink ref="J39" r:id="rId462" xr:uid="{A540DD9E-4988-42BF-8323-AA4DC4C7D191}"/>
    <hyperlink ref="J40" r:id="rId463" xr:uid="{D3C5D689-346F-4F87-8781-CD881D8DBC16}"/>
    <hyperlink ref="J41" r:id="rId464" xr:uid="{CA613F9F-EBB5-4135-9D98-6ACC8639D85C}"/>
    <hyperlink ref="J46" r:id="rId465" xr:uid="{018DBFFC-6822-42E0-A8B6-5666F9B520C5}"/>
    <hyperlink ref="J54" r:id="rId466" xr:uid="{1A524429-8978-46BE-BB53-56BA7FF3942D}"/>
    <hyperlink ref="J53" r:id="rId467" xr:uid="{E71E8008-2C28-45B5-9683-32C8883AA158}"/>
    <hyperlink ref="J16" r:id="rId468" xr:uid="{AD9186D3-B292-418E-A90F-5299D66B8B50}"/>
    <hyperlink ref="J17" r:id="rId469" xr:uid="{2ACE0C2D-A0E1-4138-B275-D719ED0C3A56}"/>
    <hyperlink ref="J18" r:id="rId470" xr:uid="{00F07EFE-26DE-40E3-8C2E-15FE947DE60F}"/>
    <hyperlink ref="J19" r:id="rId471" xr:uid="{30C0D137-A0BE-4216-853D-2E22A3257DFF}"/>
    <hyperlink ref="J20" r:id="rId472" xr:uid="{9BEFC709-FE34-4AAC-A28D-099E88441FCE}"/>
    <hyperlink ref="J21" r:id="rId473" xr:uid="{EF7B92B1-FD3B-4383-A6F1-1ED703B812E1}"/>
    <hyperlink ref="J5" r:id="rId474" xr:uid="{424959C1-2E09-4BA8-B34F-9327BB89F38B}"/>
    <hyperlink ref="J6" r:id="rId475" xr:uid="{1A8E641A-1402-4E1F-9AB6-7E003325882A}"/>
    <hyperlink ref="J28" r:id="rId476" xr:uid="{9FD15F86-95AD-4C31-BD57-DA6B67C21276}"/>
    <hyperlink ref="J29" r:id="rId477" xr:uid="{1F2A3218-16F3-4772-B864-639D30A663F8}"/>
    <hyperlink ref="J30" r:id="rId478" xr:uid="{5E492E37-6AC2-428F-ABA1-B5B2CB0FD797}"/>
    <hyperlink ref="J31" r:id="rId479" xr:uid="{AE466466-D9DA-44B9-91DA-43A10C0E4047}"/>
    <hyperlink ref="J32" r:id="rId480" xr:uid="{BF074FC3-B1EA-489D-9F9E-BA554016F7F4}"/>
    <hyperlink ref="J33" r:id="rId481" xr:uid="{E22C07B3-3405-4C2C-96F7-E2B4C569362B}"/>
    <hyperlink ref="J45" r:id="rId482" xr:uid="{C9B1F3BB-18A5-4450-9939-865AB6C92B96}"/>
    <hyperlink ref="J8" r:id="rId483" xr:uid="{D957E175-E912-406E-BAF4-DC9FE6ED3923}"/>
    <hyperlink ref="J22" r:id="rId484" xr:uid="{05D4B84F-3AA5-44ED-8B80-42AD49357E4F}"/>
    <hyperlink ref="J23" r:id="rId485" xr:uid="{76CF378C-45D3-4FB2-BA67-76702301AD21}"/>
    <hyperlink ref="J24" r:id="rId486" xr:uid="{3A9B646F-F07D-4B11-B00D-0F69DB1BE811}"/>
    <hyperlink ref="J25" r:id="rId487" xr:uid="{15FB7DC9-B4CD-4D41-8CBC-CECE8B167234}"/>
    <hyperlink ref="J26" r:id="rId488" xr:uid="{0EE09439-EE55-4ABA-A9F3-DC7E2A3FEB66}"/>
    <hyperlink ref="J27" r:id="rId489" xr:uid="{C438600C-8CDC-4023-88B5-BFC89B32D07A}"/>
    <hyperlink ref="J43" r:id="rId490" xr:uid="{75B9D775-A363-445E-A5C5-61FCEE167E5B}"/>
    <hyperlink ref="J44" r:id="rId491" xr:uid="{DC30D0E3-599D-4099-A3CE-313C05DBE64C}"/>
    <hyperlink ref="J42" r:id="rId492" xr:uid="{4C87C9C1-4E0E-4834-B8EA-51D6CCBBAD2E}"/>
    <hyperlink ref="J329" r:id="rId493" xr:uid="{E194A418-7467-47F9-B0DA-FD97CD13BFB3}"/>
    <hyperlink ref="J330" r:id="rId494" xr:uid="{C9E29B27-DA23-4212-A4F1-98A27D4891AB}"/>
    <hyperlink ref="J331" r:id="rId495" xr:uid="{7248AE3F-D4CD-4CF6-9C8C-894BF61432B4}"/>
    <hyperlink ref="J332" r:id="rId496" xr:uid="{29E4FFC2-FBE7-4EBA-A56C-F0063946696F}"/>
    <hyperlink ref="J333" r:id="rId497" xr:uid="{26368A18-1E4B-46D8-9675-73D51B95320A}"/>
    <hyperlink ref="J334" r:id="rId498" xr:uid="{D6956DEC-B9A6-4461-8FF6-605C990EB182}"/>
    <hyperlink ref="J335" r:id="rId499" xr:uid="{F737D6BD-375D-408D-91E7-AD683A4C74E8}"/>
    <hyperlink ref="J336" r:id="rId500" xr:uid="{F4EDCB5F-5EA8-4F5C-9898-73595F8398BF}"/>
    <hyperlink ref="J337" r:id="rId501" xr:uid="{6B30E57F-D882-4799-8199-F5404EF3D54D}"/>
    <hyperlink ref="J338" r:id="rId502" xr:uid="{363BE7CC-97F6-4481-85A2-3359DDABC378}"/>
    <hyperlink ref="J339" r:id="rId503" xr:uid="{B2EE9469-4EF4-4DB7-A6DF-9504A3796823}"/>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1"/>
  <sheetViews>
    <sheetView workbookViewId="0">
      <selection activeCell="B15" sqref="B15"/>
    </sheetView>
  </sheetViews>
  <sheetFormatPr defaultColWidth="12.5703125" defaultRowHeight="15.75" customHeight="1"/>
  <cols>
    <col min="2" max="2" width="23" customWidth="1"/>
    <col min="3" max="3" width="15.5703125" customWidth="1"/>
  </cols>
  <sheetData>
    <row r="1" spans="1:5">
      <c r="A1" s="6" t="s">
        <v>1690</v>
      </c>
      <c r="B1" s="6" t="s">
        <v>1691</v>
      </c>
      <c r="C1" s="6" t="s">
        <v>1692</v>
      </c>
      <c r="D1" s="6" t="s">
        <v>5</v>
      </c>
      <c r="E1" s="6" t="s">
        <v>1693</v>
      </c>
    </row>
    <row r="2" spans="1:5">
      <c r="A2" s="1" t="s">
        <v>1694</v>
      </c>
      <c r="B2" s="1" t="s">
        <v>87</v>
      </c>
      <c r="C2" s="1" t="s">
        <v>351</v>
      </c>
      <c r="D2" s="1" t="s">
        <v>99</v>
      </c>
    </row>
    <row r="3" spans="1:5">
      <c r="B3" s="1" t="s">
        <v>134</v>
      </c>
    </row>
    <row r="4" spans="1:5">
      <c r="B4" s="1" t="s">
        <v>63</v>
      </c>
    </row>
    <row r="5" spans="1:5">
      <c r="B5" s="5" t="s">
        <v>242</v>
      </c>
    </row>
    <row r="6" spans="1:5">
      <c r="B6" s="5" t="s">
        <v>81</v>
      </c>
    </row>
    <row r="7" spans="1:5">
      <c r="B7" s="5" t="s">
        <v>370</v>
      </c>
    </row>
    <row r="8" spans="1:5">
      <c r="B8" s="5" t="s">
        <v>372</v>
      </c>
    </row>
    <row r="9" spans="1:5">
      <c r="B9" s="5" t="s">
        <v>373</v>
      </c>
    </row>
    <row r="10" spans="1:5">
      <c r="B10" s="5" t="s">
        <v>374</v>
      </c>
    </row>
    <row r="11" spans="1:5">
      <c r="B11" s="1" t="s">
        <v>75</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J1117"/>
  <sheetViews>
    <sheetView workbookViewId="0">
      <pane ySplit="1" topLeftCell="B3" activePane="bottomLeft" state="frozen"/>
      <selection pane="bottomLeft" activeCell="B3" sqref="B3"/>
    </sheetView>
  </sheetViews>
  <sheetFormatPr defaultColWidth="12.5703125" defaultRowHeight="15.75" customHeight="1"/>
  <cols>
    <col min="1" max="1" width="18.140625" customWidth="1"/>
    <col min="2" max="3" width="18.140625" style="26" customWidth="1"/>
    <col min="4" max="4" width="20.42578125" customWidth="1"/>
    <col min="5" max="5" width="22" customWidth="1"/>
    <col min="7" max="7" width="20.85546875" customWidth="1"/>
    <col min="8" max="8" width="16.5703125" customWidth="1"/>
    <col min="9" max="9" width="22.5703125" customWidth="1"/>
    <col min="10" max="10" width="19.5703125" customWidth="1"/>
    <col min="11" max="11" width="16.5703125" customWidth="1"/>
    <col min="13" max="13" width="12.5703125" style="27" customWidth="1"/>
    <col min="14" max="14" width="14.7109375" customWidth="1"/>
    <col min="15" max="15" width="20.140625" customWidth="1"/>
    <col min="16" max="16" width="14.42578125" customWidth="1"/>
    <col min="17" max="17" width="11.42578125" customWidth="1"/>
    <col min="18" max="18" width="83.7109375" customWidth="1"/>
    <col min="21" max="21" width="16.5703125" customWidth="1"/>
    <col min="22" max="22" width="22.5703125" customWidth="1"/>
  </cols>
  <sheetData>
    <row r="1" spans="1:36">
      <c r="A1" s="7"/>
      <c r="B1" s="7" t="s">
        <v>1695</v>
      </c>
      <c r="C1" s="7" t="s">
        <v>1696</v>
      </c>
      <c r="D1" s="8" t="s">
        <v>1697</v>
      </c>
      <c r="E1" s="9" t="s">
        <v>1698</v>
      </c>
      <c r="F1" s="10" t="s">
        <v>1699</v>
      </c>
      <c r="G1" s="2" t="s">
        <v>1700</v>
      </c>
      <c r="H1" s="11" t="s">
        <v>1701</v>
      </c>
      <c r="I1" s="2" t="s">
        <v>1702</v>
      </c>
      <c r="J1" s="12" t="s">
        <v>1703</v>
      </c>
      <c r="K1" s="13" t="s">
        <v>1704</v>
      </c>
      <c r="L1" s="14" t="s">
        <v>1705</v>
      </c>
      <c r="M1" s="15" t="s">
        <v>1706</v>
      </c>
      <c r="N1" s="16" t="s">
        <v>1707</v>
      </c>
      <c r="O1" s="16" t="s">
        <v>1708</v>
      </c>
      <c r="P1" s="14" t="s">
        <v>359</v>
      </c>
      <c r="Q1" s="16" t="s">
        <v>1709</v>
      </c>
      <c r="R1" s="17" t="s">
        <v>12</v>
      </c>
      <c r="S1" s="18"/>
      <c r="T1" s="18"/>
      <c r="U1" s="18"/>
      <c r="V1" s="19"/>
      <c r="W1" s="18"/>
      <c r="X1" s="18"/>
      <c r="Y1" s="18"/>
      <c r="Z1" s="18"/>
      <c r="AA1" s="18"/>
      <c r="AB1" s="18"/>
      <c r="AC1" s="18"/>
      <c r="AD1" s="18"/>
      <c r="AE1" s="18"/>
      <c r="AF1" s="18"/>
      <c r="AG1" s="18"/>
      <c r="AH1" s="18"/>
      <c r="AI1" s="18"/>
      <c r="AJ1" s="18"/>
    </row>
    <row r="2" spans="1:36">
      <c r="A2" s="20" t="s">
        <v>1710</v>
      </c>
      <c r="B2" s="21" t="s">
        <v>1711</v>
      </c>
      <c r="C2" s="21" t="s">
        <v>1712</v>
      </c>
      <c r="D2" s="22"/>
      <c r="E2" s="23"/>
      <c r="F2" s="24"/>
      <c r="G2" s="25" t="s">
        <v>388</v>
      </c>
      <c r="H2" s="26" t="s">
        <v>400</v>
      </c>
      <c r="I2" s="25"/>
      <c r="M2" s="27">
        <f>COUNTIF(G2:H188,N2)</f>
        <v>7</v>
      </c>
      <c r="N2" s="1" t="str" cm="1">
        <f t="array" ref="N2:N45">_xlfn.UNIQUE(G2:G182)</f>
        <v>topic-income</v>
      </c>
      <c r="O2" s="1" cm="1">
        <f t="array" ref="O2:O11">_xlfn.UNIQUE(I2:I182)</f>
        <v>0</v>
      </c>
      <c r="P2" s="28" t="s">
        <v>1713</v>
      </c>
      <c r="Q2" s="1" t="s">
        <v>1714</v>
      </c>
      <c r="U2" s="19"/>
      <c r="V2" s="28"/>
    </row>
    <row r="3" spans="1:36">
      <c r="A3" s="20" t="s">
        <v>1710</v>
      </c>
      <c r="B3" s="21" t="s">
        <v>1715</v>
      </c>
      <c r="C3" s="21" t="s">
        <v>1716</v>
      </c>
      <c r="D3" s="29" t="s">
        <v>1717</v>
      </c>
      <c r="E3" s="23" t="s">
        <v>23</v>
      </c>
      <c r="F3" s="24"/>
      <c r="G3" s="26" t="s">
        <v>397</v>
      </c>
      <c r="H3" s="26"/>
      <c r="I3" s="25" t="s">
        <v>134</v>
      </c>
      <c r="M3" s="27">
        <f t="shared" ref="M3:M187" si="0">COUNTIF($G$2:$H$188,N3)</f>
        <v>15</v>
      </c>
      <c r="N3" s="1" t="str">
        <v>topic-resilience</v>
      </c>
      <c r="O3" s="1" t="str">
        <v>group-priorities</v>
      </c>
      <c r="P3" s="28" t="s">
        <v>1718</v>
      </c>
      <c r="Q3" s="1" t="s">
        <v>1719</v>
      </c>
      <c r="U3" s="28"/>
      <c r="V3" s="28"/>
    </row>
    <row r="4" spans="1:36">
      <c r="A4" s="20" t="s">
        <v>1710</v>
      </c>
      <c r="B4" s="21" t="s">
        <v>1720</v>
      </c>
      <c r="C4" s="21" t="s">
        <v>603</v>
      </c>
      <c r="D4" s="29" t="s">
        <v>1721</v>
      </c>
      <c r="E4" s="23" t="s">
        <v>23</v>
      </c>
      <c r="F4" s="24"/>
      <c r="G4" s="26" t="s">
        <v>397</v>
      </c>
      <c r="H4" s="26"/>
      <c r="I4" s="30" t="s">
        <v>134</v>
      </c>
      <c r="M4" s="27">
        <f t="shared" si="0"/>
        <v>1</v>
      </c>
      <c r="N4" s="1" t="str">
        <v>topic-relocation</v>
      </c>
      <c r="O4" s="1" t="str">
        <v>group-account-types</v>
      </c>
      <c r="P4" s="28"/>
      <c r="U4" s="1"/>
      <c r="V4" s="31"/>
    </row>
    <row r="5" spans="1:36">
      <c r="A5" s="20" t="s">
        <v>1710</v>
      </c>
      <c r="B5" s="21" t="s">
        <v>1722</v>
      </c>
      <c r="C5" s="21" t="s">
        <v>479</v>
      </c>
      <c r="D5" s="22"/>
      <c r="E5" s="23" t="s">
        <v>367</v>
      </c>
      <c r="F5" s="24"/>
      <c r="G5" s="25" t="s">
        <v>396</v>
      </c>
      <c r="H5" s="26"/>
      <c r="I5" s="30" t="s">
        <v>134</v>
      </c>
      <c r="J5" s="1"/>
      <c r="K5" s="1" t="s">
        <v>352</v>
      </c>
      <c r="M5" s="27">
        <f t="shared" si="0"/>
        <v>2</v>
      </c>
      <c r="N5" s="1" t="str">
        <v>topic-car</v>
      </c>
      <c r="O5" s="1" t="str">
        <v>group-how-to-save</v>
      </c>
      <c r="P5" s="28"/>
      <c r="U5" s="1"/>
      <c r="V5" s="31"/>
    </row>
    <row r="6" spans="1:36">
      <c r="A6" s="20" t="s">
        <v>1710</v>
      </c>
      <c r="B6" s="21" t="s">
        <v>1723</v>
      </c>
      <c r="C6" s="21" t="s">
        <v>1724</v>
      </c>
      <c r="D6" s="29" t="s">
        <v>1725</v>
      </c>
      <c r="E6" s="23" t="s">
        <v>367</v>
      </c>
      <c r="F6" s="24"/>
      <c r="G6" s="25" t="s">
        <v>231</v>
      </c>
      <c r="H6" s="26"/>
      <c r="I6" s="30" t="s">
        <v>134</v>
      </c>
      <c r="M6" s="27">
        <f t="shared" si="0"/>
        <v>1</v>
      </c>
      <c r="N6" s="1" t="str">
        <v>topic-fsa</v>
      </c>
      <c r="O6" s="1" t="str">
        <v>group-self-care</v>
      </c>
      <c r="P6" s="28"/>
      <c r="U6" s="28"/>
      <c r="V6" s="31"/>
    </row>
    <row r="7" spans="1:36">
      <c r="A7" s="20" t="s">
        <v>1710</v>
      </c>
      <c r="B7" s="21" t="s">
        <v>1726</v>
      </c>
      <c r="C7" s="21" t="s">
        <v>488</v>
      </c>
      <c r="D7" s="29" t="s">
        <v>1727</v>
      </c>
      <c r="E7" s="23" t="s">
        <v>1728</v>
      </c>
      <c r="F7" s="24"/>
      <c r="G7" s="26" t="s">
        <v>397</v>
      </c>
      <c r="H7" s="26"/>
      <c r="I7" s="30" t="s">
        <v>134</v>
      </c>
      <c r="M7" s="27">
        <f t="shared" si="0"/>
        <v>10</v>
      </c>
      <c r="N7" s="1" t="str">
        <v>topic-family</v>
      </c>
      <c r="O7" s="1" t="str">
        <v>group-investing-strategies</v>
      </c>
      <c r="P7" s="28"/>
      <c r="U7" s="28"/>
      <c r="V7" s="31"/>
    </row>
    <row r="8" spans="1:36">
      <c r="A8" s="20" t="s">
        <v>1710</v>
      </c>
      <c r="B8" s="21" t="s">
        <v>1729</v>
      </c>
      <c r="C8" s="21" t="s">
        <v>495</v>
      </c>
      <c r="D8" s="29" t="s">
        <v>1730</v>
      </c>
      <c r="E8" s="23" t="s">
        <v>367</v>
      </c>
      <c r="F8" s="24"/>
      <c r="G8" s="26" t="s">
        <v>397</v>
      </c>
      <c r="H8" s="26"/>
      <c r="I8" s="30" t="s">
        <v>134</v>
      </c>
      <c r="M8" s="27">
        <f t="shared" si="0"/>
        <v>2</v>
      </c>
      <c r="N8" s="3" t="str">
        <v>topic-529</v>
      </c>
      <c r="O8" s="1" t="str">
        <v>group-markets</v>
      </c>
      <c r="P8" s="28"/>
      <c r="U8" s="1"/>
      <c r="V8" s="31"/>
    </row>
    <row r="9" spans="1:36">
      <c r="A9" s="20" t="s">
        <v>1710</v>
      </c>
      <c r="B9" s="21" t="s">
        <v>1731</v>
      </c>
      <c r="C9" s="21" t="s">
        <v>1732</v>
      </c>
      <c r="D9" s="29" t="s">
        <v>61</v>
      </c>
      <c r="E9" s="23"/>
      <c r="F9" s="24"/>
      <c r="G9" s="25" t="s">
        <v>397</v>
      </c>
      <c r="H9" s="26"/>
      <c r="I9" s="25" t="s">
        <v>134</v>
      </c>
      <c r="M9" s="27">
        <f t="shared" si="0"/>
        <v>2</v>
      </c>
      <c r="N9" s="1" t="str">
        <v>topic-roth-ira</v>
      </c>
      <c r="O9" s="1" t="str">
        <v>group-career</v>
      </c>
      <c r="P9" s="28"/>
      <c r="U9" s="1"/>
      <c r="V9" s="28"/>
    </row>
    <row r="10" spans="1:36">
      <c r="A10" s="20" t="s">
        <v>1710</v>
      </c>
      <c r="B10" s="21" t="s">
        <v>1733</v>
      </c>
      <c r="C10" s="21" t="s">
        <v>455</v>
      </c>
      <c r="D10" s="29" t="s">
        <v>61</v>
      </c>
      <c r="E10" s="23"/>
      <c r="F10" s="24"/>
      <c r="G10" s="25" t="s">
        <v>397</v>
      </c>
      <c r="H10" s="26"/>
      <c r="I10" s="25" t="s">
        <v>134</v>
      </c>
      <c r="M10" s="27">
        <f t="shared" si="0"/>
        <v>1</v>
      </c>
      <c r="N10" s="32" t="str">
        <v>topic-brokerage</v>
      </c>
      <c r="O10" s="1" t="str">
        <v>group-monthly</v>
      </c>
      <c r="P10" s="28"/>
      <c r="U10" s="28"/>
      <c r="V10" s="28"/>
    </row>
    <row r="11" spans="1:36">
      <c r="A11" s="20" t="s">
        <v>1710</v>
      </c>
      <c r="B11" s="21" t="s">
        <v>1734</v>
      </c>
      <c r="C11" s="21" t="s">
        <v>500</v>
      </c>
      <c r="D11" s="29" t="s">
        <v>61</v>
      </c>
      <c r="E11" s="23"/>
      <c r="F11" s="24"/>
      <c r="G11" s="25" t="s">
        <v>397</v>
      </c>
      <c r="H11" s="25"/>
      <c r="I11" s="25" t="s">
        <v>87</v>
      </c>
      <c r="M11" s="27">
        <f t="shared" si="0"/>
        <v>3</v>
      </c>
      <c r="N11" s="1" t="str">
        <v>topic-bad-debt</v>
      </c>
      <c r="O11" s="3" t="str">
        <v>group-paven-app</v>
      </c>
      <c r="P11" s="28"/>
      <c r="U11" s="28"/>
      <c r="V11" s="28"/>
    </row>
    <row r="12" spans="1:36">
      <c r="A12" s="20" t="s">
        <v>1710</v>
      </c>
      <c r="B12" s="21" t="s">
        <v>1287</v>
      </c>
      <c r="C12" s="21" t="s">
        <v>1735</v>
      </c>
      <c r="D12" s="29"/>
      <c r="E12" s="23"/>
      <c r="F12" s="24"/>
      <c r="G12" s="25" t="s">
        <v>386</v>
      </c>
      <c r="H12" s="26"/>
      <c r="I12" s="25" t="s">
        <v>87</v>
      </c>
      <c r="M12" s="27">
        <f t="shared" si="0"/>
        <v>2</v>
      </c>
      <c r="N12" s="1" t="str">
        <v>topic-student-loans</v>
      </c>
      <c r="P12" s="28"/>
      <c r="U12" s="28"/>
      <c r="V12" s="28"/>
    </row>
    <row r="13" spans="1:36">
      <c r="A13" s="20" t="s">
        <v>1710</v>
      </c>
      <c r="B13" s="21" t="s">
        <v>504</v>
      </c>
      <c r="C13" s="21" t="s">
        <v>505</v>
      </c>
      <c r="D13" s="29" t="s">
        <v>61</v>
      </c>
      <c r="E13" s="23"/>
      <c r="F13" s="24"/>
      <c r="G13" s="21" t="s">
        <v>397</v>
      </c>
      <c r="H13" s="26"/>
      <c r="I13" s="25" t="s">
        <v>63</v>
      </c>
      <c r="M13" s="27">
        <f t="shared" si="0"/>
        <v>2</v>
      </c>
      <c r="N13" s="1" t="str">
        <v>topic-credit-cards</v>
      </c>
      <c r="P13" s="28"/>
      <c r="U13" s="28"/>
      <c r="V13" s="28"/>
    </row>
    <row r="14" spans="1:36">
      <c r="A14" s="20" t="s">
        <v>1710</v>
      </c>
      <c r="B14" s="21" t="s">
        <v>510</v>
      </c>
      <c r="C14" s="21" t="s">
        <v>1736</v>
      </c>
      <c r="D14" s="29" t="s">
        <v>61</v>
      </c>
      <c r="E14" s="23"/>
      <c r="F14" s="24"/>
      <c r="G14" s="21" t="s">
        <v>397</v>
      </c>
      <c r="H14" s="26"/>
      <c r="I14" s="25" t="s">
        <v>63</v>
      </c>
      <c r="M14" s="27">
        <f t="shared" si="0"/>
        <v>1</v>
      </c>
      <c r="N14" s="1" t="str">
        <v>topic-credit-score</v>
      </c>
      <c r="P14" s="28"/>
      <c r="U14" s="33"/>
      <c r="V14" s="28"/>
    </row>
    <row r="15" spans="1:36">
      <c r="A15" s="20" t="s">
        <v>1710</v>
      </c>
      <c r="B15" s="21" t="s">
        <v>1737</v>
      </c>
      <c r="C15" s="21" t="s">
        <v>516</v>
      </c>
      <c r="D15" s="29" t="s">
        <v>1738</v>
      </c>
      <c r="E15" s="23"/>
      <c r="F15" s="24"/>
      <c r="G15" s="25" t="s">
        <v>382</v>
      </c>
      <c r="H15" s="21"/>
      <c r="I15" s="25" t="s">
        <v>134</v>
      </c>
      <c r="M15" s="27">
        <f t="shared" si="0"/>
        <v>0</v>
      </c>
      <c r="N15" s="1">
        <v>0</v>
      </c>
      <c r="P15" s="28"/>
      <c r="U15" s="33"/>
      <c r="V15" s="28"/>
    </row>
    <row r="16" spans="1:36">
      <c r="A16" s="20" t="s">
        <v>1710</v>
      </c>
      <c r="B16" s="21" t="s">
        <v>1739</v>
      </c>
      <c r="C16" s="21" t="s">
        <v>1740</v>
      </c>
      <c r="D16" s="29" t="s">
        <v>1738</v>
      </c>
      <c r="E16" s="23"/>
      <c r="F16" s="24"/>
      <c r="G16" s="25" t="s">
        <v>382</v>
      </c>
      <c r="H16" s="26"/>
      <c r="I16" s="30" t="s">
        <v>134</v>
      </c>
      <c r="M16" s="27">
        <f t="shared" si="0"/>
        <v>4</v>
      </c>
      <c r="N16" s="1" t="str">
        <v>topic-retirement-planning</v>
      </c>
      <c r="P16" s="28"/>
      <c r="U16" s="28"/>
      <c r="V16" s="31"/>
    </row>
    <row r="17" spans="1:22">
      <c r="A17" s="20" t="s">
        <v>1710</v>
      </c>
      <c r="B17" s="21" t="s">
        <v>1741</v>
      </c>
      <c r="C17" s="21" t="s">
        <v>1742</v>
      </c>
      <c r="D17" s="29" t="s">
        <v>1738</v>
      </c>
      <c r="E17" s="23"/>
      <c r="F17" s="24"/>
      <c r="G17" s="25" t="s">
        <v>382</v>
      </c>
      <c r="H17" s="26"/>
      <c r="I17" s="25" t="s">
        <v>87</v>
      </c>
      <c r="M17" s="27">
        <f t="shared" si="0"/>
        <v>9</v>
      </c>
      <c r="N17" s="1" t="str">
        <v>topic-401k</v>
      </c>
      <c r="P17" s="28"/>
      <c r="U17" s="28"/>
      <c r="V17" s="28"/>
    </row>
    <row r="18" spans="1:22">
      <c r="A18" s="20" t="s">
        <v>1710</v>
      </c>
      <c r="B18" s="21" t="s">
        <v>524</v>
      </c>
      <c r="C18" s="21" t="s">
        <v>1743</v>
      </c>
      <c r="D18" s="29" t="s">
        <v>1738</v>
      </c>
      <c r="E18" s="23"/>
      <c r="F18" s="24"/>
      <c r="G18" s="25" t="s">
        <v>71</v>
      </c>
      <c r="H18" s="25"/>
      <c r="I18" s="25" t="s">
        <v>87</v>
      </c>
      <c r="M18" s="27">
        <f t="shared" si="0"/>
        <v>28</v>
      </c>
      <c r="N18" s="1" t="str">
        <v>topic-benefits</v>
      </c>
      <c r="P18" s="28"/>
      <c r="U18" s="28"/>
      <c r="V18" s="28"/>
    </row>
    <row r="19" spans="1:22">
      <c r="A19" s="20" t="s">
        <v>1710</v>
      </c>
      <c r="B19" s="21" t="s">
        <v>529</v>
      </c>
      <c r="C19" s="21" t="s">
        <v>1744</v>
      </c>
      <c r="D19" s="29" t="s">
        <v>1738</v>
      </c>
      <c r="E19" s="23"/>
      <c r="F19" s="24"/>
      <c r="G19" s="25" t="s">
        <v>398</v>
      </c>
      <c r="H19" s="25"/>
      <c r="I19" s="25" t="s">
        <v>87</v>
      </c>
      <c r="M19" s="27">
        <f t="shared" si="0"/>
        <v>9</v>
      </c>
      <c r="N19" s="1" t="str">
        <v>topic-travel</v>
      </c>
      <c r="P19" s="28"/>
      <c r="U19" s="28"/>
      <c r="V19" s="28"/>
    </row>
    <row r="20" spans="1:22">
      <c r="A20" s="20" t="s">
        <v>1710</v>
      </c>
      <c r="B20" s="21" t="s">
        <v>535</v>
      </c>
      <c r="C20" s="21" t="s">
        <v>536</v>
      </c>
      <c r="D20" s="29" t="s">
        <v>1738</v>
      </c>
      <c r="E20" s="23"/>
      <c r="F20" s="24"/>
      <c r="G20" s="25" t="s">
        <v>369</v>
      </c>
      <c r="H20" s="25"/>
      <c r="I20" s="25" t="s">
        <v>87</v>
      </c>
      <c r="M20" s="27">
        <f t="shared" si="0"/>
        <v>15</v>
      </c>
      <c r="N20" s="3" t="str">
        <v>topic-savviness</v>
      </c>
      <c r="P20" s="28"/>
      <c r="U20" s="28"/>
      <c r="V20" s="28"/>
    </row>
    <row r="21" spans="1:22">
      <c r="A21" s="20" t="s">
        <v>1710</v>
      </c>
      <c r="B21" s="21" t="s">
        <v>539</v>
      </c>
      <c r="C21" s="21" t="s">
        <v>540</v>
      </c>
      <c r="D21" s="29" t="s">
        <v>1738</v>
      </c>
      <c r="E21" s="23"/>
      <c r="F21" s="24"/>
      <c r="G21" s="25" t="s">
        <v>382</v>
      </c>
      <c r="H21" s="26"/>
      <c r="I21" s="25" t="s">
        <v>63</v>
      </c>
      <c r="M21" s="27">
        <f t="shared" si="0"/>
        <v>18</v>
      </c>
      <c r="N21" s="1" t="str">
        <v>topic-stocks-bonds</v>
      </c>
      <c r="P21" s="28"/>
      <c r="U21" s="28"/>
      <c r="V21" s="28"/>
    </row>
    <row r="22" spans="1:22">
      <c r="A22" s="20" t="s">
        <v>1710</v>
      </c>
      <c r="B22" s="21" t="s">
        <v>470</v>
      </c>
      <c r="C22" s="21" t="s">
        <v>471</v>
      </c>
      <c r="D22" s="29" t="s">
        <v>1738</v>
      </c>
      <c r="E22" s="23"/>
      <c r="F22" s="24"/>
      <c r="G22" s="25" t="s">
        <v>382</v>
      </c>
      <c r="H22" s="26" t="s">
        <v>241</v>
      </c>
      <c r="I22" s="25"/>
      <c r="M22" s="27">
        <f t="shared" si="0"/>
        <v>4</v>
      </c>
      <c r="N22" s="1" t="str">
        <v>topic-industries</v>
      </c>
      <c r="P22" s="28"/>
      <c r="U22" s="28"/>
      <c r="V22" s="28"/>
    </row>
    <row r="23" spans="1:22">
      <c r="A23" s="20" t="s">
        <v>1710</v>
      </c>
      <c r="B23" s="21" t="s">
        <v>1745</v>
      </c>
      <c r="C23" s="21" t="s">
        <v>1746</v>
      </c>
      <c r="D23" s="29" t="s">
        <v>1747</v>
      </c>
      <c r="E23" s="23"/>
      <c r="F23" s="24"/>
      <c r="G23" s="25" t="s">
        <v>361</v>
      </c>
      <c r="H23" s="26"/>
      <c r="I23" s="25" t="s">
        <v>134</v>
      </c>
      <c r="M23" s="27">
        <f t="shared" si="0"/>
        <v>7</v>
      </c>
      <c r="N23" s="1" t="str">
        <v>topic-volatility</v>
      </c>
      <c r="P23" s="28"/>
      <c r="U23" s="28"/>
      <c r="V23" s="28"/>
    </row>
    <row r="24" spans="1:22">
      <c r="A24" s="20" t="s">
        <v>1710</v>
      </c>
      <c r="B24" s="21" t="s">
        <v>1748</v>
      </c>
      <c r="C24" s="21" t="s">
        <v>549</v>
      </c>
      <c r="D24" s="29" t="s">
        <v>90</v>
      </c>
      <c r="E24" s="23"/>
      <c r="F24" s="24"/>
      <c r="G24" s="25" t="s">
        <v>406</v>
      </c>
      <c r="H24" s="26"/>
      <c r="I24" s="25" t="s">
        <v>63</v>
      </c>
      <c r="M24" s="27">
        <f t="shared" si="0"/>
        <v>5</v>
      </c>
      <c r="N24" s="1" t="str">
        <v>topic-skills</v>
      </c>
      <c r="P24" s="28"/>
      <c r="U24" s="28"/>
      <c r="V24" s="28"/>
    </row>
    <row r="25" spans="1:22">
      <c r="A25" s="20" t="s">
        <v>1710</v>
      </c>
      <c r="B25" s="21" t="s">
        <v>553</v>
      </c>
      <c r="C25" s="21" t="s">
        <v>554</v>
      </c>
      <c r="D25" s="29" t="s">
        <v>90</v>
      </c>
      <c r="E25" s="23"/>
      <c r="F25" s="24"/>
      <c r="G25" s="25" t="s">
        <v>91</v>
      </c>
      <c r="H25" s="26" t="s">
        <v>397</v>
      </c>
      <c r="I25" s="25"/>
      <c r="J25" s="1"/>
      <c r="K25" s="1" t="s">
        <v>352</v>
      </c>
      <c r="M25" s="27">
        <f t="shared" si="0"/>
        <v>5</v>
      </c>
      <c r="N25" s="1" t="str">
        <v>topic-side-hustle</v>
      </c>
      <c r="P25" s="28"/>
      <c r="U25" s="28"/>
      <c r="V25" s="28"/>
    </row>
    <row r="26" spans="1:22">
      <c r="A26" s="20" t="s">
        <v>1710</v>
      </c>
      <c r="B26" s="21" t="s">
        <v>1749</v>
      </c>
      <c r="C26" s="21" t="s">
        <v>568</v>
      </c>
      <c r="D26" s="29" t="s">
        <v>90</v>
      </c>
      <c r="E26" s="23"/>
      <c r="F26" s="24"/>
      <c r="G26" s="25" t="s">
        <v>91</v>
      </c>
      <c r="H26" s="26" t="s">
        <v>400</v>
      </c>
      <c r="I26" s="25"/>
      <c r="M26" s="27">
        <f t="shared" si="0"/>
        <v>3</v>
      </c>
      <c r="N26" s="1" t="str">
        <v>topic-hsa</v>
      </c>
      <c r="P26" s="28"/>
      <c r="U26" s="28"/>
      <c r="V26" s="28"/>
    </row>
    <row r="27" spans="1:22">
      <c r="A27" s="20" t="s">
        <v>1710</v>
      </c>
      <c r="B27" s="21" t="s">
        <v>647</v>
      </c>
      <c r="C27" s="21" t="s">
        <v>1750</v>
      </c>
      <c r="D27" s="29" t="s">
        <v>90</v>
      </c>
      <c r="E27" s="23"/>
      <c r="F27" s="24"/>
      <c r="G27" s="25" t="s">
        <v>406</v>
      </c>
      <c r="H27" s="26" t="s">
        <v>241</v>
      </c>
      <c r="I27" s="25"/>
      <c r="M27" s="27">
        <f t="shared" si="0"/>
        <v>2</v>
      </c>
      <c r="N27" s="1" t="str">
        <v>topic-financial-finesse</v>
      </c>
      <c r="P27" s="28"/>
      <c r="U27" s="28"/>
      <c r="V27" s="28"/>
    </row>
    <row r="28" spans="1:22">
      <c r="A28" s="20" t="s">
        <v>1710</v>
      </c>
      <c r="B28" s="21" t="s">
        <v>558</v>
      </c>
      <c r="C28" s="21" t="s">
        <v>559</v>
      </c>
      <c r="D28" s="29" t="s">
        <v>90</v>
      </c>
      <c r="E28" s="23"/>
      <c r="F28" s="24"/>
      <c r="G28" s="25" t="s">
        <v>377</v>
      </c>
      <c r="H28" s="26" t="s">
        <v>397</v>
      </c>
      <c r="I28" s="25"/>
      <c r="J28" s="1"/>
      <c r="K28" s="1" t="s">
        <v>352</v>
      </c>
      <c r="M28" s="27">
        <f t="shared" si="0"/>
        <v>4</v>
      </c>
      <c r="N28" s="1" t="str">
        <v>topic-rsus</v>
      </c>
      <c r="P28" s="28"/>
      <c r="U28" s="28"/>
      <c r="V28" s="28"/>
    </row>
    <row r="29" spans="1:22">
      <c r="A29" s="20" t="s">
        <v>1710</v>
      </c>
      <c r="B29" s="21" t="s">
        <v>1751</v>
      </c>
      <c r="C29" s="21" t="s">
        <v>564</v>
      </c>
      <c r="D29" s="29" t="s">
        <v>90</v>
      </c>
      <c r="E29" s="23"/>
      <c r="F29" s="24"/>
      <c r="G29" s="25" t="s">
        <v>361</v>
      </c>
      <c r="H29" s="26"/>
      <c r="I29" s="25" t="s">
        <v>63</v>
      </c>
      <c r="M29" s="27">
        <f t="shared" si="0"/>
        <v>6</v>
      </c>
      <c r="N29" s="1" t="str">
        <v>topic-taxes</v>
      </c>
      <c r="P29" s="28"/>
      <c r="U29" s="28"/>
      <c r="V29" s="28"/>
    </row>
    <row r="30" spans="1:22">
      <c r="A30" s="20" t="s">
        <v>1710</v>
      </c>
      <c r="B30" s="21" t="s">
        <v>1752</v>
      </c>
      <c r="C30" s="21" t="s">
        <v>573</v>
      </c>
      <c r="D30" s="29" t="s">
        <v>99</v>
      </c>
      <c r="E30" s="23"/>
      <c r="F30" s="24"/>
      <c r="G30" s="25"/>
      <c r="H30" s="26"/>
      <c r="I30" s="25" t="s">
        <v>134</v>
      </c>
      <c r="M30" s="27">
        <f t="shared" si="0"/>
        <v>3</v>
      </c>
      <c r="N30" s="3" t="str">
        <v>topic-crypto</v>
      </c>
      <c r="P30" s="28"/>
      <c r="U30" s="28"/>
      <c r="V30" s="28"/>
    </row>
    <row r="31" spans="1:22">
      <c r="A31" s="20" t="s">
        <v>1710</v>
      </c>
      <c r="B31" s="21" t="s">
        <v>577</v>
      </c>
      <c r="C31" s="21" t="s">
        <v>578</v>
      </c>
      <c r="D31" s="29" t="s">
        <v>99</v>
      </c>
      <c r="E31" s="23"/>
      <c r="F31" s="24"/>
      <c r="G31" s="26"/>
      <c r="H31" s="26"/>
      <c r="I31" s="25" t="s">
        <v>63</v>
      </c>
      <c r="M31" s="27">
        <f t="shared" si="0"/>
        <v>5</v>
      </c>
      <c r="N31" s="1" t="str">
        <v>topic-insurance</v>
      </c>
      <c r="P31" s="28"/>
      <c r="U31" s="28"/>
      <c r="V31" s="28"/>
    </row>
    <row r="32" spans="1:22">
      <c r="A32" s="20" t="s">
        <v>1710</v>
      </c>
      <c r="B32" s="21" t="s">
        <v>582</v>
      </c>
      <c r="C32" s="21" t="s">
        <v>583</v>
      </c>
      <c r="D32" s="29" t="s">
        <v>99</v>
      </c>
      <c r="E32" s="23"/>
      <c r="F32" s="24"/>
      <c r="G32" s="26"/>
      <c r="H32" s="26"/>
      <c r="I32" s="25" t="s">
        <v>134</v>
      </c>
      <c r="M32" s="27">
        <f t="shared" si="0"/>
        <v>3</v>
      </c>
      <c r="N32" s="1" t="str">
        <v>topic-estate-planning</v>
      </c>
      <c r="P32" s="28"/>
      <c r="V32" s="28"/>
    </row>
    <row r="33" spans="1:22">
      <c r="A33" s="20" t="s">
        <v>1710</v>
      </c>
      <c r="B33" s="21" t="s">
        <v>586</v>
      </c>
      <c r="C33" s="21" t="s">
        <v>587</v>
      </c>
      <c r="D33" s="29" t="s">
        <v>99</v>
      </c>
      <c r="E33" s="23"/>
      <c r="F33" s="24"/>
      <c r="G33" s="26" t="s">
        <v>1753</v>
      </c>
      <c r="H33" s="26"/>
      <c r="I33" s="25" t="s">
        <v>63</v>
      </c>
      <c r="M33" s="27">
        <f t="shared" si="0"/>
        <v>4</v>
      </c>
      <c r="N33" s="1" t="str">
        <v>topic-first-home</v>
      </c>
      <c r="P33" s="28"/>
      <c r="V33" s="28"/>
    </row>
    <row r="34" spans="1:22">
      <c r="A34" s="20" t="s">
        <v>1710</v>
      </c>
      <c r="B34" s="21" t="s">
        <v>590</v>
      </c>
      <c r="C34" s="21" t="s">
        <v>591</v>
      </c>
      <c r="D34" s="29" t="s">
        <v>99</v>
      </c>
      <c r="E34" s="23"/>
      <c r="F34" s="24"/>
      <c r="G34" s="25" t="s">
        <v>351</v>
      </c>
      <c r="H34" s="26"/>
      <c r="I34" s="25" t="s">
        <v>87</v>
      </c>
      <c r="M34" s="27">
        <f t="shared" si="0"/>
        <v>7</v>
      </c>
      <c r="N34" s="1" t="str">
        <v>topic-inflation</v>
      </c>
      <c r="P34" s="28"/>
      <c r="U34" s="1"/>
      <c r="V34" s="28"/>
    </row>
    <row r="35" spans="1:22">
      <c r="A35" s="20" t="s">
        <v>1710</v>
      </c>
      <c r="B35" s="21" t="s">
        <v>667</v>
      </c>
      <c r="C35" s="21" t="s">
        <v>668</v>
      </c>
      <c r="D35" s="29" t="s">
        <v>99</v>
      </c>
      <c r="E35" s="23"/>
      <c r="F35" s="24"/>
      <c r="G35" s="25" t="s">
        <v>351</v>
      </c>
      <c r="H35" s="26" t="s">
        <v>241</v>
      </c>
      <c r="I35" s="25"/>
      <c r="M35" s="27">
        <f t="shared" si="0"/>
        <v>5</v>
      </c>
      <c r="N35" s="1" t="str">
        <v>topic-budget</v>
      </c>
      <c r="P35" s="28"/>
      <c r="U35" s="28"/>
      <c r="V35" s="28"/>
    </row>
    <row r="36" spans="1:22">
      <c r="A36" s="20" t="s">
        <v>1710</v>
      </c>
      <c r="B36" s="21" t="s">
        <v>593</v>
      </c>
      <c r="C36" s="21" t="s">
        <v>594</v>
      </c>
      <c r="D36" s="29" t="s">
        <v>99</v>
      </c>
      <c r="E36" s="23"/>
      <c r="F36" s="24"/>
      <c r="G36" s="25" t="s">
        <v>351</v>
      </c>
      <c r="H36" s="26"/>
      <c r="I36" s="25" t="s">
        <v>87</v>
      </c>
      <c r="M36" s="27">
        <f t="shared" si="0"/>
        <v>7</v>
      </c>
      <c r="N36" s="1" t="str">
        <v>topic-health</v>
      </c>
      <c r="P36" s="28"/>
      <c r="U36" s="28"/>
      <c r="V36" s="28"/>
    </row>
    <row r="37" spans="1:22">
      <c r="A37" s="20" t="s">
        <v>1710</v>
      </c>
      <c r="B37" s="21" t="s">
        <v>464</v>
      </c>
      <c r="C37" s="21" t="s">
        <v>465</v>
      </c>
      <c r="D37" s="29" t="s">
        <v>99</v>
      </c>
      <c r="E37" s="23"/>
      <c r="F37" s="24"/>
      <c r="G37" s="25" t="s">
        <v>351</v>
      </c>
      <c r="H37" s="26"/>
      <c r="I37" s="25" t="s">
        <v>87</v>
      </c>
      <c r="M37" s="27">
        <f t="shared" si="0"/>
        <v>4</v>
      </c>
      <c r="N37" s="3" t="str">
        <v>topic-caregiving</v>
      </c>
      <c r="P37" s="28"/>
      <c r="U37" s="28"/>
      <c r="V37" s="28"/>
    </row>
    <row r="38" spans="1:22">
      <c r="A38" s="20" t="s">
        <v>1710</v>
      </c>
      <c r="B38" s="21" t="s">
        <v>1754</v>
      </c>
      <c r="C38" s="21" t="s">
        <v>632</v>
      </c>
      <c r="D38" s="29"/>
      <c r="E38" s="23" t="s">
        <v>1755</v>
      </c>
      <c r="F38" s="24"/>
      <c r="G38" s="25" t="s">
        <v>382</v>
      </c>
      <c r="H38" s="26"/>
      <c r="I38" s="25" t="s">
        <v>134</v>
      </c>
      <c r="M38" s="27">
        <f t="shared" si="0"/>
        <v>7</v>
      </c>
      <c r="N38" s="1" t="str">
        <v>topic-onboarding</v>
      </c>
      <c r="P38" s="28"/>
      <c r="U38" s="28"/>
      <c r="V38" s="28"/>
    </row>
    <row r="39" spans="1:22">
      <c r="A39" s="20" t="s">
        <v>1710</v>
      </c>
      <c r="B39" s="21" t="s">
        <v>641</v>
      </c>
      <c r="C39" s="21" t="s">
        <v>642</v>
      </c>
      <c r="D39" s="34" t="s">
        <v>49</v>
      </c>
      <c r="E39" s="23" t="s">
        <v>1755</v>
      </c>
      <c r="F39" s="24"/>
      <c r="G39" s="25" t="s">
        <v>382</v>
      </c>
      <c r="H39" s="25"/>
      <c r="I39" s="25" t="s">
        <v>134</v>
      </c>
      <c r="M39" s="27">
        <f t="shared" si="0"/>
        <v>3</v>
      </c>
      <c r="N39" s="3" t="str">
        <v>topic-partner</v>
      </c>
      <c r="P39" s="28"/>
      <c r="U39" s="28"/>
      <c r="V39" s="28"/>
    </row>
    <row r="40" spans="1:22">
      <c r="A40" s="20" t="s">
        <v>1710</v>
      </c>
      <c r="B40" s="21" t="s">
        <v>709</v>
      </c>
      <c r="C40" s="21" t="s">
        <v>710</v>
      </c>
      <c r="D40" s="29" t="s">
        <v>1738</v>
      </c>
      <c r="E40" s="23" t="s">
        <v>1755</v>
      </c>
      <c r="F40" s="24"/>
      <c r="G40" s="25" t="s">
        <v>382</v>
      </c>
      <c r="H40" s="26"/>
      <c r="I40" s="25" t="s">
        <v>134</v>
      </c>
      <c r="M40" s="27">
        <f t="shared" si="0"/>
        <v>3</v>
      </c>
      <c r="N40" s="1" t="str">
        <v>topic-inheritance</v>
      </c>
      <c r="P40" s="28"/>
      <c r="U40" s="28"/>
      <c r="V40" s="28"/>
    </row>
    <row r="41" spans="1:22">
      <c r="A41" s="20" t="s">
        <v>1710</v>
      </c>
      <c r="B41" s="21" t="s">
        <v>1756</v>
      </c>
      <c r="C41" s="21" t="s">
        <v>1757</v>
      </c>
      <c r="D41" s="29"/>
      <c r="E41" s="23" t="s">
        <v>349</v>
      </c>
      <c r="F41" s="24"/>
      <c r="G41" s="25" t="s">
        <v>241</v>
      </c>
      <c r="H41" s="26"/>
      <c r="I41" s="25" t="s">
        <v>242</v>
      </c>
      <c r="M41" s="27">
        <f t="shared" si="0"/>
        <v>2</v>
      </c>
      <c r="N41" s="3" t="str">
        <v>topic-lenders</v>
      </c>
      <c r="P41" s="28"/>
      <c r="U41" s="28"/>
      <c r="V41" s="28"/>
    </row>
    <row r="42" spans="1:22">
      <c r="A42" s="20" t="s">
        <v>1710</v>
      </c>
      <c r="B42" s="21" t="s">
        <v>611</v>
      </c>
      <c r="C42" s="21" t="s">
        <v>612</v>
      </c>
      <c r="D42" s="29" t="s">
        <v>1758</v>
      </c>
      <c r="E42" s="23"/>
      <c r="F42" s="24"/>
      <c r="G42" s="25" t="s">
        <v>407</v>
      </c>
      <c r="H42" s="25"/>
      <c r="I42" s="25" t="s">
        <v>134</v>
      </c>
      <c r="M42" s="27">
        <f t="shared" si="0"/>
        <v>2</v>
      </c>
      <c r="N42" s="1" t="str">
        <v>topic-charity</v>
      </c>
      <c r="P42" s="28"/>
      <c r="U42" s="28"/>
      <c r="V42" s="28"/>
    </row>
    <row r="43" spans="1:22">
      <c r="A43" s="20" t="s">
        <v>1710</v>
      </c>
      <c r="B43" s="21" t="s">
        <v>615</v>
      </c>
      <c r="C43" s="21" t="s">
        <v>1759</v>
      </c>
      <c r="D43" s="29" t="s">
        <v>1758</v>
      </c>
      <c r="E43" s="23"/>
      <c r="F43" s="24"/>
      <c r="G43" s="25" t="s">
        <v>407</v>
      </c>
      <c r="H43" s="26"/>
      <c r="I43" s="25" t="s">
        <v>134</v>
      </c>
      <c r="M43" s="27">
        <f t="shared" si="0"/>
        <v>3</v>
      </c>
      <c r="N43" s="1" t="str">
        <v>topic-new-baby</v>
      </c>
      <c r="P43" s="28"/>
      <c r="U43" s="28"/>
      <c r="V43" s="28"/>
    </row>
    <row r="44" spans="1:22">
      <c r="A44" s="20" t="s">
        <v>1710</v>
      </c>
      <c r="B44" s="21" t="s">
        <v>619</v>
      </c>
      <c r="C44" s="21" t="s">
        <v>620</v>
      </c>
      <c r="D44" s="29" t="s">
        <v>1758</v>
      </c>
      <c r="E44" s="23"/>
      <c r="F44" s="24"/>
      <c r="G44" s="25" t="s">
        <v>407</v>
      </c>
      <c r="H44" s="26"/>
      <c r="I44" s="25" t="s">
        <v>63</v>
      </c>
      <c r="M44" s="27">
        <f t="shared" si="0"/>
        <v>4</v>
      </c>
      <c r="N44" s="1" t="str">
        <v>topic-simulator</v>
      </c>
      <c r="P44" s="28"/>
      <c r="U44" s="28"/>
      <c r="V44" s="28"/>
    </row>
    <row r="45" spans="1:22">
      <c r="A45" s="20" t="s">
        <v>1710</v>
      </c>
      <c r="B45" s="21" t="s">
        <v>623</v>
      </c>
      <c r="C45" s="21" t="s">
        <v>624</v>
      </c>
      <c r="D45" s="29" t="s">
        <v>1758</v>
      </c>
      <c r="E45" s="23"/>
      <c r="F45" s="24"/>
      <c r="G45" s="25" t="s">
        <v>407</v>
      </c>
      <c r="H45" s="26"/>
      <c r="I45" s="25" t="s">
        <v>242</v>
      </c>
      <c r="M45" s="27">
        <f t="shared" si="0"/>
        <v>1</v>
      </c>
      <c r="N45" s="1" t="str">
        <v>topic-mortgages</v>
      </c>
      <c r="P45" s="28"/>
      <c r="U45" s="28"/>
      <c r="V45" s="28"/>
    </row>
    <row r="46" spans="1:22">
      <c r="A46" s="20" t="s">
        <v>1710</v>
      </c>
      <c r="B46" s="21" t="s">
        <v>627</v>
      </c>
      <c r="C46" s="21" t="s">
        <v>628</v>
      </c>
      <c r="D46" s="29" t="s">
        <v>1758</v>
      </c>
      <c r="E46" s="23"/>
      <c r="F46" s="24"/>
      <c r="G46" s="25" t="s">
        <v>407</v>
      </c>
      <c r="H46" s="26"/>
      <c r="I46" s="25" t="s">
        <v>63</v>
      </c>
      <c r="M46" s="27">
        <f t="shared" si="0"/>
        <v>0</v>
      </c>
      <c r="P46" s="28"/>
      <c r="U46" s="28"/>
      <c r="V46" s="28"/>
    </row>
    <row r="47" spans="1:22">
      <c r="A47" s="20" t="s">
        <v>1710</v>
      </c>
      <c r="B47" s="21" t="s">
        <v>684</v>
      </c>
      <c r="C47" s="21" t="s">
        <v>685</v>
      </c>
      <c r="D47" s="29" t="s">
        <v>1758</v>
      </c>
      <c r="E47" s="23"/>
      <c r="F47" s="24"/>
      <c r="G47" s="25" t="s">
        <v>407</v>
      </c>
      <c r="H47" s="26"/>
      <c r="I47" s="25" t="s">
        <v>63</v>
      </c>
      <c r="M47" s="27">
        <f t="shared" si="0"/>
        <v>0</v>
      </c>
      <c r="P47" s="28"/>
      <c r="U47" s="28"/>
      <c r="V47" s="28"/>
    </row>
    <row r="48" spans="1:22">
      <c r="A48" s="20" t="s">
        <v>1710</v>
      </c>
      <c r="B48" s="21" t="s">
        <v>688</v>
      </c>
      <c r="C48" s="21" t="s">
        <v>689</v>
      </c>
      <c r="D48" s="29" t="s">
        <v>1758</v>
      </c>
      <c r="E48" s="23"/>
      <c r="F48" s="24"/>
      <c r="G48" s="25" t="s">
        <v>407</v>
      </c>
      <c r="H48" s="26"/>
      <c r="I48" s="25" t="s">
        <v>63</v>
      </c>
      <c r="M48" s="27">
        <f t="shared" si="0"/>
        <v>0</v>
      </c>
      <c r="P48" s="28"/>
      <c r="U48" s="28"/>
      <c r="V48" s="28"/>
    </row>
    <row r="49" spans="1:36">
      <c r="A49" s="20" t="s">
        <v>1710</v>
      </c>
      <c r="B49" s="21" t="s">
        <v>652</v>
      </c>
      <c r="C49" s="21" t="s">
        <v>1760</v>
      </c>
      <c r="D49" s="29" t="s">
        <v>1758</v>
      </c>
      <c r="E49" s="23"/>
      <c r="F49" s="24"/>
      <c r="G49" s="25" t="s">
        <v>407</v>
      </c>
      <c r="H49" s="26" t="s">
        <v>241</v>
      </c>
      <c r="I49" s="25"/>
      <c r="M49" s="27">
        <f t="shared" si="0"/>
        <v>0</v>
      </c>
      <c r="P49" s="28"/>
      <c r="U49" s="28"/>
      <c r="V49" s="28"/>
    </row>
    <row r="50" spans="1:36">
      <c r="A50" s="20" t="s">
        <v>1710</v>
      </c>
      <c r="B50" s="21" t="s">
        <v>672</v>
      </c>
      <c r="C50" s="21" t="s">
        <v>673</v>
      </c>
      <c r="D50" s="29"/>
      <c r="E50" s="23"/>
      <c r="F50" s="24"/>
      <c r="G50" s="25" t="s">
        <v>400</v>
      </c>
      <c r="H50" s="26"/>
      <c r="I50" s="25" t="s">
        <v>81</v>
      </c>
      <c r="J50" s="1"/>
      <c r="K50" s="1" t="s">
        <v>352</v>
      </c>
      <c r="M50" s="27">
        <f t="shared" si="0"/>
        <v>0</v>
      </c>
      <c r="P50" s="28"/>
      <c r="U50" s="28"/>
      <c r="V50" s="28"/>
    </row>
    <row r="51" spans="1:36">
      <c r="A51" s="20" t="s">
        <v>1710</v>
      </c>
      <c r="B51" s="21" t="s">
        <v>676</v>
      </c>
      <c r="C51" s="21" t="s">
        <v>1761</v>
      </c>
      <c r="D51" s="29"/>
      <c r="E51" s="23"/>
      <c r="F51" s="24"/>
      <c r="G51" s="25" t="s">
        <v>400</v>
      </c>
      <c r="H51" s="26"/>
      <c r="I51" s="25" t="s">
        <v>81</v>
      </c>
      <c r="J51" s="1"/>
      <c r="K51" s="1" t="s">
        <v>352</v>
      </c>
      <c r="M51" s="27">
        <f t="shared" si="0"/>
        <v>0</v>
      </c>
      <c r="P51" s="28"/>
      <c r="U51" s="28"/>
      <c r="V51" s="28"/>
    </row>
    <row r="52" spans="1:36">
      <c r="A52" s="20" t="s">
        <v>1710</v>
      </c>
      <c r="B52" s="21" t="s">
        <v>679</v>
      </c>
      <c r="C52" s="21" t="s">
        <v>680</v>
      </c>
      <c r="D52" s="29"/>
      <c r="E52" s="23"/>
      <c r="F52" s="24"/>
      <c r="G52" s="25" t="s">
        <v>400</v>
      </c>
      <c r="H52" s="26"/>
      <c r="I52" s="25" t="s">
        <v>81</v>
      </c>
      <c r="J52" s="1"/>
      <c r="K52" s="1" t="s">
        <v>352</v>
      </c>
      <c r="M52" s="27">
        <f t="shared" si="0"/>
        <v>0</v>
      </c>
      <c r="P52" s="28"/>
      <c r="U52" s="28"/>
      <c r="V52" s="28"/>
    </row>
    <row r="53" spans="1:36">
      <c r="A53" s="20" t="s">
        <v>1710</v>
      </c>
      <c r="B53" s="21" t="s">
        <v>692</v>
      </c>
      <c r="C53" s="21" t="s">
        <v>1762</v>
      </c>
      <c r="D53" s="29"/>
      <c r="E53" s="23"/>
      <c r="F53" s="24"/>
      <c r="G53" s="25" t="s">
        <v>405</v>
      </c>
      <c r="H53" s="26"/>
      <c r="I53" s="25" t="s">
        <v>81</v>
      </c>
      <c r="J53" s="1"/>
      <c r="K53" s="1" t="s">
        <v>352</v>
      </c>
      <c r="M53" s="27">
        <f t="shared" si="0"/>
        <v>0</v>
      </c>
      <c r="P53" s="28"/>
      <c r="U53" s="28"/>
      <c r="V53" s="28"/>
    </row>
    <row r="54" spans="1:36">
      <c r="A54" s="20" t="s">
        <v>1710</v>
      </c>
      <c r="B54" s="21" t="s">
        <v>697</v>
      </c>
      <c r="C54" s="21" t="s">
        <v>698</v>
      </c>
      <c r="D54" s="29"/>
      <c r="E54" s="23"/>
      <c r="F54" s="24"/>
      <c r="G54" s="25" t="s">
        <v>400</v>
      </c>
      <c r="H54" s="26"/>
      <c r="I54" s="25" t="s">
        <v>81</v>
      </c>
      <c r="J54" s="1"/>
      <c r="K54" s="1" t="s">
        <v>352</v>
      </c>
      <c r="M54" s="27">
        <f t="shared" si="0"/>
        <v>0</v>
      </c>
      <c r="P54" s="28"/>
      <c r="U54" s="28"/>
      <c r="V54" s="28"/>
    </row>
    <row r="55" spans="1:36">
      <c r="A55" s="20" t="s">
        <v>1710</v>
      </c>
      <c r="B55" s="21" t="s">
        <v>705</v>
      </c>
      <c r="C55" s="21" t="s">
        <v>706</v>
      </c>
      <c r="D55" s="29"/>
      <c r="E55" s="23"/>
      <c r="F55" s="24"/>
      <c r="G55" s="25" t="s">
        <v>400</v>
      </c>
      <c r="H55" s="26"/>
      <c r="I55" s="25" t="s">
        <v>81</v>
      </c>
      <c r="M55" s="27">
        <f t="shared" si="0"/>
        <v>0</v>
      </c>
      <c r="P55" s="28"/>
      <c r="U55" s="28"/>
      <c r="V55" s="28"/>
    </row>
    <row r="56" spans="1:36">
      <c r="A56" s="20" t="s">
        <v>1710</v>
      </c>
      <c r="B56" s="21" t="s">
        <v>701</v>
      </c>
      <c r="C56" s="21" t="s">
        <v>702</v>
      </c>
      <c r="D56" s="29"/>
      <c r="E56" s="23"/>
      <c r="F56" s="24"/>
      <c r="G56" s="25" t="s">
        <v>389</v>
      </c>
      <c r="H56" s="26"/>
      <c r="I56" s="25" t="s">
        <v>81</v>
      </c>
      <c r="L56" s="28"/>
      <c r="M56" s="27">
        <f t="shared" si="0"/>
        <v>0</v>
      </c>
      <c r="N56" s="28"/>
      <c r="O56" s="28"/>
      <c r="P56" s="28"/>
      <c r="Q56" s="28"/>
      <c r="U56" s="28"/>
      <c r="V56" s="28"/>
    </row>
    <row r="57" spans="1:36">
      <c r="A57" s="20" t="s">
        <v>1710</v>
      </c>
      <c r="B57" s="21" t="s">
        <v>1763</v>
      </c>
      <c r="C57" s="21" t="s">
        <v>745</v>
      </c>
      <c r="D57" s="29"/>
      <c r="E57" s="23"/>
      <c r="F57" s="24"/>
      <c r="G57" s="25" t="s">
        <v>400</v>
      </c>
      <c r="H57" s="35"/>
      <c r="I57" s="25" t="s">
        <v>81</v>
      </c>
      <c r="J57" s="1"/>
      <c r="K57" s="1" t="s">
        <v>352</v>
      </c>
      <c r="L57" s="28"/>
      <c r="M57" s="27">
        <f t="shared" si="0"/>
        <v>0</v>
      </c>
      <c r="N57" s="28"/>
      <c r="O57" s="28"/>
      <c r="P57" s="28"/>
      <c r="Q57" s="28"/>
      <c r="R57" s="5"/>
      <c r="S57" s="5"/>
      <c r="T57" s="5"/>
      <c r="U57" s="28"/>
      <c r="V57" s="28"/>
      <c r="W57" s="5"/>
      <c r="X57" s="5"/>
      <c r="Y57" s="5"/>
      <c r="Z57" s="5"/>
      <c r="AA57" s="5"/>
      <c r="AB57" s="5"/>
      <c r="AC57" s="5"/>
      <c r="AD57" s="5"/>
      <c r="AE57" s="5"/>
      <c r="AF57" s="5"/>
      <c r="AG57" s="5"/>
      <c r="AH57" s="5"/>
      <c r="AI57" s="5"/>
      <c r="AJ57" s="5"/>
    </row>
    <row r="58" spans="1:36">
      <c r="A58" s="20" t="s">
        <v>1710</v>
      </c>
      <c r="B58" s="21" t="s">
        <v>739</v>
      </c>
      <c r="C58" s="21" t="s">
        <v>740</v>
      </c>
      <c r="D58" s="29"/>
      <c r="E58" s="23"/>
      <c r="F58" s="24"/>
      <c r="G58" s="25" t="s">
        <v>400</v>
      </c>
      <c r="H58" s="35"/>
      <c r="I58" s="25" t="s">
        <v>370</v>
      </c>
      <c r="J58" s="1"/>
      <c r="K58" s="1" t="s">
        <v>352</v>
      </c>
      <c r="L58" s="28"/>
      <c r="M58" s="27">
        <f t="shared" si="0"/>
        <v>0</v>
      </c>
      <c r="N58" s="28"/>
      <c r="O58" s="28"/>
      <c r="P58" s="28"/>
      <c r="Q58" s="28"/>
      <c r="R58" s="5"/>
      <c r="S58" s="5"/>
      <c r="T58" s="5"/>
      <c r="U58" s="28"/>
      <c r="V58" s="28"/>
      <c r="W58" s="5"/>
      <c r="X58" s="5"/>
      <c r="Y58" s="5"/>
      <c r="Z58" s="5"/>
      <c r="AA58" s="5"/>
      <c r="AB58" s="5"/>
      <c r="AC58" s="5"/>
      <c r="AD58" s="5"/>
      <c r="AE58" s="5"/>
      <c r="AF58" s="5"/>
      <c r="AG58" s="5"/>
      <c r="AH58" s="5"/>
      <c r="AI58" s="5"/>
      <c r="AJ58" s="5"/>
    </row>
    <row r="59" spans="1:36">
      <c r="A59" s="20" t="s">
        <v>1710</v>
      </c>
      <c r="B59" s="21" t="s">
        <v>748</v>
      </c>
      <c r="C59" s="21" t="s">
        <v>749</v>
      </c>
      <c r="D59" s="29"/>
      <c r="E59" s="23"/>
      <c r="F59" s="24"/>
      <c r="G59" s="25" t="s">
        <v>400</v>
      </c>
      <c r="H59" s="35"/>
      <c r="I59" s="25" t="s">
        <v>370</v>
      </c>
      <c r="J59" s="5"/>
      <c r="K59" s="5"/>
      <c r="L59" s="28"/>
      <c r="M59" s="27">
        <f t="shared" si="0"/>
        <v>0</v>
      </c>
      <c r="N59" s="28"/>
      <c r="O59" s="28"/>
      <c r="P59" s="28"/>
      <c r="Q59" s="28"/>
      <c r="R59" s="5"/>
      <c r="S59" s="5"/>
      <c r="T59" s="5"/>
      <c r="U59" s="28"/>
      <c r="V59" s="28"/>
      <c r="W59" s="5"/>
      <c r="X59" s="5"/>
      <c r="Y59" s="5"/>
      <c r="Z59" s="5"/>
      <c r="AA59" s="5"/>
      <c r="AB59" s="5"/>
      <c r="AC59" s="5"/>
      <c r="AD59" s="5"/>
      <c r="AE59" s="5"/>
      <c r="AF59" s="5"/>
      <c r="AG59" s="5"/>
      <c r="AH59" s="5"/>
      <c r="AI59" s="5"/>
      <c r="AJ59" s="5"/>
    </row>
    <row r="60" spans="1:36">
      <c r="A60" s="20" t="s">
        <v>1710</v>
      </c>
      <c r="B60" s="21" t="s">
        <v>753</v>
      </c>
      <c r="C60" s="21" t="s">
        <v>754</v>
      </c>
      <c r="D60" s="29"/>
      <c r="E60" s="23"/>
      <c r="F60" s="24"/>
      <c r="G60" s="25" t="s">
        <v>408</v>
      </c>
      <c r="H60" s="35"/>
      <c r="I60" s="25" t="s">
        <v>370</v>
      </c>
      <c r="J60" s="5"/>
      <c r="K60" s="5"/>
      <c r="L60" s="28"/>
      <c r="M60" s="27">
        <f t="shared" si="0"/>
        <v>0</v>
      </c>
      <c r="N60" s="28"/>
      <c r="O60" s="28"/>
      <c r="P60" s="28"/>
      <c r="Q60" s="28"/>
      <c r="R60" s="5"/>
      <c r="S60" s="5"/>
      <c r="T60" s="5"/>
      <c r="U60" s="28"/>
      <c r="V60" s="28"/>
      <c r="W60" s="5"/>
      <c r="X60" s="5"/>
      <c r="Y60" s="5"/>
      <c r="Z60" s="5"/>
      <c r="AA60" s="5"/>
      <c r="AB60" s="5"/>
      <c r="AC60" s="5"/>
      <c r="AD60" s="5"/>
      <c r="AE60" s="5"/>
      <c r="AF60" s="5"/>
      <c r="AG60" s="5"/>
      <c r="AH60" s="5"/>
      <c r="AI60" s="5"/>
      <c r="AJ60" s="5"/>
    </row>
    <row r="61" spans="1:36">
      <c r="A61" s="20" t="s">
        <v>1710</v>
      </c>
      <c r="B61" s="21" t="s">
        <v>758</v>
      </c>
      <c r="C61" s="21" t="s">
        <v>759</v>
      </c>
      <c r="D61" s="29"/>
      <c r="E61" s="23"/>
      <c r="F61" s="24"/>
      <c r="G61" s="25" t="s">
        <v>408</v>
      </c>
      <c r="H61" s="26"/>
      <c r="I61" s="25" t="s">
        <v>370</v>
      </c>
      <c r="L61" s="28"/>
      <c r="M61" s="27">
        <f t="shared" si="0"/>
        <v>0</v>
      </c>
      <c r="N61" s="28"/>
      <c r="O61" s="28"/>
      <c r="P61" s="28"/>
      <c r="Q61" s="28"/>
      <c r="U61" s="28"/>
      <c r="V61" s="28"/>
    </row>
    <row r="62" spans="1:36">
      <c r="A62" s="20" t="s">
        <v>1710</v>
      </c>
      <c r="B62" s="21" t="s">
        <v>801</v>
      </c>
      <c r="C62" s="21" t="s">
        <v>802</v>
      </c>
      <c r="D62" s="29"/>
      <c r="E62" s="23"/>
      <c r="F62" s="24"/>
      <c r="G62" s="25" t="s">
        <v>400</v>
      </c>
      <c r="H62" s="26"/>
      <c r="I62" s="25" t="s">
        <v>81</v>
      </c>
      <c r="L62" s="28"/>
      <c r="M62" s="27">
        <f t="shared" si="0"/>
        <v>0</v>
      </c>
      <c r="N62" s="28"/>
      <c r="O62" s="28"/>
      <c r="P62" s="28"/>
      <c r="Q62" s="28"/>
      <c r="U62" s="28"/>
      <c r="V62" s="28"/>
    </row>
    <row r="63" spans="1:36">
      <c r="A63" s="20" t="s">
        <v>1710</v>
      </c>
      <c r="B63" s="21" t="s">
        <v>797</v>
      </c>
      <c r="C63" s="21" t="s">
        <v>798</v>
      </c>
      <c r="D63" s="29"/>
      <c r="E63" s="23"/>
      <c r="F63" s="24"/>
      <c r="G63" s="25" t="s">
        <v>408</v>
      </c>
      <c r="H63" s="26"/>
      <c r="I63" s="25" t="s">
        <v>81</v>
      </c>
      <c r="M63" s="27">
        <f t="shared" si="0"/>
        <v>0</v>
      </c>
      <c r="P63" s="28"/>
      <c r="U63" s="28"/>
      <c r="V63" s="28"/>
    </row>
    <row r="64" spans="1:36">
      <c r="A64" s="20" t="s">
        <v>1710</v>
      </c>
      <c r="B64" s="21" t="s">
        <v>1764</v>
      </c>
      <c r="C64" s="21" t="s">
        <v>793</v>
      </c>
      <c r="D64" s="29"/>
      <c r="E64" s="23"/>
      <c r="F64" s="24"/>
      <c r="G64" s="25" t="s">
        <v>405</v>
      </c>
      <c r="H64" s="26"/>
      <c r="I64" s="25" t="s">
        <v>81</v>
      </c>
      <c r="M64" s="27">
        <f t="shared" si="0"/>
        <v>0</v>
      </c>
      <c r="P64" s="28"/>
      <c r="U64" s="28"/>
      <c r="V64" s="28"/>
    </row>
    <row r="65" spans="1:22">
      <c r="A65" s="20" t="s">
        <v>1710</v>
      </c>
      <c r="B65" s="21" t="s">
        <v>787</v>
      </c>
      <c r="C65" s="21" t="s">
        <v>788</v>
      </c>
      <c r="D65" s="29"/>
      <c r="E65" s="23"/>
      <c r="F65" s="24"/>
      <c r="G65" s="25" t="s">
        <v>408</v>
      </c>
      <c r="H65" s="26"/>
      <c r="I65" s="25" t="s">
        <v>370</v>
      </c>
      <c r="M65" s="27">
        <f t="shared" si="0"/>
        <v>0</v>
      </c>
      <c r="P65" s="28"/>
      <c r="U65" s="28"/>
      <c r="V65" s="28"/>
    </row>
    <row r="66" spans="1:22">
      <c r="A66" s="20" t="s">
        <v>1710</v>
      </c>
      <c r="B66" s="21" t="s">
        <v>782</v>
      </c>
      <c r="C66" s="21" t="s">
        <v>783</v>
      </c>
      <c r="D66" s="29"/>
      <c r="E66" s="23"/>
      <c r="F66" s="24"/>
      <c r="G66" s="25" t="s">
        <v>405</v>
      </c>
      <c r="H66" s="26"/>
      <c r="I66" s="25" t="s">
        <v>81</v>
      </c>
      <c r="M66" s="27">
        <f t="shared" si="0"/>
        <v>0</v>
      </c>
      <c r="P66" s="28"/>
      <c r="U66" s="28"/>
      <c r="V66" s="28"/>
    </row>
    <row r="67" spans="1:22">
      <c r="A67" s="20" t="s">
        <v>1710</v>
      </c>
      <c r="B67" s="21" t="s">
        <v>734</v>
      </c>
      <c r="C67" s="21" t="s">
        <v>1765</v>
      </c>
      <c r="D67" s="29"/>
      <c r="E67" s="23"/>
      <c r="F67" s="24"/>
      <c r="G67" s="21" t="s">
        <v>400</v>
      </c>
      <c r="H67" s="26"/>
      <c r="I67" s="25" t="s">
        <v>370</v>
      </c>
      <c r="M67" s="27">
        <f t="shared" si="0"/>
        <v>0</v>
      </c>
      <c r="P67" s="28"/>
      <c r="U67" s="28"/>
      <c r="V67" s="28"/>
    </row>
    <row r="68" spans="1:22">
      <c r="A68" s="20" t="s">
        <v>1710</v>
      </c>
      <c r="B68" s="21" t="s">
        <v>809</v>
      </c>
      <c r="C68" s="21" t="s">
        <v>1766</v>
      </c>
      <c r="D68" s="29"/>
      <c r="E68" s="23"/>
      <c r="F68" s="24"/>
      <c r="G68" s="21" t="s">
        <v>405</v>
      </c>
      <c r="H68" s="26"/>
      <c r="I68" s="25" t="s">
        <v>81</v>
      </c>
      <c r="M68" s="27">
        <f t="shared" si="0"/>
        <v>0</v>
      </c>
      <c r="P68" s="28"/>
      <c r="U68" s="33"/>
      <c r="V68" s="28"/>
    </row>
    <row r="69" spans="1:22">
      <c r="A69" s="20" t="s">
        <v>1710</v>
      </c>
      <c r="B69" s="21" t="s">
        <v>805</v>
      </c>
      <c r="C69" s="21" t="s">
        <v>1767</v>
      </c>
      <c r="D69" s="29"/>
      <c r="E69" s="23"/>
      <c r="F69" s="24"/>
      <c r="G69" s="21" t="s">
        <v>405</v>
      </c>
      <c r="H69" s="26"/>
      <c r="I69" s="25" t="s">
        <v>81</v>
      </c>
      <c r="M69" s="27">
        <f t="shared" si="0"/>
        <v>0</v>
      </c>
      <c r="P69" s="28"/>
      <c r="U69" s="33"/>
      <c r="V69" s="28"/>
    </row>
    <row r="70" spans="1:22">
      <c r="A70" s="20" t="s">
        <v>1710</v>
      </c>
      <c r="B70" s="21" t="s">
        <v>713</v>
      </c>
      <c r="C70" s="21" t="s">
        <v>714</v>
      </c>
      <c r="D70" s="29"/>
      <c r="E70" s="36" t="s">
        <v>355</v>
      </c>
      <c r="F70" s="24"/>
      <c r="G70" s="21" t="s">
        <v>405</v>
      </c>
      <c r="H70" s="26"/>
      <c r="I70" s="25" t="s">
        <v>372</v>
      </c>
      <c r="M70" s="27">
        <f t="shared" si="0"/>
        <v>0</v>
      </c>
      <c r="P70" s="28"/>
      <c r="U70" s="33"/>
      <c r="V70" s="28"/>
    </row>
    <row r="71" spans="1:22">
      <c r="A71" s="20" t="s">
        <v>1710</v>
      </c>
      <c r="B71" s="21" t="s">
        <v>717</v>
      </c>
      <c r="C71" s="21" t="s">
        <v>718</v>
      </c>
      <c r="D71" s="29"/>
      <c r="E71" s="36" t="s">
        <v>355</v>
      </c>
      <c r="F71" s="24"/>
      <c r="G71" s="21" t="s">
        <v>404</v>
      </c>
      <c r="H71" s="26"/>
      <c r="I71" s="25" t="s">
        <v>372</v>
      </c>
      <c r="M71" s="27">
        <f t="shared" si="0"/>
        <v>0</v>
      </c>
      <c r="P71" s="28"/>
      <c r="U71" s="33"/>
      <c r="V71" s="28"/>
    </row>
    <row r="72" spans="1:22">
      <c r="A72" s="20" t="s">
        <v>1710</v>
      </c>
      <c r="B72" s="21" t="s">
        <v>721</v>
      </c>
      <c r="C72" s="21" t="s">
        <v>722</v>
      </c>
      <c r="D72" s="29"/>
      <c r="E72" s="36" t="s">
        <v>355</v>
      </c>
      <c r="F72" s="24"/>
      <c r="G72" s="25" t="s">
        <v>404</v>
      </c>
      <c r="H72" s="26"/>
      <c r="I72" s="25" t="s">
        <v>372</v>
      </c>
      <c r="M72" s="27">
        <f t="shared" si="0"/>
        <v>0</v>
      </c>
      <c r="P72" s="28"/>
      <c r="U72" s="33"/>
      <c r="V72" s="28"/>
    </row>
    <row r="73" spans="1:22">
      <c r="A73" s="20" t="s">
        <v>1710</v>
      </c>
      <c r="B73" s="21" t="s">
        <v>657</v>
      </c>
      <c r="C73" s="21" t="s">
        <v>658</v>
      </c>
      <c r="D73" s="29"/>
      <c r="E73" s="36" t="s">
        <v>355</v>
      </c>
      <c r="F73" s="24"/>
      <c r="G73" s="26" t="s">
        <v>241</v>
      </c>
      <c r="H73" s="26"/>
      <c r="I73" s="25" t="s">
        <v>372</v>
      </c>
      <c r="M73" s="27">
        <f t="shared" si="0"/>
        <v>0</v>
      </c>
      <c r="P73" s="28"/>
      <c r="U73" s="28"/>
      <c r="V73" s="28"/>
    </row>
    <row r="74" spans="1:22">
      <c r="A74" s="20" t="s">
        <v>1710</v>
      </c>
      <c r="B74" s="21" t="s">
        <v>778</v>
      </c>
      <c r="C74" s="21" t="s">
        <v>779</v>
      </c>
      <c r="D74" s="29" t="s">
        <v>99</v>
      </c>
      <c r="E74" s="23"/>
      <c r="F74" s="24"/>
      <c r="G74" s="25" t="s">
        <v>402</v>
      </c>
      <c r="H74" s="26" t="s">
        <v>388</v>
      </c>
      <c r="I74" s="25"/>
      <c r="J74" s="1"/>
      <c r="K74" s="1" t="s">
        <v>352</v>
      </c>
      <c r="M74" s="27">
        <f t="shared" si="0"/>
        <v>0</v>
      </c>
      <c r="P74" s="28"/>
      <c r="U74" s="1"/>
      <c r="V74" s="28"/>
    </row>
    <row r="75" spans="1:22">
      <c r="A75" s="20" t="s">
        <v>1710</v>
      </c>
      <c r="B75" s="21" t="s">
        <v>774</v>
      </c>
      <c r="C75" s="21" t="s">
        <v>775</v>
      </c>
      <c r="D75" s="29" t="s">
        <v>99</v>
      </c>
      <c r="E75" s="23"/>
      <c r="F75" s="24"/>
      <c r="G75" s="25" t="s">
        <v>402</v>
      </c>
      <c r="H75" s="26" t="s">
        <v>388</v>
      </c>
      <c r="I75" s="25"/>
      <c r="M75" s="27">
        <f t="shared" si="0"/>
        <v>0</v>
      </c>
      <c r="P75" s="28"/>
      <c r="U75" s="28"/>
      <c r="V75" s="28"/>
    </row>
    <row r="76" spans="1:22">
      <c r="A76" s="20" t="s">
        <v>1710</v>
      </c>
      <c r="B76" s="21" t="s">
        <v>770</v>
      </c>
      <c r="C76" s="21" t="s">
        <v>1768</v>
      </c>
      <c r="D76" s="29" t="s">
        <v>99</v>
      </c>
      <c r="E76" s="23"/>
      <c r="F76" s="24"/>
      <c r="G76" s="25" t="s">
        <v>402</v>
      </c>
      <c r="H76" s="26" t="s">
        <v>388</v>
      </c>
      <c r="I76" s="25"/>
      <c r="M76" s="27">
        <f t="shared" si="0"/>
        <v>0</v>
      </c>
      <c r="P76" s="28"/>
      <c r="U76" s="28"/>
      <c r="V76" s="28"/>
    </row>
    <row r="77" spans="1:22">
      <c r="A77" s="20" t="s">
        <v>1710</v>
      </c>
      <c r="B77" s="21" t="s">
        <v>766</v>
      </c>
      <c r="C77" s="21" t="s">
        <v>767</v>
      </c>
      <c r="D77" s="29" t="s">
        <v>99</v>
      </c>
      <c r="E77" s="23"/>
      <c r="F77" s="24"/>
      <c r="G77" s="25" t="s">
        <v>402</v>
      </c>
      <c r="H77" s="26" t="s">
        <v>388</v>
      </c>
      <c r="I77" s="25"/>
      <c r="M77" s="27">
        <f t="shared" si="0"/>
        <v>0</v>
      </c>
      <c r="P77" s="28"/>
      <c r="U77" s="28"/>
      <c r="V77" s="28"/>
    </row>
    <row r="78" spans="1:22">
      <c r="A78" s="20" t="s">
        <v>1710</v>
      </c>
      <c r="B78" s="21" t="s">
        <v>761</v>
      </c>
      <c r="C78" s="21" t="s">
        <v>762</v>
      </c>
      <c r="D78" s="29" t="s">
        <v>99</v>
      </c>
      <c r="E78" s="23"/>
      <c r="F78" s="24"/>
      <c r="G78" s="25" t="s">
        <v>402</v>
      </c>
      <c r="H78" s="26" t="s">
        <v>388</v>
      </c>
      <c r="I78" s="25"/>
      <c r="M78" s="27">
        <f t="shared" si="0"/>
        <v>0</v>
      </c>
      <c r="P78" s="28"/>
      <c r="U78" s="28"/>
      <c r="V78" s="28"/>
    </row>
    <row r="79" spans="1:22">
      <c r="A79" s="37" t="s">
        <v>1769</v>
      </c>
      <c r="B79" s="21" t="s">
        <v>850</v>
      </c>
      <c r="C79" s="21" t="s">
        <v>851</v>
      </c>
      <c r="D79" s="22"/>
      <c r="E79" s="23"/>
      <c r="F79" s="24"/>
      <c r="G79" s="25" t="s">
        <v>387</v>
      </c>
      <c r="H79" s="26"/>
      <c r="I79" s="25" t="s">
        <v>87</v>
      </c>
      <c r="J79" s="1"/>
      <c r="K79" s="1" t="s">
        <v>352</v>
      </c>
      <c r="M79" s="27">
        <f t="shared" si="0"/>
        <v>0</v>
      </c>
      <c r="P79" s="28"/>
      <c r="U79" s="28"/>
      <c r="V79" s="28"/>
    </row>
    <row r="80" spans="1:22">
      <c r="A80" s="37" t="s">
        <v>1769</v>
      </c>
      <c r="B80" s="21" t="s">
        <v>859</v>
      </c>
      <c r="C80" s="21" t="s">
        <v>860</v>
      </c>
      <c r="D80" s="22"/>
      <c r="E80" s="23"/>
      <c r="F80" s="24"/>
      <c r="G80" s="25" t="s">
        <v>387</v>
      </c>
      <c r="H80" s="26"/>
      <c r="I80" s="25" t="s">
        <v>81</v>
      </c>
      <c r="M80" s="27">
        <f t="shared" si="0"/>
        <v>0</v>
      </c>
      <c r="P80" s="28"/>
      <c r="U80" s="28"/>
      <c r="V80" s="28"/>
    </row>
    <row r="81" spans="1:22">
      <c r="A81" s="37" t="s">
        <v>1769</v>
      </c>
      <c r="B81" s="21" t="s">
        <v>866</v>
      </c>
      <c r="C81" s="21" t="s">
        <v>867</v>
      </c>
      <c r="D81" s="22"/>
      <c r="E81" s="23"/>
      <c r="F81" s="24"/>
      <c r="G81" s="25" t="s">
        <v>241</v>
      </c>
      <c r="H81" s="30"/>
      <c r="I81" s="25" t="s">
        <v>134</v>
      </c>
      <c r="M81" s="27">
        <f t="shared" si="0"/>
        <v>0</v>
      </c>
      <c r="P81" s="28"/>
      <c r="U81" s="28"/>
      <c r="V81" s="28"/>
    </row>
    <row r="82" spans="1:22">
      <c r="A82" s="37" t="s">
        <v>1769</v>
      </c>
      <c r="B82" s="21" t="s">
        <v>844</v>
      </c>
      <c r="C82" s="21" t="s">
        <v>1770</v>
      </c>
      <c r="D82" s="29" t="s">
        <v>99</v>
      </c>
      <c r="E82" s="23"/>
      <c r="F82" s="24"/>
      <c r="G82" s="25" t="s">
        <v>351</v>
      </c>
      <c r="H82" s="30" t="s">
        <v>392</v>
      </c>
      <c r="I82" s="25"/>
      <c r="M82" s="27">
        <f t="shared" si="0"/>
        <v>0</v>
      </c>
      <c r="P82" s="28"/>
      <c r="U82" s="28"/>
      <c r="V82" s="28"/>
    </row>
    <row r="83" spans="1:22">
      <c r="A83" s="37" t="s">
        <v>1769</v>
      </c>
      <c r="B83" s="21" t="s">
        <v>662</v>
      </c>
      <c r="C83" s="21" t="s">
        <v>1771</v>
      </c>
      <c r="D83" s="22"/>
      <c r="E83" s="38"/>
      <c r="F83" s="24"/>
      <c r="G83" s="21" t="s">
        <v>384</v>
      </c>
      <c r="H83" s="26" t="s">
        <v>241</v>
      </c>
      <c r="I83" s="25"/>
      <c r="M83" s="27">
        <f t="shared" si="0"/>
        <v>0</v>
      </c>
      <c r="P83" s="28"/>
      <c r="U83" s="28"/>
      <c r="V83" s="28"/>
    </row>
    <row r="84" spans="1:22">
      <c r="A84" s="37" t="s">
        <v>1769</v>
      </c>
      <c r="B84" s="21" t="s">
        <v>474</v>
      </c>
      <c r="C84" s="21" t="s">
        <v>1772</v>
      </c>
      <c r="D84" s="29" t="s">
        <v>90</v>
      </c>
      <c r="E84" s="23"/>
      <c r="F84" s="24"/>
      <c r="G84" s="26" t="s">
        <v>241</v>
      </c>
      <c r="H84" s="26"/>
      <c r="I84" s="25" t="s">
        <v>242</v>
      </c>
      <c r="M84" s="27">
        <f t="shared" si="0"/>
        <v>0</v>
      </c>
      <c r="P84" s="28"/>
      <c r="U84" s="33"/>
      <c r="V84" s="28"/>
    </row>
    <row r="85" spans="1:22">
      <c r="A85" s="37" t="s">
        <v>1769</v>
      </c>
      <c r="B85" s="21" t="s">
        <v>824</v>
      </c>
      <c r="C85" s="21" t="s">
        <v>825</v>
      </c>
      <c r="D85" s="29"/>
      <c r="E85" s="23"/>
      <c r="F85" s="24"/>
      <c r="G85" s="25" t="s">
        <v>399</v>
      </c>
      <c r="H85" s="26" t="s">
        <v>241</v>
      </c>
      <c r="I85" s="25"/>
      <c r="J85" s="1"/>
      <c r="K85" s="1" t="s">
        <v>352</v>
      </c>
      <c r="M85" s="27">
        <f t="shared" si="0"/>
        <v>0</v>
      </c>
      <c r="P85" s="28"/>
      <c r="U85" s="1"/>
      <c r="V85" s="28"/>
    </row>
    <row r="86" spans="1:22">
      <c r="A86" s="37" t="s">
        <v>1769</v>
      </c>
      <c r="B86" s="21" t="s">
        <v>829</v>
      </c>
      <c r="C86" s="21" t="s">
        <v>830</v>
      </c>
      <c r="D86" s="29"/>
      <c r="E86" s="23"/>
      <c r="F86" s="24"/>
      <c r="G86" s="25" t="s">
        <v>399</v>
      </c>
      <c r="H86" s="26" t="s">
        <v>241</v>
      </c>
      <c r="I86" s="25"/>
      <c r="M86" s="27">
        <f t="shared" si="0"/>
        <v>0</v>
      </c>
      <c r="P86" s="28"/>
      <c r="U86" s="28"/>
      <c r="V86" s="28"/>
    </row>
    <row r="87" spans="1:22">
      <c r="A87" s="37" t="s">
        <v>1769</v>
      </c>
      <c r="B87" s="21" t="s">
        <v>833</v>
      </c>
      <c r="C87" s="21" t="s">
        <v>834</v>
      </c>
      <c r="D87" s="29"/>
      <c r="E87" s="23"/>
      <c r="F87" s="24"/>
      <c r="G87" s="25" t="s">
        <v>96</v>
      </c>
      <c r="H87" s="26" t="s">
        <v>399</v>
      </c>
      <c r="I87" s="25"/>
      <c r="M87" s="27">
        <f t="shared" si="0"/>
        <v>0</v>
      </c>
      <c r="P87" s="28"/>
      <c r="U87" s="28"/>
      <c r="V87" s="28"/>
    </row>
    <row r="88" spans="1:22">
      <c r="A88" s="37" t="s">
        <v>1769</v>
      </c>
      <c r="B88" s="21" t="s">
        <v>874</v>
      </c>
      <c r="C88" s="21" t="s">
        <v>1773</v>
      </c>
      <c r="D88" s="29"/>
      <c r="E88" s="23"/>
      <c r="F88" s="24"/>
      <c r="G88" s="25" t="s">
        <v>400</v>
      </c>
      <c r="H88" s="26"/>
      <c r="I88" s="25" t="s">
        <v>81</v>
      </c>
      <c r="M88" s="27">
        <f t="shared" si="0"/>
        <v>0</v>
      </c>
      <c r="P88" s="28"/>
      <c r="U88" s="28"/>
      <c r="V88" s="28"/>
    </row>
    <row r="89" spans="1:22">
      <c r="A89" s="39" t="s">
        <v>1774</v>
      </c>
      <c r="B89" s="21" t="s">
        <v>935</v>
      </c>
      <c r="C89" s="21" t="s">
        <v>936</v>
      </c>
      <c r="D89" s="29"/>
      <c r="E89" s="23"/>
      <c r="F89" s="24"/>
      <c r="G89" s="25" t="s">
        <v>379</v>
      </c>
      <c r="H89" s="26"/>
      <c r="I89" s="25" t="s">
        <v>370</v>
      </c>
      <c r="J89" s="1"/>
      <c r="K89" s="1" t="s">
        <v>352</v>
      </c>
      <c r="M89" s="27">
        <f t="shared" si="0"/>
        <v>0</v>
      </c>
      <c r="P89" s="28"/>
      <c r="U89" s="28"/>
      <c r="V89" s="28"/>
    </row>
    <row r="90" spans="1:22">
      <c r="A90" s="39" t="s">
        <v>1774</v>
      </c>
      <c r="B90" s="21" t="s">
        <v>906</v>
      </c>
      <c r="C90" s="21" t="s">
        <v>918</v>
      </c>
      <c r="D90" s="22"/>
      <c r="E90" s="23" t="s">
        <v>1755</v>
      </c>
      <c r="F90" s="24"/>
      <c r="G90" s="25" t="s">
        <v>86</v>
      </c>
      <c r="H90" s="26" t="s">
        <v>365</v>
      </c>
      <c r="I90" s="25"/>
      <c r="M90" s="27">
        <f t="shared" si="0"/>
        <v>0</v>
      </c>
      <c r="P90" s="28"/>
      <c r="U90" s="28"/>
      <c r="V90" s="28"/>
    </row>
    <row r="91" spans="1:22">
      <c r="A91" s="39" t="s">
        <v>1774</v>
      </c>
      <c r="B91" s="21" t="s">
        <v>943</v>
      </c>
      <c r="C91" s="21" t="s">
        <v>1775</v>
      </c>
      <c r="D91" s="29"/>
      <c r="E91" s="23"/>
      <c r="F91" s="24"/>
      <c r="G91" s="25" t="s">
        <v>405</v>
      </c>
      <c r="H91" s="26"/>
      <c r="I91" s="25" t="s">
        <v>81</v>
      </c>
      <c r="M91" s="27">
        <f t="shared" si="0"/>
        <v>0</v>
      </c>
      <c r="P91" s="28"/>
      <c r="U91" s="28"/>
      <c r="V91" s="28"/>
    </row>
    <row r="92" spans="1:22">
      <c r="A92" s="39" t="s">
        <v>1774</v>
      </c>
      <c r="B92" s="21" t="s">
        <v>947</v>
      </c>
      <c r="C92" s="21" t="s">
        <v>948</v>
      </c>
      <c r="D92" s="29"/>
      <c r="E92" s="23" t="s">
        <v>1755</v>
      </c>
      <c r="F92" s="24"/>
      <c r="G92" s="25" t="s">
        <v>86</v>
      </c>
      <c r="H92" s="26" t="s">
        <v>397</v>
      </c>
      <c r="I92" s="25"/>
      <c r="M92" s="27">
        <f t="shared" si="0"/>
        <v>0</v>
      </c>
      <c r="P92" s="28"/>
      <c r="U92" s="28"/>
      <c r="V92" s="28"/>
    </row>
    <row r="93" spans="1:22">
      <c r="A93" s="39" t="s">
        <v>1774</v>
      </c>
      <c r="B93" s="21" t="s">
        <v>955</v>
      </c>
      <c r="C93" s="21" t="s">
        <v>1776</v>
      </c>
      <c r="D93" s="29" t="s">
        <v>1777</v>
      </c>
      <c r="E93" s="23"/>
      <c r="F93" s="24"/>
      <c r="G93" s="25" t="s">
        <v>96</v>
      </c>
      <c r="H93" s="26"/>
      <c r="I93" s="25" t="s">
        <v>63</v>
      </c>
      <c r="M93" s="27">
        <f t="shared" si="0"/>
        <v>0</v>
      </c>
      <c r="P93" s="28"/>
      <c r="U93" s="28"/>
      <c r="V93" s="28"/>
    </row>
    <row r="94" spans="1:22">
      <c r="A94" s="39" t="s">
        <v>1774</v>
      </c>
      <c r="B94" s="21" t="s">
        <v>960</v>
      </c>
      <c r="C94" s="21" t="s">
        <v>961</v>
      </c>
      <c r="D94" s="29"/>
      <c r="E94" s="23"/>
      <c r="F94" s="24"/>
      <c r="G94" s="25" t="s">
        <v>379</v>
      </c>
      <c r="H94" s="26"/>
      <c r="I94" s="25" t="s">
        <v>370</v>
      </c>
      <c r="M94" s="27">
        <f t="shared" si="0"/>
        <v>0</v>
      </c>
      <c r="P94" s="28"/>
      <c r="U94" s="28"/>
      <c r="V94" s="28"/>
    </row>
    <row r="95" spans="1:22">
      <c r="A95" s="39" t="s">
        <v>1774</v>
      </c>
      <c r="B95" s="21" t="s">
        <v>920</v>
      </c>
      <c r="C95" s="21" t="s">
        <v>921</v>
      </c>
      <c r="D95" s="29"/>
      <c r="E95" s="23"/>
      <c r="F95" s="24"/>
      <c r="G95" s="25" t="s">
        <v>399</v>
      </c>
      <c r="H95" s="26" t="s">
        <v>400</v>
      </c>
      <c r="I95" s="25"/>
      <c r="M95" s="27">
        <f t="shared" si="0"/>
        <v>0</v>
      </c>
      <c r="P95" s="28"/>
      <c r="U95" s="28"/>
      <c r="V95" s="28"/>
    </row>
    <row r="96" spans="1:22">
      <c r="A96" s="39" t="s">
        <v>1774</v>
      </c>
      <c r="B96" s="21" t="s">
        <v>966</v>
      </c>
      <c r="C96" s="21" t="s">
        <v>967</v>
      </c>
      <c r="D96" s="29"/>
      <c r="E96" s="23"/>
      <c r="F96" s="24"/>
      <c r="G96" s="25" t="s">
        <v>405</v>
      </c>
      <c r="H96" s="26" t="s">
        <v>390</v>
      </c>
      <c r="I96" s="25"/>
      <c r="M96" s="27">
        <f t="shared" si="0"/>
        <v>0</v>
      </c>
      <c r="P96" s="28"/>
      <c r="U96" s="28"/>
      <c r="V96" s="28"/>
    </row>
    <row r="97" spans="1:22">
      <c r="A97" s="39" t="s">
        <v>1774</v>
      </c>
      <c r="B97" s="21" t="s">
        <v>888</v>
      </c>
      <c r="C97" s="21" t="s">
        <v>889</v>
      </c>
      <c r="D97" s="29"/>
      <c r="E97" s="23"/>
      <c r="F97" s="24"/>
      <c r="G97" s="25" t="s">
        <v>388</v>
      </c>
      <c r="H97" s="26" t="s">
        <v>241</v>
      </c>
      <c r="I97" s="25"/>
      <c r="M97" s="27">
        <f t="shared" si="0"/>
        <v>0</v>
      </c>
      <c r="P97" s="28"/>
      <c r="U97" s="28"/>
      <c r="V97" s="28"/>
    </row>
    <row r="98" spans="1:22">
      <c r="A98" s="39" t="s">
        <v>1774</v>
      </c>
      <c r="B98" s="21" t="s">
        <v>975</v>
      </c>
      <c r="C98" s="21" t="s">
        <v>1778</v>
      </c>
      <c r="D98" s="29" t="s">
        <v>1738</v>
      </c>
      <c r="E98" s="23"/>
      <c r="F98" s="24"/>
      <c r="G98" s="25" t="s">
        <v>398</v>
      </c>
      <c r="H98" s="26" t="s">
        <v>71</v>
      </c>
      <c r="I98" s="25"/>
      <c r="M98" s="27">
        <f t="shared" si="0"/>
        <v>0</v>
      </c>
      <c r="P98" s="28"/>
      <c r="U98" s="28"/>
      <c r="V98" s="28"/>
    </row>
    <row r="99" spans="1:22">
      <c r="A99" s="39" t="s">
        <v>1774</v>
      </c>
      <c r="B99" s="21" t="s">
        <v>983</v>
      </c>
      <c r="C99" s="21" t="s">
        <v>984</v>
      </c>
      <c r="D99" s="29"/>
      <c r="E99" s="23" t="s">
        <v>1755</v>
      </c>
      <c r="F99" s="24"/>
      <c r="G99" s="25" t="s">
        <v>86</v>
      </c>
      <c r="H99" s="26"/>
      <c r="I99" s="25" t="s">
        <v>134</v>
      </c>
      <c r="M99" s="27">
        <f t="shared" si="0"/>
        <v>0</v>
      </c>
      <c r="P99" s="28"/>
      <c r="U99" s="28"/>
      <c r="V99" s="28"/>
    </row>
    <row r="100" spans="1:22">
      <c r="A100" s="39" t="s">
        <v>1774</v>
      </c>
      <c r="B100" s="21" t="s">
        <v>988</v>
      </c>
      <c r="C100" s="21" t="s">
        <v>989</v>
      </c>
      <c r="D100" s="29"/>
      <c r="E100" s="23"/>
      <c r="F100" s="24"/>
      <c r="G100" s="25" t="s">
        <v>405</v>
      </c>
      <c r="H100" s="26" t="s">
        <v>408</v>
      </c>
      <c r="I100" s="25"/>
      <c r="M100" s="27">
        <f t="shared" si="0"/>
        <v>0</v>
      </c>
      <c r="P100" s="28"/>
      <c r="U100" s="28"/>
      <c r="V100" s="28"/>
    </row>
    <row r="101" spans="1:22">
      <c r="A101" s="39" t="s">
        <v>1774</v>
      </c>
      <c r="B101" s="21" t="s">
        <v>995</v>
      </c>
      <c r="C101" s="21" t="s">
        <v>996</v>
      </c>
      <c r="D101" s="29"/>
      <c r="E101" s="23"/>
      <c r="F101" s="24"/>
      <c r="G101" s="25" t="s">
        <v>379</v>
      </c>
      <c r="H101" s="26" t="s">
        <v>408</v>
      </c>
      <c r="I101" s="25"/>
      <c r="M101" s="27">
        <f t="shared" si="0"/>
        <v>0</v>
      </c>
      <c r="P101" s="28"/>
      <c r="U101" s="28"/>
      <c r="V101" s="28"/>
    </row>
    <row r="102" spans="1:22">
      <c r="A102" s="40" t="s">
        <v>1779</v>
      </c>
      <c r="B102" s="21" t="s">
        <v>1017</v>
      </c>
      <c r="C102" s="21" t="s">
        <v>1018</v>
      </c>
      <c r="D102" s="22"/>
      <c r="E102" s="23"/>
      <c r="F102" s="24"/>
      <c r="G102" s="25" t="s">
        <v>397</v>
      </c>
      <c r="H102" s="26"/>
      <c r="I102" s="25" t="s">
        <v>373</v>
      </c>
      <c r="M102" s="27">
        <f t="shared" si="0"/>
        <v>0</v>
      </c>
      <c r="P102" s="28"/>
      <c r="U102" s="28"/>
      <c r="V102" s="28"/>
    </row>
    <row r="103" spans="1:22">
      <c r="A103" s="40" t="s">
        <v>1779</v>
      </c>
      <c r="B103" s="21" t="s">
        <v>1026</v>
      </c>
      <c r="C103" s="21" t="s">
        <v>1780</v>
      </c>
      <c r="D103" s="22"/>
      <c r="E103" s="23"/>
      <c r="F103" s="24"/>
      <c r="G103" s="25" t="s">
        <v>397</v>
      </c>
      <c r="H103" s="26" t="s">
        <v>241</v>
      </c>
      <c r="I103" s="25"/>
      <c r="M103" s="27">
        <f t="shared" si="0"/>
        <v>0</v>
      </c>
      <c r="P103" s="28"/>
      <c r="U103" s="28"/>
      <c r="V103" s="28"/>
    </row>
    <row r="104" spans="1:22">
      <c r="A104" s="40" t="s">
        <v>1779</v>
      </c>
      <c r="B104" s="21" t="s">
        <v>1032</v>
      </c>
      <c r="C104" s="21" t="s">
        <v>1033</v>
      </c>
      <c r="D104" s="29" t="s">
        <v>99</v>
      </c>
      <c r="E104" s="23"/>
      <c r="F104" s="24"/>
      <c r="G104" s="25" t="s">
        <v>351</v>
      </c>
      <c r="H104" s="26"/>
      <c r="I104" s="25" t="s">
        <v>87</v>
      </c>
      <c r="M104" s="27">
        <f t="shared" si="0"/>
        <v>0</v>
      </c>
      <c r="P104" s="28"/>
      <c r="U104" s="28"/>
      <c r="V104" s="28"/>
    </row>
    <row r="105" spans="1:22">
      <c r="A105" s="40" t="s">
        <v>1779</v>
      </c>
      <c r="B105" s="21" t="s">
        <v>1040</v>
      </c>
      <c r="C105" s="21" t="s">
        <v>1041</v>
      </c>
      <c r="D105" s="29" t="s">
        <v>90</v>
      </c>
      <c r="E105" s="23"/>
      <c r="F105" s="24"/>
      <c r="G105" s="25" t="s">
        <v>361</v>
      </c>
      <c r="H105" s="26"/>
      <c r="I105" s="25" t="s">
        <v>134</v>
      </c>
      <c r="J105" s="1"/>
      <c r="K105" s="1" t="s">
        <v>352</v>
      </c>
      <c r="M105" s="27">
        <f t="shared" si="0"/>
        <v>0</v>
      </c>
      <c r="P105" s="28"/>
      <c r="U105" s="28"/>
      <c r="V105" s="28"/>
    </row>
    <row r="106" spans="1:22">
      <c r="A106" s="40" t="s">
        <v>1779</v>
      </c>
      <c r="B106" s="21" t="s">
        <v>1048</v>
      </c>
      <c r="C106" s="21" t="s">
        <v>1781</v>
      </c>
      <c r="D106" s="29"/>
      <c r="E106" s="23"/>
      <c r="F106" s="24"/>
      <c r="G106" s="25" t="s">
        <v>405</v>
      </c>
      <c r="H106" s="26"/>
      <c r="I106" s="25" t="s">
        <v>81</v>
      </c>
      <c r="J106" s="1"/>
      <c r="K106" s="1" t="s">
        <v>352</v>
      </c>
      <c r="M106" s="27">
        <f t="shared" si="0"/>
        <v>0</v>
      </c>
      <c r="P106" s="28"/>
      <c r="U106" s="28"/>
      <c r="V106" s="28"/>
    </row>
    <row r="107" spans="1:22">
      <c r="A107" s="40" t="s">
        <v>1779</v>
      </c>
      <c r="B107" s="21" t="s">
        <v>1054</v>
      </c>
      <c r="C107" s="21" t="s">
        <v>1055</v>
      </c>
      <c r="D107" s="29" t="s">
        <v>90</v>
      </c>
      <c r="E107" s="23"/>
      <c r="F107" s="24"/>
      <c r="G107" s="25" t="s">
        <v>397</v>
      </c>
      <c r="H107" s="25"/>
      <c r="I107" s="25" t="s">
        <v>63</v>
      </c>
      <c r="M107" s="27">
        <f t="shared" si="0"/>
        <v>0</v>
      </c>
      <c r="P107" s="28"/>
      <c r="U107" s="28"/>
      <c r="V107" s="28"/>
    </row>
    <row r="108" spans="1:22">
      <c r="A108" s="40" t="s">
        <v>1779</v>
      </c>
      <c r="B108" s="21" t="s">
        <v>1061</v>
      </c>
      <c r="C108" s="21" t="s">
        <v>1062</v>
      </c>
      <c r="D108" s="29"/>
      <c r="E108" s="23"/>
      <c r="F108" s="24"/>
      <c r="G108" s="25" t="s">
        <v>405</v>
      </c>
      <c r="H108" s="26"/>
      <c r="I108" s="25" t="s">
        <v>370</v>
      </c>
      <c r="M108" s="27">
        <f t="shared" si="0"/>
        <v>0</v>
      </c>
      <c r="P108" s="28"/>
      <c r="U108" s="28"/>
      <c r="V108" s="28"/>
    </row>
    <row r="109" spans="1:22">
      <c r="A109" s="40" t="s">
        <v>1779</v>
      </c>
      <c r="B109" s="21" t="s">
        <v>1005</v>
      </c>
      <c r="C109" s="21" t="s">
        <v>1782</v>
      </c>
      <c r="D109" s="29"/>
      <c r="E109" s="23" t="s">
        <v>1755</v>
      </c>
      <c r="F109" s="24"/>
      <c r="G109" s="25" t="s">
        <v>74</v>
      </c>
      <c r="H109" s="26" t="s">
        <v>241</v>
      </c>
      <c r="I109" s="25"/>
      <c r="M109" s="27">
        <f t="shared" si="0"/>
        <v>0</v>
      </c>
      <c r="P109" s="28"/>
      <c r="U109" s="28"/>
      <c r="V109" s="28"/>
    </row>
    <row r="110" spans="1:22">
      <c r="A110" s="40" t="s">
        <v>1779</v>
      </c>
      <c r="B110" s="21" t="s">
        <v>1783</v>
      </c>
      <c r="C110" s="21" t="s">
        <v>1068</v>
      </c>
      <c r="D110" s="29"/>
      <c r="E110" s="23"/>
      <c r="F110" s="24"/>
      <c r="G110" s="25" t="s">
        <v>408</v>
      </c>
      <c r="H110" s="26"/>
      <c r="I110" s="25" t="s">
        <v>81</v>
      </c>
      <c r="M110" s="27">
        <f t="shared" si="0"/>
        <v>0</v>
      </c>
      <c r="P110" s="28"/>
      <c r="U110" s="28"/>
      <c r="V110" s="28"/>
    </row>
    <row r="111" spans="1:22">
      <c r="A111" s="40" t="s">
        <v>1779</v>
      </c>
      <c r="B111" s="21" t="s">
        <v>1784</v>
      </c>
      <c r="C111" s="21" t="s">
        <v>1011</v>
      </c>
      <c r="D111" s="29"/>
      <c r="E111" s="23"/>
      <c r="F111" s="24"/>
      <c r="G111" s="25" t="s">
        <v>241</v>
      </c>
      <c r="H111" s="26"/>
      <c r="I111" s="25" t="s">
        <v>373</v>
      </c>
      <c r="M111" s="27">
        <f t="shared" si="0"/>
        <v>0</v>
      </c>
      <c r="P111" s="28"/>
      <c r="U111" s="28"/>
      <c r="V111" s="28"/>
    </row>
    <row r="112" spans="1:22">
      <c r="A112" s="40" t="s">
        <v>1779</v>
      </c>
      <c r="B112" s="21" t="s">
        <v>1074</v>
      </c>
      <c r="C112" s="21" t="s">
        <v>1075</v>
      </c>
      <c r="D112" s="29"/>
      <c r="E112" s="23"/>
      <c r="F112" s="24"/>
      <c r="G112" s="25" t="s">
        <v>387</v>
      </c>
      <c r="H112" s="25"/>
      <c r="I112" s="25" t="s">
        <v>63</v>
      </c>
      <c r="M112" s="27">
        <f t="shared" si="0"/>
        <v>0</v>
      </c>
      <c r="P112" s="28"/>
      <c r="U112" s="28"/>
      <c r="V112" s="28"/>
    </row>
    <row r="113" spans="1:22">
      <c r="A113" s="40" t="s">
        <v>1779</v>
      </c>
      <c r="B113" s="21" t="s">
        <v>1080</v>
      </c>
      <c r="C113" s="21" t="s">
        <v>1081</v>
      </c>
      <c r="D113" s="34" t="s">
        <v>49</v>
      </c>
      <c r="E113" s="23"/>
      <c r="F113" s="24"/>
      <c r="G113" s="25" t="s">
        <v>385</v>
      </c>
      <c r="H113" s="26"/>
      <c r="I113" s="25" t="s">
        <v>134</v>
      </c>
      <c r="M113" s="27">
        <f t="shared" si="0"/>
        <v>0</v>
      </c>
      <c r="P113" s="28"/>
      <c r="U113" s="28"/>
      <c r="V113" s="28"/>
    </row>
    <row r="114" spans="1:22">
      <c r="A114" s="40" t="s">
        <v>1779</v>
      </c>
      <c r="B114" s="21" t="s">
        <v>1090</v>
      </c>
      <c r="C114" s="21" t="s">
        <v>1091</v>
      </c>
      <c r="D114" s="29"/>
      <c r="E114" s="23"/>
      <c r="F114" s="24"/>
      <c r="G114" s="25" t="s">
        <v>405</v>
      </c>
      <c r="H114" s="26"/>
      <c r="I114" s="25" t="s">
        <v>81</v>
      </c>
      <c r="M114" s="27">
        <f t="shared" si="0"/>
        <v>0</v>
      </c>
      <c r="P114" s="28"/>
      <c r="U114" s="28"/>
      <c r="V114" s="28"/>
    </row>
    <row r="115" spans="1:22">
      <c r="A115" s="40" t="s">
        <v>1779</v>
      </c>
      <c r="B115" s="21" t="s">
        <v>1094</v>
      </c>
      <c r="C115" s="21" t="s">
        <v>1095</v>
      </c>
      <c r="D115" s="29"/>
      <c r="E115" s="23" t="s">
        <v>1755</v>
      </c>
      <c r="F115" s="24"/>
      <c r="G115" s="25" t="s">
        <v>74</v>
      </c>
      <c r="H115" s="25" t="s">
        <v>241</v>
      </c>
      <c r="I115" s="25"/>
      <c r="M115" s="27">
        <f t="shared" si="0"/>
        <v>0</v>
      </c>
      <c r="P115" s="28"/>
      <c r="U115" s="28"/>
      <c r="V115" s="28"/>
    </row>
    <row r="116" spans="1:22">
      <c r="A116" s="40" t="s">
        <v>1779</v>
      </c>
      <c r="B116" s="21" t="s">
        <v>1098</v>
      </c>
      <c r="C116" s="21" t="s">
        <v>1099</v>
      </c>
      <c r="D116" s="29"/>
      <c r="E116" s="23"/>
      <c r="F116" s="24"/>
      <c r="G116" s="25" t="s">
        <v>405</v>
      </c>
      <c r="H116" s="26"/>
      <c r="I116" s="25" t="s">
        <v>370</v>
      </c>
      <c r="M116" s="27">
        <f t="shared" si="0"/>
        <v>0</v>
      </c>
      <c r="P116" s="28"/>
      <c r="U116" s="28"/>
      <c r="V116" s="28"/>
    </row>
    <row r="117" spans="1:22">
      <c r="A117" s="40" t="s">
        <v>1779</v>
      </c>
      <c r="B117" s="21" t="s">
        <v>1102</v>
      </c>
      <c r="C117" s="21" t="s">
        <v>1103</v>
      </c>
      <c r="D117" s="34" t="s">
        <v>49</v>
      </c>
      <c r="E117" s="23"/>
      <c r="F117" s="24"/>
      <c r="G117" s="25" t="s">
        <v>385</v>
      </c>
      <c r="H117" s="26"/>
      <c r="I117" s="25" t="s">
        <v>134</v>
      </c>
      <c r="M117" s="27">
        <f t="shared" si="0"/>
        <v>0</v>
      </c>
      <c r="P117" s="28"/>
      <c r="U117" s="28"/>
      <c r="V117" s="28"/>
    </row>
    <row r="118" spans="1:22">
      <c r="A118" s="40" t="s">
        <v>1779</v>
      </c>
      <c r="B118" s="21" t="s">
        <v>1785</v>
      </c>
      <c r="C118" s="21" t="s">
        <v>1002</v>
      </c>
      <c r="D118" s="29"/>
      <c r="E118" s="23"/>
      <c r="F118" s="24"/>
      <c r="G118" s="25" t="s">
        <v>390</v>
      </c>
      <c r="H118" s="26"/>
      <c r="I118" s="25" t="s">
        <v>373</v>
      </c>
      <c r="M118" s="27">
        <f t="shared" si="0"/>
        <v>0</v>
      </c>
      <c r="P118" s="28"/>
      <c r="U118" s="28"/>
      <c r="V118" s="28"/>
    </row>
    <row r="119" spans="1:22">
      <c r="A119" s="40" t="s">
        <v>1779</v>
      </c>
      <c r="B119" s="21" t="s">
        <v>1014</v>
      </c>
      <c r="C119" s="21" t="s">
        <v>1786</v>
      </c>
      <c r="D119" s="29" t="s">
        <v>1758</v>
      </c>
      <c r="E119" s="23"/>
      <c r="F119" s="24"/>
      <c r="G119" s="25" t="s">
        <v>407</v>
      </c>
      <c r="H119" s="25" t="s">
        <v>241</v>
      </c>
      <c r="I119" s="25"/>
      <c r="M119" s="27">
        <f t="shared" si="0"/>
        <v>0</v>
      </c>
      <c r="P119" s="28"/>
      <c r="U119" s="28"/>
      <c r="V119" s="28"/>
    </row>
    <row r="120" spans="1:22">
      <c r="A120" s="40" t="s">
        <v>1779</v>
      </c>
      <c r="B120" s="21" t="s">
        <v>1787</v>
      </c>
      <c r="C120" s="21" t="s">
        <v>1111</v>
      </c>
      <c r="D120" s="29"/>
      <c r="E120" s="23"/>
      <c r="F120" s="24"/>
      <c r="G120" s="25" t="s">
        <v>351</v>
      </c>
      <c r="H120" s="25"/>
      <c r="I120" s="25" t="s">
        <v>87</v>
      </c>
      <c r="M120" s="27">
        <f t="shared" si="0"/>
        <v>0</v>
      </c>
      <c r="P120" s="28"/>
      <c r="U120" s="28"/>
      <c r="V120" s="28"/>
    </row>
    <row r="121" spans="1:22">
      <c r="A121" s="40" t="s">
        <v>1779</v>
      </c>
      <c r="B121" s="21" t="s">
        <v>1118</v>
      </c>
      <c r="C121" s="21" t="s">
        <v>1119</v>
      </c>
      <c r="D121" s="29" t="s">
        <v>61</v>
      </c>
      <c r="E121" s="23" t="s">
        <v>1755</v>
      </c>
      <c r="F121" s="24"/>
      <c r="G121" s="25" t="s">
        <v>62</v>
      </c>
      <c r="H121" s="26"/>
      <c r="I121" s="25" t="s">
        <v>134</v>
      </c>
      <c r="M121" s="27">
        <f t="shared" si="0"/>
        <v>0</v>
      </c>
      <c r="P121" s="28"/>
      <c r="U121" s="28"/>
      <c r="V121" s="28"/>
    </row>
    <row r="122" spans="1:22">
      <c r="A122" s="40" t="s">
        <v>1779</v>
      </c>
      <c r="B122" s="21" t="s">
        <v>1126</v>
      </c>
      <c r="C122" s="21" t="s">
        <v>1127</v>
      </c>
      <c r="D122" s="29"/>
      <c r="E122" s="23"/>
      <c r="F122" s="24"/>
      <c r="G122" s="25" t="s">
        <v>405</v>
      </c>
      <c r="H122" s="26"/>
      <c r="I122" s="25" t="s">
        <v>81</v>
      </c>
      <c r="M122" s="27">
        <f t="shared" si="0"/>
        <v>0</v>
      </c>
      <c r="P122" s="28"/>
      <c r="U122" s="28"/>
      <c r="V122" s="28"/>
    </row>
    <row r="123" spans="1:22">
      <c r="A123" s="40" t="s">
        <v>1779</v>
      </c>
      <c r="B123" s="21" t="s">
        <v>1132</v>
      </c>
      <c r="C123" s="21" t="s">
        <v>1133</v>
      </c>
      <c r="D123" s="29"/>
      <c r="E123" s="23" t="s">
        <v>1755</v>
      </c>
      <c r="F123" s="24"/>
      <c r="G123" s="25" t="s">
        <v>74</v>
      </c>
      <c r="H123" s="26" t="s">
        <v>382</v>
      </c>
      <c r="I123" s="25"/>
      <c r="M123" s="27">
        <f t="shared" si="0"/>
        <v>0</v>
      </c>
      <c r="P123" s="28"/>
      <c r="U123" s="28"/>
      <c r="V123" s="28"/>
    </row>
    <row r="124" spans="1:22">
      <c r="A124" s="40" t="s">
        <v>1779</v>
      </c>
      <c r="B124" s="21" t="s">
        <v>1441</v>
      </c>
      <c r="C124" s="21" t="s">
        <v>1788</v>
      </c>
      <c r="D124" s="29"/>
      <c r="E124" s="23"/>
      <c r="F124" s="24"/>
      <c r="G124" s="25" t="s">
        <v>389</v>
      </c>
      <c r="H124" s="26"/>
      <c r="I124" s="25" t="s">
        <v>370</v>
      </c>
      <c r="M124" s="27">
        <f t="shared" si="0"/>
        <v>0</v>
      </c>
      <c r="P124" s="28"/>
      <c r="U124" s="28"/>
      <c r="V124" s="28"/>
    </row>
    <row r="125" spans="1:22">
      <c r="A125" s="40" t="s">
        <v>1779</v>
      </c>
      <c r="B125" s="21" t="s">
        <v>1446</v>
      </c>
      <c r="C125" s="21" t="s">
        <v>1789</v>
      </c>
      <c r="D125" s="29" t="s">
        <v>61</v>
      </c>
      <c r="E125" s="23" t="s">
        <v>1755</v>
      </c>
      <c r="F125" s="24"/>
      <c r="G125" s="25" t="s">
        <v>62</v>
      </c>
      <c r="H125" s="26" t="s">
        <v>401</v>
      </c>
      <c r="I125" s="25" t="s">
        <v>63</v>
      </c>
      <c r="M125" s="27">
        <f t="shared" si="0"/>
        <v>0</v>
      </c>
      <c r="P125" s="28"/>
      <c r="U125" s="28"/>
      <c r="V125" s="28"/>
    </row>
    <row r="126" spans="1:22">
      <c r="A126" s="41" t="s">
        <v>1790</v>
      </c>
      <c r="B126" s="21" t="s">
        <v>1168</v>
      </c>
      <c r="C126" s="21" t="s">
        <v>1791</v>
      </c>
      <c r="D126" s="22"/>
      <c r="E126" s="23"/>
      <c r="F126" s="24"/>
      <c r="G126" s="25" t="s">
        <v>77</v>
      </c>
      <c r="H126" s="26" t="s">
        <v>401</v>
      </c>
      <c r="I126" s="25"/>
      <c r="M126" s="27">
        <f t="shared" si="0"/>
        <v>0</v>
      </c>
      <c r="P126" s="28"/>
      <c r="U126" s="28"/>
      <c r="V126" s="28"/>
    </row>
    <row r="127" spans="1:22">
      <c r="A127" s="41" t="s">
        <v>1790</v>
      </c>
      <c r="B127" s="21" t="s">
        <v>1138</v>
      </c>
      <c r="C127" s="21" t="s">
        <v>1139</v>
      </c>
      <c r="D127" s="22"/>
      <c r="E127" s="23"/>
      <c r="F127" s="24"/>
      <c r="G127" s="25" t="s">
        <v>77</v>
      </c>
      <c r="H127" s="26" t="s">
        <v>401</v>
      </c>
      <c r="I127" s="25"/>
      <c r="M127" s="27">
        <f t="shared" si="0"/>
        <v>0</v>
      </c>
      <c r="P127" s="28"/>
      <c r="U127" s="28"/>
      <c r="V127" s="28"/>
    </row>
    <row r="128" spans="1:22">
      <c r="A128" s="41" t="s">
        <v>1790</v>
      </c>
      <c r="B128" s="21" t="s">
        <v>1143</v>
      </c>
      <c r="C128" s="21" t="s">
        <v>1144</v>
      </c>
      <c r="D128" s="29"/>
      <c r="E128" s="23"/>
      <c r="F128" s="24"/>
      <c r="G128" s="25" t="s">
        <v>34</v>
      </c>
      <c r="H128" s="25" t="s">
        <v>241</v>
      </c>
      <c r="I128" s="25"/>
      <c r="M128" s="27">
        <f t="shared" si="0"/>
        <v>0</v>
      </c>
      <c r="P128" s="28"/>
      <c r="U128" s="28"/>
      <c r="V128" s="28"/>
    </row>
    <row r="129" spans="1:22">
      <c r="A129" s="41" t="s">
        <v>1790</v>
      </c>
      <c r="B129" s="21" t="s">
        <v>1175</v>
      </c>
      <c r="C129" s="21" t="s">
        <v>1176</v>
      </c>
      <c r="D129" s="29"/>
      <c r="E129" s="23"/>
      <c r="F129" s="24"/>
      <c r="G129" s="25" t="s">
        <v>395</v>
      </c>
      <c r="H129" s="26"/>
      <c r="I129" s="25" t="s">
        <v>374</v>
      </c>
      <c r="J129" s="1"/>
      <c r="K129" s="1" t="s">
        <v>352</v>
      </c>
      <c r="M129" s="27">
        <f t="shared" si="0"/>
        <v>0</v>
      </c>
      <c r="P129" s="28"/>
      <c r="U129" s="28"/>
      <c r="V129" s="28"/>
    </row>
    <row r="130" spans="1:22">
      <c r="A130" s="41" t="s">
        <v>1790</v>
      </c>
      <c r="B130" s="21" t="s">
        <v>1184</v>
      </c>
      <c r="C130" s="21" t="s">
        <v>1792</v>
      </c>
      <c r="D130" s="29"/>
      <c r="E130" s="23"/>
      <c r="F130" s="24"/>
      <c r="G130" s="25" t="s">
        <v>405</v>
      </c>
      <c r="H130" s="26"/>
      <c r="I130" s="25" t="s">
        <v>370</v>
      </c>
      <c r="M130" s="27">
        <f t="shared" si="0"/>
        <v>0</v>
      </c>
      <c r="P130" s="28"/>
      <c r="U130" s="28"/>
      <c r="V130" s="28"/>
    </row>
    <row r="131" spans="1:22">
      <c r="A131" s="41" t="s">
        <v>1790</v>
      </c>
      <c r="B131" s="21" t="s">
        <v>1188</v>
      </c>
      <c r="C131" s="21" t="s">
        <v>1793</v>
      </c>
      <c r="D131" s="29"/>
      <c r="E131" s="23" t="s">
        <v>1755</v>
      </c>
      <c r="F131" s="24"/>
      <c r="G131" s="25" t="s">
        <v>24</v>
      </c>
      <c r="H131" s="25" t="s">
        <v>62</v>
      </c>
      <c r="I131" s="25"/>
      <c r="M131" s="27">
        <f t="shared" si="0"/>
        <v>0</v>
      </c>
      <c r="P131" s="28"/>
      <c r="U131" s="28"/>
      <c r="V131" s="28"/>
    </row>
    <row r="132" spans="1:22">
      <c r="A132" s="41" t="s">
        <v>1790</v>
      </c>
      <c r="B132" s="21" t="s">
        <v>1197</v>
      </c>
      <c r="C132" s="21" t="s">
        <v>1198</v>
      </c>
      <c r="D132" s="29"/>
      <c r="E132" s="23"/>
      <c r="F132" s="24"/>
      <c r="G132" s="25" t="s">
        <v>405</v>
      </c>
      <c r="H132" s="26"/>
      <c r="I132" s="25" t="s">
        <v>81</v>
      </c>
      <c r="M132" s="27">
        <f t="shared" si="0"/>
        <v>0</v>
      </c>
      <c r="P132" s="28"/>
      <c r="U132" s="28"/>
      <c r="V132" s="28"/>
    </row>
    <row r="133" spans="1:22">
      <c r="A133" s="41" t="s">
        <v>1790</v>
      </c>
      <c r="B133" s="21" t="s">
        <v>1201</v>
      </c>
      <c r="C133" s="21" t="s">
        <v>1202</v>
      </c>
      <c r="D133" s="29"/>
      <c r="E133" s="23" t="s">
        <v>349</v>
      </c>
      <c r="F133" s="24"/>
      <c r="G133" s="25" t="s">
        <v>241</v>
      </c>
      <c r="H133" s="25" t="s">
        <v>391</v>
      </c>
      <c r="I133" s="25"/>
      <c r="M133" s="27">
        <f t="shared" si="0"/>
        <v>0</v>
      </c>
      <c r="P133" s="28"/>
      <c r="U133" s="28"/>
      <c r="V133" s="28"/>
    </row>
    <row r="134" spans="1:22">
      <c r="A134" s="41" t="s">
        <v>1790</v>
      </c>
      <c r="B134" s="21" t="s">
        <v>1149</v>
      </c>
      <c r="C134" s="21" t="s">
        <v>1150</v>
      </c>
      <c r="D134" s="29"/>
      <c r="E134" s="23"/>
      <c r="F134" s="24"/>
      <c r="G134" s="25" t="s">
        <v>34</v>
      </c>
      <c r="H134" s="25" t="s">
        <v>241</v>
      </c>
      <c r="I134" s="25"/>
      <c r="M134" s="27">
        <f t="shared" si="0"/>
        <v>0</v>
      </c>
      <c r="P134" s="28"/>
      <c r="U134" s="28"/>
      <c r="V134" s="28"/>
    </row>
    <row r="135" spans="1:22">
      <c r="A135" s="41" t="s">
        <v>1790</v>
      </c>
      <c r="B135" s="21" t="s">
        <v>1211</v>
      </c>
      <c r="C135" s="21" t="s">
        <v>1212</v>
      </c>
      <c r="D135" s="29"/>
      <c r="E135" s="23"/>
      <c r="F135" s="24"/>
      <c r="G135" s="25" t="s">
        <v>390</v>
      </c>
      <c r="H135" s="26"/>
      <c r="I135" s="25" t="s">
        <v>373</v>
      </c>
      <c r="M135" s="27">
        <f t="shared" si="0"/>
        <v>0</v>
      </c>
      <c r="P135" s="28"/>
      <c r="U135" s="28"/>
      <c r="V135" s="28"/>
    </row>
    <row r="136" spans="1:22">
      <c r="A136" s="41" t="s">
        <v>1790</v>
      </c>
      <c r="B136" s="21" t="s">
        <v>1154</v>
      </c>
      <c r="C136" s="21" t="s">
        <v>1155</v>
      </c>
      <c r="D136" s="29"/>
      <c r="E136" s="23"/>
      <c r="F136" s="24"/>
      <c r="G136" s="25" t="s">
        <v>34</v>
      </c>
      <c r="H136" s="25" t="s">
        <v>241</v>
      </c>
      <c r="I136" s="25"/>
      <c r="M136" s="27">
        <f t="shared" si="0"/>
        <v>0</v>
      </c>
      <c r="P136" s="28" t="s">
        <v>1794</v>
      </c>
      <c r="U136" s="28"/>
      <c r="V136" s="28"/>
    </row>
    <row r="137" spans="1:22">
      <c r="A137" s="41" t="s">
        <v>1790</v>
      </c>
      <c r="B137" s="21" t="s">
        <v>1222</v>
      </c>
      <c r="C137" s="21" t="s">
        <v>1223</v>
      </c>
      <c r="D137" s="29"/>
      <c r="E137" s="23"/>
      <c r="F137" s="24"/>
      <c r="G137" s="25" t="s">
        <v>395</v>
      </c>
      <c r="H137" s="26"/>
      <c r="I137" s="25" t="s">
        <v>374</v>
      </c>
      <c r="M137" s="27">
        <f t="shared" si="0"/>
        <v>0</v>
      </c>
      <c r="P137" s="28"/>
      <c r="U137" s="28"/>
      <c r="V137" s="28"/>
    </row>
    <row r="138" spans="1:22">
      <c r="A138" s="41" t="s">
        <v>1790</v>
      </c>
      <c r="B138" s="21" t="s">
        <v>1226</v>
      </c>
      <c r="C138" s="21" t="s">
        <v>1227</v>
      </c>
      <c r="D138" s="29"/>
      <c r="E138" s="23"/>
      <c r="F138" s="24"/>
      <c r="G138" s="25" t="s">
        <v>400</v>
      </c>
      <c r="H138" s="26"/>
      <c r="I138" s="25" t="s">
        <v>87</v>
      </c>
      <c r="M138" s="27">
        <f t="shared" si="0"/>
        <v>0</v>
      </c>
      <c r="P138" s="28"/>
      <c r="U138" s="28"/>
      <c r="V138" s="28"/>
    </row>
    <row r="139" spans="1:22">
      <c r="A139" s="41" t="s">
        <v>1790</v>
      </c>
      <c r="B139" s="21" t="s">
        <v>1237</v>
      </c>
      <c r="C139" s="21" t="s">
        <v>1238</v>
      </c>
      <c r="D139" s="29"/>
      <c r="E139" s="23" t="s">
        <v>1755</v>
      </c>
      <c r="F139" s="24"/>
      <c r="G139" s="25" t="s">
        <v>24</v>
      </c>
      <c r="H139" s="25" t="s">
        <v>62</v>
      </c>
      <c r="I139" s="25"/>
      <c r="M139" s="27">
        <f t="shared" si="0"/>
        <v>0</v>
      </c>
      <c r="P139" s="28"/>
      <c r="U139" s="28"/>
      <c r="V139" s="28"/>
    </row>
    <row r="140" spans="1:22">
      <c r="A140" s="41" t="s">
        <v>1790</v>
      </c>
      <c r="B140" s="21" t="s">
        <v>1242</v>
      </c>
      <c r="C140" s="21" t="s">
        <v>1243</v>
      </c>
      <c r="D140" s="29"/>
      <c r="E140" s="23"/>
      <c r="F140" s="24"/>
      <c r="G140" s="25" t="s">
        <v>389</v>
      </c>
      <c r="H140" s="26"/>
      <c r="I140" s="25" t="s">
        <v>370</v>
      </c>
      <c r="M140" s="27">
        <f t="shared" si="0"/>
        <v>0</v>
      </c>
      <c r="P140" s="28"/>
      <c r="U140" s="28"/>
      <c r="V140" s="28"/>
    </row>
    <row r="141" spans="1:22">
      <c r="A141" s="41" t="s">
        <v>1790</v>
      </c>
      <c r="B141" s="21" t="s">
        <v>1230</v>
      </c>
      <c r="C141" s="21" t="s">
        <v>1231</v>
      </c>
      <c r="D141" s="29"/>
      <c r="E141" s="23" t="s">
        <v>349</v>
      </c>
      <c r="F141" s="24"/>
      <c r="G141" s="25" t="s">
        <v>34</v>
      </c>
      <c r="H141" s="26" t="s">
        <v>391</v>
      </c>
      <c r="I141" s="25"/>
      <c r="M141" s="27">
        <f t="shared" si="0"/>
        <v>0</v>
      </c>
      <c r="P141" s="28"/>
      <c r="U141" s="28"/>
      <c r="V141" s="28"/>
    </row>
    <row r="142" spans="1:22">
      <c r="A142" s="41" t="s">
        <v>1790</v>
      </c>
      <c r="B142" s="21" t="s">
        <v>1248</v>
      </c>
      <c r="C142" s="21" t="s">
        <v>1249</v>
      </c>
      <c r="D142" s="29"/>
      <c r="E142" s="23"/>
      <c r="F142" s="24"/>
      <c r="G142" s="25" t="s">
        <v>77</v>
      </c>
      <c r="H142" s="26"/>
      <c r="I142" s="25" t="s">
        <v>373</v>
      </c>
      <c r="M142" s="27">
        <f t="shared" si="0"/>
        <v>0</v>
      </c>
      <c r="P142" s="28"/>
      <c r="U142" s="28"/>
      <c r="V142" s="28"/>
    </row>
    <row r="143" spans="1:22">
      <c r="A143" s="41" t="s">
        <v>1790</v>
      </c>
      <c r="B143" s="21" t="s">
        <v>1259</v>
      </c>
      <c r="C143" s="21" t="s">
        <v>1260</v>
      </c>
      <c r="D143" s="29"/>
      <c r="E143" s="23"/>
      <c r="F143" s="24"/>
      <c r="G143" s="25" t="s">
        <v>241</v>
      </c>
      <c r="H143" s="26" t="s">
        <v>77</v>
      </c>
      <c r="I143" s="25"/>
      <c r="M143" s="27">
        <f t="shared" si="0"/>
        <v>0</v>
      </c>
      <c r="P143" s="28"/>
      <c r="U143" s="28"/>
      <c r="V143" s="28"/>
    </row>
    <row r="144" spans="1:22">
      <c r="A144" s="41" t="s">
        <v>1790</v>
      </c>
      <c r="B144" s="21" t="s">
        <v>1264</v>
      </c>
      <c r="C144" s="21" t="s">
        <v>1265</v>
      </c>
      <c r="D144" s="29"/>
      <c r="E144" s="23" t="s">
        <v>349</v>
      </c>
      <c r="F144" s="24"/>
      <c r="G144" s="25" t="s">
        <v>391</v>
      </c>
      <c r="H144" s="25"/>
      <c r="I144" s="25" t="s">
        <v>242</v>
      </c>
      <c r="M144" s="27">
        <f t="shared" si="0"/>
        <v>0</v>
      </c>
      <c r="P144" s="28"/>
      <c r="U144" s="28"/>
      <c r="V144" s="28"/>
    </row>
    <row r="145" spans="1:22">
      <c r="A145" s="41" t="s">
        <v>1790</v>
      </c>
      <c r="B145" s="21" t="s">
        <v>1253</v>
      </c>
      <c r="C145" s="21" t="s">
        <v>1254</v>
      </c>
      <c r="D145" s="29"/>
      <c r="E145" s="23"/>
      <c r="F145" s="24"/>
      <c r="G145" s="25" t="s">
        <v>395</v>
      </c>
      <c r="H145" s="26"/>
      <c r="I145" s="25" t="s">
        <v>374</v>
      </c>
      <c r="M145" s="27">
        <f t="shared" si="0"/>
        <v>0</v>
      </c>
      <c r="P145" s="28"/>
      <c r="U145" s="28"/>
      <c r="V145" s="28"/>
    </row>
    <row r="146" spans="1:22">
      <c r="A146" s="41" t="s">
        <v>1790</v>
      </c>
      <c r="B146" s="21" t="s">
        <v>1269</v>
      </c>
      <c r="C146" s="21" t="s">
        <v>1270</v>
      </c>
      <c r="D146" s="29"/>
      <c r="E146" s="23"/>
      <c r="F146" s="24"/>
      <c r="G146" s="25" t="s">
        <v>405</v>
      </c>
      <c r="H146" s="26"/>
      <c r="I146" s="25" t="s">
        <v>81</v>
      </c>
      <c r="M146" s="27">
        <f t="shared" si="0"/>
        <v>0</v>
      </c>
      <c r="P146" s="28"/>
      <c r="U146" s="28"/>
      <c r="V146" s="28"/>
    </row>
    <row r="147" spans="1:22">
      <c r="A147" s="41" t="s">
        <v>1790</v>
      </c>
      <c r="B147" s="21" t="s">
        <v>1273</v>
      </c>
      <c r="C147" s="21" t="s">
        <v>1795</v>
      </c>
      <c r="D147" s="29" t="s">
        <v>90</v>
      </c>
      <c r="E147" s="23" t="s">
        <v>1755</v>
      </c>
      <c r="F147" s="24"/>
      <c r="G147" s="25" t="s">
        <v>24</v>
      </c>
      <c r="H147" s="26" t="s">
        <v>62</v>
      </c>
      <c r="I147" s="25"/>
      <c r="M147" s="27">
        <f t="shared" si="0"/>
        <v>0</v>
      </c>
      <c r="P147" s="28"/>
      <c r="U147" s="28"/>
      <c r="V147" s="28"/>
    </row>
    <row r="148" spans="1:22">
      <c r="A148" s="41" t="s">
        <v>1790</v>
      </c>
      <c r="B148" s="21" t="s">
        <v>1281</v>
      </c>
      <c r="C148" s="21" t="s">
        <v>1282</v>
      </c>
      <c r="D148" s="29"/>
      <c r="E148" s="23"/>
      <c r="F148" s="24"/>
      <c r="G148" s="25" t="s">
        <v>389</v>
      </c>
      <c r="H148" s="26"/>
      <c r="I148" s="25" t="s">
        <v>370</v>
      </c>
      <c r="M148" s="27">
        <f t="shared" si="0"/>
        <v>0</v>
      </c>
      <c r="P148" s="28"/>
      <c r="U148" s="28"/>
      <c r="V148" s="28"/>
    </row>
    <row r="149" spans="1:22">
      <c r="A149" s="41" t="s">
        <v>1790</v>
      </c>
      <c r="B149" s="21" t="s">
        <v>1796</v>
      </c>
      <c r="C149" s="21" t="s">
        <v>1158</v>
      </c>
      <c r="D149" s="29"/>
      <c r="E149" s="23"/>
      <c r="F149" s="24"/>
      <c r="G149" s="26" t="s">
        <v>77</v>
      </c>
      <c r="H149" s="26" t="s">
        <v>241</v>
      </c>
      <c r="I149" s="25"/>
      <c r="M149" s="27">
        <f t="shared" si="0"/>
        <v>0</v>
      </c>
      <c r="P149" s="28"/>
      <c r="U149" s="28"/>
      <c r="V149" s="28"/>
    </row>
    <row r="150" spans="1:22">
      <c r="A150" s="42" t="s">
        <v>1797</v>
      </c>
      <c r="B150" s="21" t="s">
        <v>1292</v>
      </c>
      <c r="C150" s="21" t="s">
        <v>1293</v>
      </c>
      <c r="D150" s="29" t="s">
        <v>90</v>
      </c>
      <c r="E150" s="23"/>
      <c r="F150" s="24"/>
      <c r="G150" s="25" t="s">
        <v>393</v>
      </c>
      <c r="H150" s="26"/>
      <c r="I150" s="25" t="s">
        <v>373</v>
      </c>
      <c r="M150" s="27">
        <f t="shared" si="0"/>
        <v>0</v>
      </c>
      <c r="P150" s="28"/>
      <c r="U150" s="1"/>
      <c r="V150" s="28"/>
    </row>
    <row r="151" spans="1:22">
      <c r="A151" s="42" t="s">
        <v>1797</v>
      </c>
      <c r="B151" s="21" t="s">
        <v>1297</v>
      </c>
      <c r="C151" s="21" t="s">
        <v>1298</v>
      </c>
      <c r="D151" s="29"/>
      <c r="E151" s="23"/>
      <c r="F151" s="24"/>
      <c r="G151" s="25" t="s">
        <v>395</v>
      </c>
      <c r="H151" s="26"/>
      <c r="I151" s="25" t="s">
        <v>374</v>
      </c>
      <c r="J151" s="1"/>
      <c r="K151" s="1" t="s">
        <v>352</v>
      </c>
      <c r="M151" s="27">
        <f t="shared" si="0"/>
        <v>0</v>
      </c>
      <c r="P151" s="28"/>
      <c r="U151" s="28"/>
      <c r="V151" s="28"/>
    </row>
    <row r="152" spans="1:22">
      <c r="A152" s="42" t="s">
        <v>1797</v>
      </c>
      <c r="B152" s="21" t="s">
        <v>1301</v>
      </c>
      <c r="C152" s="21" t="s">
        <v>1302</v>
      </c>
      <c r="D152" s="29"/>
      <c r="E152" s="23"/>
      <c r="F152" s="24"/>
      <c r="G152" s="25" t="s">
        <v>395</v>
      </c>
      <c r="H152" s="26"/>
      <c r="I152" s="25" t="s">
        <v>374</v>
      </c>
      <c r="J152" s="1"/>
      <c r="K152" s="1" t="s">
        <v>352</v>
      </c>
      <c r="M152" s="27">
        <f t="shared" si="0"/>
        <v>0</v>
      </c>
      <c r="P152" s="28"/>
      <c r="U152" s="28"/>
      <c r="V152" s="28"/>
    </row>
    <row r="153" spans="1:22">
      <c r="A153" s="42" t="s">
        <v>1797</v>
      </c>
      <c r="B153" s="21" t="s">
        <v>1306</v>
      </c>
      <c r="C153" s="21" t="s">
        <v>1798</v>
      </c>
      <c r="D153" s="29"/>
      <c r="E153" s="23"/>
      <c r="F153" s="24"/>
      <c r="G153" s="25" t="s">
        <v>395</v>
      </c>
      <c r="H153" s="26"/>
      <c r="I153" s="25" t="s">
        <v>374</v>
      </c>
      <c r="J153" s="1"/>
      <c r="K153" s="1" t="s">
        <v>352</v>
      </c>
      <c r="M153" s="27">
        <f t="shared" si="0"/>
        <v>0</v>
      </c>
      <c r="P153" s="28"/>
      <c r="U153" s="28"/>
      <c r="V153" s="28"/>
    </row>
    <row r="154" spans="1:22">
      <c r="A154" s="42" t="s">
        <v>1797</v>
      </c>
      <c r="B154" s="21" t="s">
        <v>1312</v>
      </c>
      <c r="C154" s="21" t="s">
        <v>1313</v>
      </c>
      <c r="D154" s="29" t="s">
        <v>99</v>
      </c>
      <c r="E154" s="23"/>
      <c r="F154" s="24"/>
      <c r="G154" s="25" t="s">
        <v>1753</v>
      </c>
      <c r="H154" s="26"/>
      <c r="I154" s="25" t="s">
        <v>134</v>
      </c>
      <c r="M154" s="27">
        <f t="shared" si="0"/>
        <v>0</v>
      </c>
      <c r="P154" s="28"/>
      <c r="U154" s="28"/>
      <c r="V154" s="28"/>
    </row>
    <row r="155" spans="1:22">
      <c r="A155" s="42" t="s">
        <v>1797</v>
      </c>
      <c r="B155" s="21" t="s">
        <v>1316</v>
      </c>
      <c r="C155" s="21" t="s">
        <v>1799</v>
      </c>
      <c r="D155" s="29"/>
      <c r="E155" s="23"/>
      <c r="F155" s="24"/>
      <c r="G155" s="25" t="s">
        <v>375</v>
      </c>
      <c r="H155" s="26"/>
      <c r="I155" s="25" t="s">
        <v>373</v>
      </c>
      <c r="M155" s="27">
        <f t="shared" si="0"/>
        <v>0</v>
      </c>
      <c r="P155" s="28"/>
      <c r="U155" s="28"/>
      <c r="V155" s="28"/>
    </row>
    <row r="156" spans="1:22">
      <c r="A156" s="42" t="s">
        <v>1797</v>
      </c>
      <c r="B156" s="21" t="s">
        <v>1320</v>
      </c>
      <c r="C156" s="21" t="s">
        <v>1321</v>
      </c>
      <c r="D156" s="29"/>
      <c r="E156" s="23" t="s">
        <v>1755</v>
      </c>
      <c r="F156" s="24"/>
      <c r="G156" s="25" t="s">
        <v>394</v>
      </c>
      <c r="H156" s="26" t="s">
        <v>241</v>
      </c>
      <c r="I156" s="25"/>
      <c r="M156" s="27">
        <f t="shared" si="0"/>
        <v>0</v>
      </c>
      <c r="P156" s="28"/>
      <c r="U156" s="28"/>
      <c r="V156" s="28"/>
    </row>
    <row r="157" spans="1:22">
      <c r="A157" s="42" t="s">
        <v>1797</v>
      </c>
      <c r="B157" s="21" t="s">
        <v>1325</v>
      </c>
      <c r="C157" s="21" t="s">
        <v>1326</v>
      </c>
      <c r="D157" s="29" t="s">
        <v>99</v>
      </c>
      <c r="E157" s="23"/>
      <c r="F157" s="24"/>
      <c r="G157" s="25" t="s">
        <v>1753</v>
      </c>
      <c r="H157" s="26"/>
      <c r="I157" s="25" t="s">
        <v>87</v>
      </c>
      <c r="J157" s="1"/>
      <c r="K157" s="1" t="s">
        <v>352</v>
      </c>
      <c r="M157" s="27">
        <f t="shared" si="0"/>
        <v>0</v>
      </c>
      <c r="P157" s="28"/>
      <c r="U157" s="28"/>
      <c r="V157" s="28"/>
    </row>
    <row r="158" spans="1:22">
      <c r="A158" s="42" t="s">
        <v>1797</v>
      </c>
      <c r="B158" s="21" t="s">
        <v>1329</v>
      </c>
      <c r="C158" s="21" t="s">
        <v>1330</v>
      </c>
      <c r="D158" s="29"/>
      <c r="E158" s="23" t="s">
        <v>1755</v>
      </c>
      <c r="F158" s="24"/>
      <c r="G158" s="25" t="s">
        <v>394</v>
      </c>
      <c r="H158" s="26" t="s">
        <v>241</v>
      </c>
      <c r="I158" s="25"/>
      <c r="M158" s="27">
        <f t="shared" si="0"/>
        <v>0</v>
      </c>
      <c r="P158" s="28"/>
      <c r="U158" s="28"/>
      <c r="V158" s="28"/>
    </row>
    <row r="159" spans="1:22">
      <c r="A159" s="42" t="s">
        <v>1797</v>
      </c>
      <c r="B159" s="21" t="s">
        <v>1333</v>
      </c>
      <c r="C159" s="21" t="s">
        <v>1334</v>
      </c>
      <c r="D159" s="29" t="s">
        <v>99</v>
      </c>
      <c r="E159" s="23"/>
      <c r="F159" s="24"/>
      <c r="G159" s="25" t="s">
        <v>1753</v>
      </c>
      <c r="H159" s="26"/>
      <c r="I159" s="25" t="s">
        <v>63</v>
      </c>
      <c r="M159" s="27">
        <f t="shared" si="0"/>
        <v>0</v>
      </c>
      <c r="P159" s="28"/>
      <c r="U159" s="28"/>
      <c r="V159" s="28"/>
    </row>
    <row r="160" spans="1:22">
      <c r="A160" s="42" t="s">
        <v>1797</v>
      </c>
      <c r="B160" s="21" t="s">
        <v>1337</v>
      </c>
      <c r="C160" s="21" t="s">
        <v>1338</v>
      </c>
      <c r="D160" s="29"/>
      <c r="E160" s="23"/>
      <c r="F160" s="24"/>
      <c r="G160" s="25" t="s">
        <v>375</v>
      </c>
      <c r="H160" s="26" t="s">
        <v>96</v>
      </c>
      <c r="I160" s="25"/>
      <c r="M160" s="27">
        <f t="shared" si="0"/>
        <v>0</v>
      </c>
      <c r="P160" s="28"/>
      <c r="U160" s="28"/>
      <c r="V160" s="28"/>
    </row>
    <row r="161" spans="1:36">
      <c r="A161" s="42" t="s">
        <v>1797</v>
      </c>
      <c r="B161" s="21" t="s">
        <v>1342</v>
      </c>
      <c r="C161" s="21" t="s">
        <v>1343</v>
      </c>
      <c r="D161" s="29" t="s">
        <v>1800</v>
      </c>
      <c r="E161" s="23" t="s">
        <v>1755</v>
      </c>
      <c r="F161" s="24"/>
      <c r="G161" s="25" t="s">
        <v>394</v>
      </c>
      <c r="H161" s="25" t="s">
        <v>382</v>
      </c>
      <c r="I161" s="25"/>
      <c r="M161" s="27">
        <f t="shared" si="0"/>
        <v>0</v>
      </c>
      <c r="P161" s="28"/>
      <c r="U161" s="28"/>
      <c r="V161" s="28"/>
    </row>
    <row r="162" spans="1:36">
      <c r="A162" s="42" t="s">
        <v>1797</v>
      </c>
      <c r="B162" s="21" t="s">
        <v>870</v>
      </c>
      <c r="C162" s="21" t="s">
        <v>871</v>
      </c>
      <c r="D162" s="29"/>
      <c r="E162" s="23"/>
      <c r="F162" s="24"/>
      <c r="G162" s="25" t="s">
        <v>390</v>
      </c>
      <c r="H162" s="25"/>
      <c r="I162" s="25" t="s">
        <v>370</v>
      </c>
      <c r="M162" s="27">
        <f t="shared" si="0"/>
        <v>0</v>
      </c>
      <c r="P162" s="28"/>
      <c r="U162" s="28"/>
      <c r="V162" s="28"/>
    </row>
    <row r="163" spans="1:36">
      <c r="A163" s="42" t="s">
        <v>1797</v>
      </c>
      <c r="B163" s="21" t="s">
        <v>815</v>
      </c>
      <c r="C163" s="21" t="s">
        <v>1801</v>
      </c>
      <c r="D163" s="29"/>
      <c r="E163" s="23"/>
      <c r="F163" s="24"/>
      <c r="G163" s="25" t="s">
        <v>390</v>
      </c>
      <c r="H163" s="25"/>
      <c r="I163" s="25" t="s">
        <v>63</v>
      </c>
      <c r="M163" s="27">
        <f t="shared" si="0"/>
        <v>0</v>
      </c>
      <c r="P163" s="28"/>
      <c r="U163" s="28"/>
      <c r="V163" s="28"/>
    </row>
    <row r="164" spans="1:36">
      <c r="A164" s="42" t="s">
        <v>1797</v>
      </c>
      <c r="B164" s="21" t="s">
        <v>821</v>
      </c>
      <c r="C164" s="21" t="s">
        <v>1802</v>
      </c>
      <c r="D164" s="29" t="s">
        <v>90</v>
      </c>
      <c r="E164" s="23"/>
      <c r="F164" s="24"/>
      <c r="G164" s="25" t="s">
        <v>390</v>
      </c>
      <c r="H164" s="26" t="s">
        <v>381</v>
      </c>
      <c r="I164" s="25"/>
      <c r="M164" s="27">
        <f t="shared" si="0"/>
        <v>0</v>
      </c>
      <c r="P164" s="28"/>
      <c r="U164" s="28"/>
      <c r="V164" s="28"/>
    </row>
    <row r="165" spans="1:36">
      <c r="A165" s="43" t="s">
        <v>1803</v>
      </c>
      <c r="B165" s="21" t="s">
        <v>840</v>
      </c>
      <c r="C165" s="21" t="s">
        <v>841</v>
      </c>
      <c r="D165" s="29" t="s">
        <v>99</v>
      </c>
      <c r="E165" s="36" t="s">
        <v>355</v>
      </c>
      <c r="F165" s="24"/>
      <c r="G165" s="25" t="s">
        <v>351</v>
      </c>
      <c r="H165" s="26" t="s">
        <v>403</v>
      </c>
      <c r="I165" s="25"/>
      <c r="M165" s="27">
        <f t="shared" si="0"/>
        <v>0</v>
      </c>
      <c r="P165" s="28"/>
      <c r="U165" s="28"/>
      <c r="V165" s="28"/>
    </row>
    <row r="166" spans="1:36">
      <c r="A166" s="43" t="s">
        <v>1803</v>
      </c>
      <c r="B166" s="21" t="s">
        <v>1162</v>
      </c>
      <c r="C166" s="21" t="s">
        <v>1163</v>
      </c>
      <c r="D166" s="29" t="s">
        <v>99</v>
      </c>
      <c r="E166" s="36" t="s">
        <v>355</v>
      </c>
      <c r="F166" s="24"/>
      <c r="G166" s="26" t="s">
        <v>403</v>
      </c>
      <c r="H166" s="26"/>
      <c r="I166" s="25" t="s">
        <v>87</v>
      </c>
      <c r="M166" s="27">
        <f t="shared" si="0"/>
        <v>0</v>
      </c>
      <c r="P166" s="28"/>
      <c r="U166" s="28"/>
      <c r="V166" s="28"/>
    </row>
    <row r="167" spans="1:36">
      <c r="A167" s="43" t="s">
        <v>1803</v>
      </c>
      <c r="B167" s="21" t="s">
        <v>1166</v>
      </c>
      <c r="C167" s="21" t="s">
        <v>1167</v>
      </c>
      <c r="D167" s="29"/>
      <c r="E167" s="36" t="s">
        <v>355</v>
      </c>
      <c r="F167" s="24"/>
      <c r="G167" s="26" t="s">
        <v>403</v>
      </c>
      <c r="H167" s="26"/>
      <c r="I167" s="25" t="s">
        <v>81</v>
      </c>
      <c r="M167" s="27">
        <f t="shared" si="0"/>
        <v>0</v>
      </c>
      <c r="P167" s="28"/>
      <c r="U167" s="1"/>
      <c r="V167" s="28"/>
    </row>
    <row r="168" spans="1:36">
      <c r="A168" s="43" t="s">
        <v>1803</v>
      </c>
      <c r="B168" s="21" t="s">
        <v>1804</v>
      </c>
      <c r="C168" s="21" t="s">
        <v>731</v>
      </c>
      <c r="D168" s="29"/>
      <c r="E168" s="36" t="s">
        <v>355</v>
      </c>
      <c r="F168" s="24"/>
      <c r="G168" s="25" t="s">
        <v>96</v>
      </c>
      <c r="H168" s="26" t="s">
        <v>403</v>
      </c>
      <c r="I168" s="25"/>
      <c r="M168" s="27">
        <f t="shared" si="0"/>
        <v>0</v>
      </c>
      <c r="P168" s="28"/>
      <c r="U168" s="1"/>
      <c r="V168" s="28"/>
    </row>
    <row r="169" spans="1:36">
      <c r="A169" s="44" t="s">
        <v>1805</v>
      </c>
      <c r="B169" s="62" t="s">
        <v>930</v>
      </c>
      <c r="C169" s="63" t="s">
        <v>931</v>
      </c>
      <c r="D169" s="45"/>
      <c r="E169" s="23"/>
      <c r="F169" s="24"/>
      <c r="G169" s="25" t="s">
        <v>405</v>
      </c>
      <c r="H169" s="26"/>
      <c r="I169" s="25" t="s">
        <v>373</v>
      </c>
      <c r="M169" s="27">
        <f t="shared" si="0"/>
        <v>0</v>
      </c>
      <c r="P169" s="28"/>
      <c r="U169" s="28"/>
      <c r="V169" s="28"/>
    </row>
    <row r="170" spans="1:36">
      <c r="A170" s="44" t="s">
        <v>1805</v>
      </c>
      <c r="B170" s="21" t="s">
        <v>898</v>
      </c>
      <c r="C170" s="21" t="s">
        <v>1806</v>
      </c>
      <c r="D170" s="46"/>
      <c r="E170" s="47"/>
      <c r="F170" s="24"/>
      <c r="G170" s="35" t="s">
        <v>241</v>
      </c>
      <c r="H170" s="35" t="s">
        <v>395</v>
      </c>
      <c r="I170" s="21"/>
      <c r="J170" s="5"/>
      <c r="K170" s="5"/>
      <c r="L170" s="5"/>
      <c r="M170" s="27">
        <f t="shared" si="0"/>
        <v>0</v>
      </c>
      <c r="N170" s="5"/>
      <c r="O170" s="5"/>
      <c r="P170" s="5"/>
      <c r="Q170" s="5"/>
      <c r="R170" s="5"/>
      <c r="S170" s="5"/>
      <c r="T170" s="5"/>
      <c r="U170" s="28"/>
      <c r="V170" s="33"/>
      <c r="W170" s="5"/>
      <c r="X170" s="5"/>
      <c r="Y170" s="5"/>
      <c r="Z170" s="5"/>
      <c r="AA170" s="5"/>
      <c r="AB170" s="5"/>
      <c r="AC170" s="5"/>
      <c r="AD170" s="5"/>
      <c r="AE170" s="5"/>
      <c r="AF170" s="5"/>
      <c r="AG170" s="5"/>
      <c r="AH170" s="5"/>
      <c r="AI170" s="5"/>
      <c r="AJ170" s="5"/>
    </row>
    <row r="171" spans="1:36">
      <c r="A171" s="44" t="s">
        <v>1805</v>
      </c>
      <c r="B171" s="62" t="s">
        <v>1385</v>
      </c>
      <c r="C171" s="63" t="s">
        <v>1386</v>
      </c>
      <c r="D171" s="45"/>
      <c r="E171" s="23" t="s">
        <v>355</v>
      </c>
      <c r="F171" s="24"/>
      <c r="G171" s="25" t="s">
        <v>404</v>
      </c>
      <c r="H171" s="26"/>
      <c r="I171" s="25" t="s">
        <v>242</v>
      </c>
      <c r="M171" s="27">
        <f t="shared" si="0"/>
        <v>0</v>
      </c>
      <c r="P171" s="28"/>
      <c r="U171" s="5"/>
      <c r="V171" s="28"/>
    </row>
    <row r="172" spans="1:36">
      <c r="A172" s="44" t="s">
        <v>1805</v>
      </c>
      <c r="B172" s="21" t="s">
        <v>893</v>
      </c>
      <c r="C172" s="21" t="s">
        <v>894</v>
      </c>
      <c r="D172" s="46"/>
      <c r="E172" s="47"/>
      <c r="F172" s="48"/>
      <c r="G172" s="35" t="s">
        <v>241</v>
      </c>
      <c r="H172" s="35"/>
      <c r="I172" s="25" t="s">
        <v>242</v>
      </c>
      <c r="J172" s="5"/>
      <c r="K172" s="5"/>
      <c r="L172" s="5"/>
      <c r="M172" s="27">
        <f t="shared" si="0"/>
        <v>0</v>
      </c>
      <c r="N172" s="5"/>
      <c r="O172" s="5"/>
      <c r="P172" s="5"/>
      <c r="Q172" s="5"/>
      <c r="R172" s="5"/>
      <c r="S172" s="5"/>
      <c r="T172" s="5"/>
      <c r="U172" s="28"/>
      <c r="V172" s="28"/>
      <c r="W172" s="5"/>
      <c r="X172" s="5"/>
      <c r="Y172" s="5"/>
      <c r="Z172" s="5"/>
      <c r="AA172" s="5"/>
      <c r="AB172" s="5"/>
      <c r="AC172" s="5"/>
      <c r="AD172" s="5"/>
      <c r="AE172" s="5"/>
      <c r="AF172" s="5"/>
      <c r="AG172" s="5"/>
      <c r="AH172" s="5"/>
      <c r="AI172" s="5"/>
      <c r="AJ172" s="5"/>
    </row>
    <row r="173" spans="1:36">
      <c r="A173" s="44" t="s">
        <v>1805</v>
      </c>
      <c r="B173" s="62" t="s">
        <v>1390</v>
      </c>
      <c r="C173" s="63" t="s">
        <v>1807</v>
      </c>
      <c r="D173" s="34" t="s">
        <v>49</v>
      </c>
      <c r="E173" s="23"/>
      <c r="F173" s="24"/>
      <c r="G173" s="25" t="s">
        <v>385</v>
      </c>
      <c r="H173" s="26"/>
      <c r="I173" s="25" t="s">
        <v>63</v>
      </c>
      <c r="M173" s="27">
        <f t="shared" si="0"/>
        <v>0</v>
      </c>
      <c r="P173" s="28"/>
      <c r="U173" s="5"/>
      <c r="V173" s="28"/>
    </row>
    <row r="174" spans="1:36">
      <c r="A174" s="44" t="s">
        <v>1805</v>
      </c>
      <c r="B174" s="62" t="s">
        <v>1355</v>
      </c>
      <c r="C174" s="63" t="s">
        <v>1808</v>
      </c>
      <c r="D174" s="45"/>
      <c r="E174" s="23"/>
      <c r="F174" s="24"/>
      <c r="G174" s="25" t="s">
        <v>384</v>
      </c>
      <c r="H174" s="35" t="s">
        <v>96</v>
      </c>
      <c r="I174" s="25"/>
      <c r="M174" s="27">
        <f t="shared" si="0"/>
        <v>0</v>
      </c>
      <c r="P174" s="28"/>
      <c r="U174" s="28"/>
      <c r="V174" s="28"/>
    </row>
    <row r="175" spans="1:36">
      <c r="A175" s="44" t="s">
        <v>1805</v>
      </c>
      <c r="B175" s="62" t="s">
        <v>1394</v>
      </c>
      <c r="C175" s="63" t="s">
        <v>1395</v>
      </c>
      <c r="D175" s="45"/>
      <c r="E175" s="23" t="s">
        <v>1755</v>
      </c>
      <c r="F175" s="24"/>
      <c r="G175" s="25" t="s">
        <v>86</v>
      </c>
      <c r="H175" s="26"/>
      <c r="I175" s="25" t="s">
        <v>134</v>
      </c>
      <c r="J175" s="1"/>
      <c r="K175" s="1" t="s">
        <v>1809</v>
      </c>
      <c r="M175" s="27">
        <f t="shared" si="0"/>
        <v>0</v>
      </c>
      <c r="P175" s="28"/>
      <c r="U175" s="28"/>
      <c r="V175" s="28"/>
    </row>
    <row r="176" spans="1:36">
      <c r="A176" s="44" t="s">
        <v>1805</v>
      </c>
      <c r="B176" s="62" t="s">
        <v>940</v>
      </c>
      <c r="C176" s="63" t="s">
        <v>1810</v>
      </c>
      <c r="D176" s="45" t="s">
        <v>99</v>
      </c>
      <c r="E176" s="23"/>
      <c r="F176" s="24"/>
      <c r="G176" s="25" t="s">
        <v>351</v>
      </c>
      <c r="H176" s="26"/>
      <c r="I176" s="25" t="s">
        <v>87</v>
      </c>
      <c r="M176" s="27">
        <f t="shared" si="0"/>
        <v>0</v>
      </c>
      <c r="P176" s="28"/>
      <c r="U176" s="28"/>
      <c r="V176" s="28"/>
    </row>
    <row r="177" spans="1:22">
      <c r="A177" s="44" t="s">
        <v>1805</v>
      </c>
      <c r="B177" s="62" t="s">
        <v>950</v>
      </c>
      <c r="C177" s="63" t="s">
        <v>951</v>
      </c>
      <c r="D177" s="45"/>
      <c r="E177" s="23"/>
      <c r="F177" s="24"/>
      <c r="G177" s="25" t="s">
        <v>390</v>
      </c>
      <c r="H177" s="26"/>
      <c r="I177" s="25" t="s">
        <v>373</v>
      </c>
      <c r="M177" s="27">
        <f t="shared" si="0"/>
        <v>0</v>
      </c>
      <c r="P177" s="28"/>
      <c r="U177" s="28"/>
      <c r="V177" s="28"/>
    </row>
    <row r="178" spans="1:22">
      <c r="A178" s="44" t="s">
        <v>1805</v>
      </c>
      <c r="B178" s="62" t="s">
        <v>924</v>
      </c>
      <c r="C178" s="63" t="s">
        <v>925</v>
      </c>
      <c r="D178" s="45"/>
      <c r="E178" s="23"/>
      <c r="F178" s="24"/>
      <c r="G178" s="25" t="s">
        <v>96</v>
      </c>
      <c r="H178" s="26" t="s">
        <v>241</v>
      </c>
      <c r="I178" s="25"/>
      <c r="M178" s="27">
        <f t="shared" si="0"/>
        <v>0</v>
      </c>
      <c r="P178" s="28"/>
      <c r="U178" s="28"/>
      <c r="V178" s="28"/>
    </row>
    <row r="179" spans="1:22">
      <c r="A179" s="44" t="s">
        <v>1805</v>
      </c>
      <c r="B179" s="62" t="s">
        <v>1399</v>
      </c>
      <c r="C179" s="63" t="s">
        <v>1811</v>
      </c>
      <c r="D179" s="45"/>
      <c r="E179" s="23" t="s">
        <v>355</v>
      </c>
      <c r="F179" s="24"/>
      <c r="G179" s="25" t="s">
        <v>404</v>
      </c>
      <c r="H179" s="26" t="s">
        <v>401</v>
      </c>
      <c r="I179" s="25"/>
      <c r="M179" s="27">
        <f t="shared" si="0"/>
        <v>0</v>
      </c>
      <c r="P179" s="28"/>
      <c r="U179" s="28"/>
      <c r="V179" s="28"/>
    </row>
    <row r="180" spans="1:22">
      <c r="A180" s="44" t="s">
        <v>1805</v>
      </c>
      <c r="B180" s="62" t="s">
        <v>1404</v>
      </c>
      <c r="C180" s="63" t="s">
        <v>1405</v>
      </c>
      <c r="D180" s="34" t="s">
        <v>49</v>
      </c>
      <c r="E180" s="23"/>
      <c r="F180" s="24"/>
      <c r="G180" s="25" t="s">
        <v>66</v>
      </c>
      <c r="H180" s="26"/>
      <c r="I180" s="26" t="s">
        <v>87</v>
      </c>
      <c r="M180" s="27">
        <f t="shared" si="0"/>
        <v>0</v>
      </c>
      <c r="P180" s="28"/>
      <c r="U180" s="28"/>
      <c r="V180" s="1"/>
    </row>
    <row r="181" spans="1:22">
      <c r="A181" s="44" t="s">
        <v>1805</v>
      </c>
      <c r="B181" s="62" t="s">
        <v>1409</v>
      </c>
      <c r="C181" s="63" t="s">
        <v>1410</v>
      </c>
      <c r="D181" s="45"/>
      <c r="E181" s="23" t="s">
        <v>1755</v>
      </c>
      <c r="F181" s="24"/>
      <c r="G181" s="26" t="s">
        <v>86</v>
      </c>
      <c r="H181" s="26"/>
      <c r="I181" s="30" t="s">
        <v>63</v>
      </c>
      <c r="M181" s="27">
        <f t="shared" si="0"/>
        <v>0</v>
      </c>
      <c r="P181" s="28"/>
      <c r="U181" s="28"/>
      <c r="V181" s="31"/>
    </row>
    <row r="182" spans="1:22">
      <c r="A182" s="44" t="s">
        <v>1805</v>
      </c>
      <c r="B182" s="62" t="s">
        <v>1413</v>
      </c>
      <c r="C182" s="63" t="s">
        <v>1414</v>
      </c>
      <c r="D182" s="45" t="s">
        <v>1725</v>
      </c>
      <c r="E182" s="23"/>
      <c r="F182" s="24"/>
      <c r="G182" s="25" t="s">
        <v>231</v>
      </c>
      <c r="H182" s="26"/>
      <c r="I182" s="25" t="s">
        <v>370</v>
      </c>
      <c r="M182" s="27">
        <f t="shared" si="0"/>
        <v>0</v>
      </c>
      <c r="P182" s="28"/>
      <c r="U182" s="1"/>
      <c r="V182" s="28"/>
    </row>
    <row r="183" spans="1:22">
      <c r="A183" s="44" t="s">
        <v>1805</v>
      </c>
      <c r="B183" s="26" t="s">
        <v>971</v>
      </c>
      <c r="C183" s="25" t="s">
        <v>972</v>
      </c>
      <c r="D183" s="34" t="s">
        <v>49</v>
      </c>
      <c r="E183" s="49"/>
      <c r="F183" s="50"/>
      <c r="G183" s="21" t="s">
        <v>385</v>
      </c>
      <c r="H183" s="35"/>
      <c r="I183" s="21" t="s">
        <v>373</v>
      </c>
      <c r="M183" s="27">
        <f t="shared" si="0"/>
        <v>0</v>
      </c>
      <c r="U183" s="28"/>
      <c r="V183" s="33"/>
    </row>
    <row r="184" spans="1:22">
      <c r="A184" s="44" t="s">
        <v>1805</v>
      </c>
      <c r="B184" s="26" t="s">
        <v>1362</v>
      </c>
      <c r="C184" s="25" t="s">
        <v>1363</v>
      </c>
      <c r="D184" s="51"/>
      <c r="E184" s="49"/>
      <c r="F184" s="50"/>
      <c r="G184" s="26" t="s">
        <v>77</v>
      </c>
      <c r="H184" s="26" t="s">
        <v>365</v>
      </c>
      <c r="I184" s="26"/>
      <c r="M184" s="27">
        <f t="shared" si="0"/>
        <v>0</v>
      </c>
      <c r="U184" s="33"/>
    </row>
    <row r="185" spans="1:22">
      <c r="A185" s="44" t="s">
        <v>1805</v>
      </c>
      <c r="B185" s="26" t="s">
        <v>1417</v>
      </c>
      <c r="C185" s="25" t="s">
        <v>1418</v>
      </c>
      <c r="D185" s="51"/>
      <c r="E185" s="36" t="s">
        <v>355</v>
      </c>
      <c r="F185" s="50"/>
      <c r="G185" s="26" t="s">
        <v>404</v>
      </c>
      <c r="H185" s="26"/>
      <c r="I185" s="26" t="s">
        <v>372</v>
      </c>
      <c r="M185" s="27">
        <f t="shared" si="0"/>
        <v>0</v>
      </c>
      <c r="U185" s="1"/>
      <c r="V185" s="1"/>
    </row>
    <row r="186" spans="1:22">
      <c r="A186" s="44" t="s">
        <v>1805</v>
      </c>
      <c r="B186" s="26" t="s">
        <v>1380</v>
      </c>
      <c r="C186" s="25" t="s">
        <v>1381</v>
      </c>
      <c r="D186" s="51"/>
      <c r="E186" s="49"/>
      <c r="F186" s="50"/>
      <c r="G186" s="26" t="s">
        <v>77</v>
      </c>
      <c r="H186" s="26" t="s">
        <v>365</v>
      </c>
      <c r="I186" s="26"/>
      <c r="M186" s="27">
        <f t="shared" si="0"/>
        <v>0</v>
      </c>
      <c r="U186" s="1"/>
    </row>
    <row r="187" spans="1:22">
      <c r="A187" s="44" t="s">
        <v>1805</v>
      </c>
      <c r="B187" s="26" t="s">
        <v>1421</v>
      </c>
      <c r="C187" s="25" t="s">
        <v>1812</v>
      </c>
      <c r="D187" s="34" t="s">
        <v>49</v>
      </c>
      <c r="E187" s="49"/>
      <c r="F187" s="50"/>
      <c r="G187" s="26" t="s">
        <v>393</v>
      </c>
      <c r="H187" s="26"/>
      <c r="I187" s="26" t="s">
        <v>87</v>
      </c>
      <c r="M187" s="27">
        <f t="shared" si="0"/>
        <v>0</v>
      </c>
      <c r="U187" s="1"/>
      <c r="V187" s="1"/>
    </row>
    <row r="188" spans="1:22">
      <c r="A188" s="26"/>
      <c r="D188" s="51"/>
      <c r="E188" s="49"/>
      <c r="F188" s="50"/>
      <c r="G188" s="26"/>
      <c r="H188" s="26"/>
      <c r="I188" s="26"/>
      <c r="U188" s="1"/>
    </row>
    <row r="189" spans="1:22">
      <c r="A189" s="26"/>
      <c r="D189" s="51"/>
      <c r="E189" s="49"/>
      <c r="F189" s="50"/>
      <c r="G189" s="26"/>
      <c r="H189" s="26"/>
      <c r="I189" s="26"/>
      <c r="U189" s="19"/>
    </row>
    <row r="190" spans="1:22">
      <c r="A190" s="26"/>
      <c r="D190" s="51"/>
      <c r="E190" s="49"/>
      <c r="F190" s="50"/>
      <c r="G190" s="26"/>
      <c r="H190" s="26"/>
      <c r="I190" s="26"/>
      <c r="U190" s="1"/>
    </row>
    <row r="191" spans="1:22">
      <c r="A191" s="26"/>
      <c r="D191" s="51"/>
      <c r="E191" s="49"/>
      <c r="F191" s="50"/>
      <c r="G191" s="26"/>
      <c r="H191" s="26"/>
      <c r="I191" s="26"/>
      <c r="U191" s="1"/>
    </row>
    <row r="192" spans="1:22">
      <c r="A192" s="26"/>
      <c r="D192" s="51"/>
      <c r="E192" s="49"/>
      <c r="F192" s="50"/>
      <c r="G192" s="26"/>
      <c r="H192" s="26"/>
      <c r="I192" s="26"/>
      <c r="U192" s="1"/>
    </row>
    <row r="193" spans="1:21">
      <c r="A193" s="26"/>
      <c r="D193" s="51"/>
      <c r="E193" s="49"/>
      <c r="F193" s="50"/>
      <c r="G193" s="26"/>
      <c r="H193" s="26"/>
      <c r="I193" s="26"/>
    </row>
    <row r="194" spans="1:21">
      <c r="A194" s="26"/>
      <c r="D194" s="51"/>
      <c r="E194" s="49"/>
      <c r="F194" s="50"/>
      <c r="G194" s="26"/>
      <c r="H194" s="26"/>
      <c r="I194" s="26"/>
    </row>
    <row r="195" spans="1:21">
      <c r="A195" s="26"/>
      <c r="D195" s="51"/>
      <c r="E195" s="49"/>
      <c r="F195" s="50"/>
      <c r="G195" s="26"/>
      <c r="H195" s="26"/>
      <c r="I195" s="26"/>
      <c r="U195" s="1"/>
    </row>
    <row r="196" spans="1:21">
      <c r="A196" s="26"/>
      <c r="D196" s="51"/>
      <c r="E196" s="49"/>
      <c r="F196" s="50"/>
      <c r="G196" s="26"/>
      <c r="H196" s="26"/>
      <c r="I196" s="26"/>
      <c r="U196" s="1"/>
    </row>
    <row r="197" spans="1:21">
      <c r="A197" s="26"/>
      <c r="D197" s="51"/>
      <c r="E197" s="49"/>
      <c r="F197" s="50"/>
      <c r="G197" s="26"/>
      <c r="H197" s="26"/>
      <c r="I197" s="26"/>
    </row>
    <row r="198" spans="1:21">
      <c r="A198" s="26"/>
      <c r="D198" s="51"/>
      <c r="E198" s="49"/>
      <c r="F198" s="50"/>
      <c r="G198" s="26"/>
      <c r="H198" s="26"/>
      <c r="I198" s="26"/>
    </row>
    <row r="199" spans="1:21">
      <c r="A199" s="26"/>
      <c r="D199" s="51"/>
      <c r="E199" s="49"/>
      <c r="F199" s="50"/>
      <c r="G199" s="26"/>
      <c r="H199" s="26"/>
      <c r="I199" s="26"/>
      <c r="U199" s="28"/>
    </row>
    <row r="200" spans="1:21">
      <c r="A200" s="26"/>
      <c r="D200" s="51"/>
      <c r="E200" s="49"/>
      <c r="F200" s="50"/>
      <c r="G200" s="26"/>
      <c r="H200" s="26"/>
      <c r="I200" s="26"/>
      <c r="U200" s="1"/>
    </row>
    <row r="201" spans="1:21">
      <c r="A201" s="26"/>
      <c r="D201" s="51"/>
      <c r="E201" s="49"/>
      <c r="F201" s="50"/>
      <c r="G201" s="26"/>
      <c r="H201" s="26"/>
      <c r="I201" s="26"/>
    </row>
    <row r="202" spans="1:21">
      <c r="A202" s="26"/>
      <c r="D202" s="51"/>
      <c r="E202" s="49"/>
      <c r="F202" s="50"/>
      <c r="G202" s="26"/>
      <c r="H202" s="26"/>
      <c r="I202" s="26"/>
    </row>
    <row r="203" spans="1:21">
      <c r="A203" s="26"/>
      <c r="D203" s="51"/>
      <c r="E203" s="49"/>
      <c r="F203" s="50"/>
      <c r="G203" s="26"/>
      <c r="H203" s="26"/>
      <c r="I203" s="26"/>
      <c r="U203" s="33"/>
    </row>
    <row r="204" spans="1:21">
      <c r="A204" s="26"/>
      <c r="D204" s="51"/>
      <c r="E204" s="49"/>
      <c r="F204" s="50"/>
      <c r="G204" s="26"/>
      <c r="H204" s="26"/>
      <c r="I204" s="26"/>
    </row>
    <row r="205" spans="1:21">
      <c r="A205" s="26"/>
      <c r="D205" s="51"/>
      <c r="E205" s="49"/>
      <c r="F205" s="50"/>
      <c r="G205" s="26"/>
      <c r="H205" s="26"/>
      <c r="I205" s="26"/>
    </row>
    <row r="206" spans="1:21">
      <c r="A206" s="26"/>
      <c r="D206" s="51"/>
      <c r="E206" s="49"/>
      <c r="F206" s="50"/>
      <c r="G206" s="26"/>
      <c r="H206" s="26"/>
      <c r="I206" s="26"/>
      <c r="U206" s="28"/>
    </row>
    <row r="207" spans="1:21">
      <c r="A207" s="26"/>
      <c r="D207" s="51"/>
      <c r="E207" s="49"/>
      <c r="F207" s="50"/>
      <c r="G207" s="26"/>
      <c r="H207" s="26"/>
      <c r="I207" s="26"/>
      <c r="U207" s="28"/>
    </row>
    <row r="208" spans="1:21">
      <c r="A208" s="26"/>
      <c r="D208" s="51"/>
      <c r="E208" s="49"/>
      <c r="F208" s="50"/>
      <c r="G208" s="26"/>
      <c r="H208" s="26"/>
      <c r="I208" s="26"/>
      <c r="U208" s="28"/>
    </row>
    <row r="209" spans="1:21">
      <c r="A209" s="26"/>
      <c r="D209" s="51"/>
      <c r="E209" s="49"/>
      <c r="F209" s="50"/>
      <c r="G209" s="26"/>
      <c r="H209" s="26"/>
      <c r="I209" s="26"/>
      <c r="U209" s="1"/>
    </row>
    <row r="210" spans="1:21">
      <c r="A210" s="26"/>
      <c r="D210" s="51"/>
      <c r="E210" s="49"/>
      <c r="F210" s="50"/>
      <c r="G210" s="26"/>
      <c r="H210" s="26"/>
      <c r="I210" s="26"/>
      <c r="U210" s="1"/>
    </row>
    <row r="211" spans="1:21">
      <c r="A211" s="26"/>
      <c r="D211" s="51"/>
      <c r="E211" s="49"/>
      <c r="F211" s="50"/>
      <c r="G211" s="26"/>
      <c r="H211" s="26"/>
      <c r="I211" s="26"/>
    </row>
    <row r="212" spans="1:21">
      <c r="A212" s="26"/>
      <c r="D212" s="51"/>
      <c r="E212" s="49"/>
      <c r="F212" s="50"/>
      <c r="G212" s="26"/>
      <c r="H212" s="26"/>
      <c r="I212" s="26"/>
    </row>
    <row r="213" spans="1:21">
      <c r="A213" s="26"/>
      <c r="D213" s="51"/>
      <c r="E213" s="49"/>
      <c r="F213" s="50"/>
      <c r="G213" s="26"/>
      <c r="H213" s="26"/>
      <c r="I213" s="26"/>
      <c r="U213" s="1"/>
    </row>
    <row r="214" spans="1:21">
      <c r="A214" s="26"/>
      <c r="D214" s="51"/>
      <c r="E214" s="49"/>
      <c r="F214" s="50"/>
      <c r="G214" s="26"/>
      <c r="H214" s="26"/>
      <c r="I214" s="26"/>
      <c r="U214" s="1"/>
    </row>
    <row r="215" spans="1:21">
      <c r="A215" s="26"/>
      <c r="D215" s="51"/>
      <c r="E215" s="49"/>
      <c r="F215" s="50"/>
      <c r="G215" s="26"/>
      <c r="H215" s="26"/>
      <c r="I215" s="26"/>
      <c r="U215" s="1"/>
    </row>
    <row r="216" spans="1:21">
      <c r="A216" s="26"/>
      <c r="D216" s="51"/>
      <c r="E216" s="49"/>
      <c r="F216" s="50"/>
      <c r="G216" s="26"/>
      <c r="H216" s="26"/>
      <c r="I216" s="26"/>
      <c r="U216" s="1"/>
    </row>
    <row r="217" spans="1:21">
      <c r="A217" s="26"/>
      <c r="D217" s="51"/>
      <c r="E217" s="49"/>
      <c r="F217" s="50"/>
      <c r="G217" s="26"/>
      <c r="H217" s="26"/>
      <c r="I217" s="26"/>
    </row>
    <row r="218" spans="1:21">
      <c r="A218" s="26"/>
      <c r="D218" s="51"/>
      <c r="E218" s="49"/>
      <c r="F218" s="50"/>
      <c r="G218" s="26"/>
      <c r="H218" s="26"/>
      <c r="I218" s="26"/>
    </row>
    <row r="219" spans="1:21">
      <c r="A219" s="26"/>
      <c r="D219" s="51"/>
      <c r="E219" s="49"/>
      <c r="F219" s="50"/>
      <c r="G219" s="26"/>
      <c r="H219" s="26"/>
      <c r="I219" s="26"/>
    </row>
    <row r="220" spans="1:21">
      <c r="A220" s="26"/>
      <c r="D220" s="51"/>
      <c r="E220" s="49"/>
      <c r="F220" s="50"/>
      <c r="G220" s="26"/>
      <c r="H220" s="26"/>
      <c r="I220" s="26"/>
    </row>
    <row r="221" spans="1:21">
      <c r="A221" s="26"/>
      <c r="D221" s="51"/>
      <c r="E221" s="49"/>
      <c r="F221" s="50"/>
      <c r="G221" s="26"/>
      <c r="H221" s="26"/>
      <c r="I221" s="26"/>
    </row>
    <row r="222" spans="1:21">
      <c r="A222" s="26"/>
      <c r="D222" s="51"/>
      <c r="E222" s="49"/>
      <c r="F222" s="50"/>
      <c r="G222" s="26"/>
      <c r="H222" s="26"/>
      <c r="I222" s="26"/>
    </row>
    <row r="223" spans="1:21">
      <c r="A223" s="26"/>
      <c r="D223" s="51"/>
      <c r="E223" s="49"/>
      <c r="F223" s="50"/>
      <c r="G223" s="26"/>
      <c r="H223" s="26"/>
      <c r="I223" s="26"/>
      <c r="U223" s="1"/>
    </row>
    <row r="224" spans="1:21">
      <c r="A224" s="26"/>
      <c r="D224" s="51"/>
      <c r="E224" s="49"/>
      <c r="F224" s="50"/>
      <c r="G224" s="26"/>
      <c r="H224" s="26"/>
      <c r="I224" s="26"/>
      <c r="U224" s="1"/>
    </row>
    <row r="225" spans="1:21">
      <c r="A225" s="26"/>
      <c r="D225" s="51"/>
      <c r="E225" s="49"/>
      <c r="F225" s="50"/>
      <c r="G225" s="26"/>
      <c r="H225" s="26"/>
      <c r="I225" s="26"/>
      <c r="U225" s="1"/>
    </row>
    <row r="226" spans="1:21">
      <c r="A226" s="26"/>
      <c r="D226" s="51"/>
      <c r="E226" s="49"/>
      <c r="F226" s="50"/>
      <c r="G226" s="26"/>
      <c r="H226" s="26"/>
      <c r="I226" s="26"/>
    </row>
    <row r="227" spans="1:21">
      <c r="A227" s="26"/>
      <c r="D227" s="51"/>
      <c r="E227" s="49"/>
      <c r="F227" s="50"/>
      <c r="G227" s="26"/>
      <c r="H227" s="26"/>
      <c r="I227" s="26"/>
      <c r="U227" s="28"/>
    </row>
    <row r="228" spans="1:21">
      <c r="A228" s="26"/>
      <c r="D228" s="51"/>
      <c r="E228" s="49"/>
      <c r="F228" s="50"/>
      <c r="G228" s="26"/>
      <c r="H228" s="26"/>
      <c r="I228" s="26"/>
    </row>
    <row r="229" spans="1:21">
      <c r="A229" s="26"/>
      <c r="D229" s="51"/>
      <c r="E229" s="49"/>
      <c r="F229" s="50"/>
      <c r="G229" s="26"/>
      <c r="H229" s="26"/>
      <c r="I229" s="26"/>
    </row>
    <row r="230" spans="1:21">
      <c r="A230" s="26"/>
      <c r="D230" s="51"/>
      <c r="E230" s="49"/>
      <c r="F230" s="50"/>
      <c r="G230" s="26"/>
      <c r="H230" s="26"/>
      <c r="I230" s="26"/>
      <c r="U230" s="28"/>
    </row>
    <row r="231" spans="1:21">
      <c r="A231" s="26"/>
      <c r="D231" s="51"/>
      <c r="E231" s="49"/>
      <c r="F231" s="50"/>
      <c r="G231" s="26"/>
      <c r="H231" s="26"/>
      <c r="I231" s="26"/>
    </row>
    <row r="232" spans="1:21">
      <c r="A232" s="26"/>
      <c r="D232" s="51"/>
      <c r="E232" s="49"/>
      <c r="F232" s="50"/>
      <c r="G232" s="26"/>
      <c r="H232" s="26"/>
      <c r="I232" s="26"/>
    </row>
    <row r="233" spans="1:21">
      <c r="A233" s="26"/>
      <c r="D233" s="51"/>
      <c r="E233" s="49"/>
      <c r="F233" s="50"/>
      <c r="G233" s="26"/>
      <c r="H233" s="26"/>
      <c r="I233" s="26"/>
    </row>
    <row r="234" spans="1:21">
      <c r="A234" s="26"/>
      <c r="D234" s="51"/>
      <c r="E234" s="49"/>
      <c r="F234" s="50"/>
      <c r="G234" s="26"/>
      <c r="H234" s="26"/>
      <c r="I234" s="26"/>
    </row>
    <row r="235" spans="1:21">
      <c r="A235" s="26"/>
      <c r="D235" s="51"/>
      <c r="E235" s="49"/>
      <c r="F235" s="50"/>
      <c r="G235" s="26"/>
      <c r="H235" s="26"/>
      <c r="I235" s="26"/>
    </row>
    <row r="236" spans="1:21">
      <c r="A236" s="26"/>
      <c r="D236" s="51"/>
      <c r="E236" s="49"/>
      <c r="F236" s="50"/>
      <c r="G236" s="26"/>
      <c r="H236" s="26"/>
      <c r="I236" s="26"/>
    </row>
    <row r="237" spans="1:21">
      <c r="A237" s="26"/>
      <c r="D237" s="51"/>
      <c r="E237" s="49"/>
      <c r="F237" s="50"/>
      <c r="G237" s="26"/>
      <c r="H237" s="26"/>
      <c r="I237" s="26"/>
      <c r="U237" s="1"/>
    </row>
    <row r="238" spans="1:21">
      <c r="A238" s="26"/>
      <c r="D238" s="51"/>
      <c r="E238" s="49"/>
      <c r="F238" s="50"/>
      <c r="G238" s="26"/>
      <c r="H238" s="26"/>
      <c r="I238" s="26"/>
    </row>
    <row r="239" spans="1:21">
      <c r="A239" s="26"/>
      <c r="D239" s="51"/>
      <c r="E239" s="49"/>
      <c r="F239" s="50"/>
      <c r="G239" s="26"/>
      <c r="H239" s="26"/>
      <c r="I239" s="26"/>
    </row>
    <row r="240" spans="1:21">
      <c r="A240" s="26"/>
      <c r="D240" s="51"/>
      <c r="E240" s="49"/>
      <c r="F240" s="50"/>
      <c r="G240" s="26"/>
      <c r="H240" s="26"/>
      <c r="I240" s="26"/>
    </row>
    <row r="241" spans="1:21">
      <c r="A241" s="26"/>
      <c r="D241" s="51"/>
      <c r="E241" s="49"/>
      <c r="F241" s="50"/>
      <c r="G241" s="26"/>
      <c r="H241" s="26"/>
      <c r="I241" s="26"/>
    </row>
    <row r="242" spans="1:21">
      <c r="A242" s="26"/>
      <c r="D242" s="51"/>
      <c r="E242" s="49"/>
      <c r="F242" s="50"/>
      <c r="G242" s="26"/>
      <c r="H242" s="26"/>
      <c r="I242" s="26"/>
    </row>
    <row r="243" spans="1:21">
      <c r="A243" s="26"/>
      <c r="D243" s="51"/>
      <c r="E243" s="49"/>
      <c r="F243" s="50"/>
      <c r="G243" s="26"/>
      <c r="H243" s="26"/>
      <c r="I243" s="26"/>
    </row>
    <row r="244" spans="1:21">
      <c r="A244" s="26"/>
      <c r="D244" s="51"/>
      <c r="E244" s="49"/>
      <c r="F244" s="50"/>
      <c r="G244" s="26"/>
      <c r="H244" s="26"/>
      <c r="I244" s="26"/>
    </row>
    <row r="245" spans="1:21">
      <c r="A245" s="26"/>
      <c r="D245" s="51"/>
      <c r="E245" s="49"/>
      <c r="F245" s="50"/>
      <c r="G245" s="26"/>
      <c r="H245" s="26"/>
      <c r="I245" s="26"/>
      <c r="U245" s="5"/>
    </row>
    <row r="246" spans="1:21">
      <c r="A246" s="26"/>
      <c r="D246" s="51"/>
      <c r="E246" s="49"/>
      <c r="F246" s="50"/>
      <c r="G246" s="26"/>
      <c r="H246" s="26"/>
      <c r="I246" s="26"/>
      <c r="U246" s="5"/>
    </row>
    <row r="247" spans="1:21">
      <c r="A247" s="26"/>
      <c r="D247" s="51"/>
      <c r="E247" s="49"/>
      <c r="F247" s="50"/>
      <c r="G247" s="26"/>
      <c r="H247" s="26"/>
      <c r="I247" s="26"/>
      <c r="U247" s="5"/>
    </row>
    <row r="248" spans="1:21">
      <c r="A248" s="26"/>
      <c r="D248" s="51"/>
      <c r="E248" s="49"/>
      <c r="F248" s="50"/>
      <c r="G248" s="26"/>
      <c r="H248" s="26"/>
      <c r="I248" s="26"/>
      <c r="U248" s="5"/>
    </row>
    <row r="249" spans="1:21">
      <c r="A249" s="26"/>
      <c r="D249" s="51"/>
      <c r="E249" s="49"/>
      <c r="F249" s="50"/>
      <c r="G249" s="26"/>
      <c r="H249" s="26"/>
      <c r="I249" s="26"/>
    </row>
    <row r="250" spans="1:21">
      <c r="A250" s="26"/>
      <c r="D250" s="51"/>
      <c r="E250" s="49"/>
      <c r="F250" s="50"/>
      <c r="G250" s="26"/>
      <c r="H250" s="26"/>
      <c r="I250" s="26"/>
    </row>
    <row r="251" spans="1:21">
      <c r="A251" s="26"/>
      <c r="D251" s="51"/>
      <c r="E251" s="49"/>
      <c r="F251" s="50"/>
      <c r="G251" s="26"/>
      <c r="H251" s="26"/>
      <c r="I251" s="26"/>
    </row>
    <row r="252" spans="1:21">
      <c r="A252" s="26"/>
      <c r="D252" s="51"/>
      <c r="E252" s="49"/>
      <c r="F252" s="50"/>
      <c r="G252" s="26"/>
      <c r="H252" s="26"/>
      <c r="I252" s="26"/>
    </row>
    <row r="253" spans="1:21">
      <c r="A253" s="26"/>
      <c r="D253" s="51"/>
      <c r="E253" s="49"/>
      <c r="F253" s="50"/>
      <c r="G253" s="26"/>
      <c r="H253" s="26"/>
      <c r="I253" s="26"/>
    </row>
    <row r="254" spans="1:21">
      <c r="A254" s="26"/>
      <c r="D254" s="51"/>
      <c r="E254" s="49"/>
      <c r="F254" s="50"/>
      <c r="G254" s="26"/>
      <c r="H254" s="26"/>
      <c r="I254" s="26"/>
    </row>
    <row r="255" spans="1:21">
      <c r="A255" s="26"/>
      <c r="D255" s="51"/>
      <c r="E255" s="49"/>
      <c r="F255" s="50"/>
      <c r="G255" s="26"/>
      <c r="H255" s="26"/>
      <c r="I255" s="26"/>
    </row>
    <row r="256" spans="1:21">
      <c r="A256" s="26"/>
      <c r="D256" s="51"/>
      <c r="E256" s="49"/>
      <c r="F256" s="50"/>
      <c r="G256" s="26"/>
      <c r="H256" s="26"/>
      <c r="I256" s="26"/>
    </row>
    <row r="257" spans="1:21">
      <c r="A257" s="26"/>
      <c r="D257" s="51"/>
      <c r="E257" s="49"/>
      <c r="F257" s="50"/>
      <c r="G257" s="26"/>
      <c r="H257" s="26"/>
      <c r="I257" s="26"/>
    </row>
    <row r="258" spans="1:21">
      <c r="A258" s="26"/>
      <c r="D258" s="51"/>
      <c r="E258" s="49"/>
      <c r="F258" s="50"/>
      <c r="G258" s="26"/>
      <c r="H258" s="26"/>
      <c r="I258" s="26"/>
    </row>
    <row r="259" spans="1:21">
      <c r="A259" s="26"/>
      <c r="D259" s="51"/>
      <c r="E259" s="49"/>
      <c r="F259" s="50"/>
      <c r="G259" s="26"/>
      <c r="H259" s="26"/>
      <c r="I259" s="26"/>
    </row>
    <row r="260" spans="1:21">
      <c r="A260" s="26"/>
      <c r="D260" s="51"/>
      <c r="E260" s="49"/>
      <c r="F260" s="50"/>
      <c r="G260" s="26"/>
      <c r="H260" s="26"/>
      <c r="I260" s="26"/>
    </row>
    <row r="261" spans="1:21">
      <c r="A261" s="26"/>
      <c r="D261" s="51"/>
      <c r="E261" s="49"/>
      <c r="F261" s="50"/>
      <c r="G261" s="26"/>
      <c r="H261" s="26"/>
      <c r="I261" s="26"/>
      <c r="U261" s="1"/>
    </row>
    <row r="262" spans="1:21">
      <c r="A262" s="26"/>
      <c r="D262" s="51"/>
      <c r="E262" s="49"/>
      <c r="F262" s="50"/>
      <c r="G262" s="26"/>
      <c r="H262" s="26"/>
      <c r="I262" s="26"/>
      <c r="U262" s="1"/>
    </row>
    <row r="263" spans="1:21">
      <c r="A263" s="26"/>
      <c r="D263" s="51"/>
      <c r="E263" s="49"/>
      <c r="F263" s="50"/>
      <c r="G263" s="26"/>
      <c r="H263" s="26"/>
      <c r="I263" s="26"/>
      <c r="U263" s="1"/>
    </row>
    <row r="264" spans="1:21">
      <c r="A264" s="26"/>
      <c r="D264" s="51"/>
      <c r="E264" s="49"/>
      <c r="F264" s="50"/>
      <c r="G264" s="26"/>
      <c r="H264" s="26"/>
      <c r="I264" s="26"/>
      <c r="U264" s="1"/>
    </row>
    <row r="265" spans="1:21">
      <c r="A265" s="26"/>
      <c r="D265" s="51"/>
      <c r="E265" s="49"/>
      <c r="F265" s="50"/>
      <c r="G265" s="26"/>
      <c r="H265" s="26"/>
      <c r="I265" s="26"/>
      <c r="U265" s="1"/>
    </row>
    <row r="266" spans="1:21">
      <c r="A266" s="26"/>
      <c r="D266" s="51"/>
      <c r="E266" s="49"/>
      <c r="F266" s="50"/>
      <c r="G266" s="26"/>
      <c r="H266" s="26"/>
      <c r="I266" s="26"/>
      <c r="U266" s="1"/>
    </row>
    <row r="267" spans="1:21">
      <c r="A267" s="26"/>
      <c r="D267" s="51"/>
      <c r="E267" s="49"/>
      <c r="F267" s="50"/>
      <c r="G267" s="26"/>
      <c r="H267" s="26"/>
      <c r="I267" s="26"/>
      <c r="U267" s="1"/>
    </row>
    <row r="268" spans="1:21">
      <c r="A268" s="26"/>
      <c r="D268" s="51"/>
      <c r="E268" s="49"/>
      <c r="F268" s="50"/>
      <c r="G268" s="26"/>
      <c r="H268" s="26"/>
      <c r="I268" s="26"/>
      <c r="U268" s="1"/>
    </row>
    <row r="269" spans="1:21">
      <c r="A269" s="26"/>
      <c r="D269" s="51"/>
      <c r="E269" s="49"/>
      <c r="F269" s="50"/>
      <c r="G269" s="26"/>
      <c r="H269" s="26"/>
      <c r="I269" s="26"/>
      <c r="U269" s="52"/>
    </row>
    <row r="270" spans="1:21">
      <c r="A270" s="26"/>
      <c r="D270" s="51"/>
      <c r="E270" s="49"/>
      <c r="F270" s="50"/>
      <c r="G270" s="26"/>
      <c r="H270" s="26"/>
      <c r="I270" s="26"/>
      <c r="U270" s="52"/>
    </row>
    <row r="271" spans="1:21">
      <c r="A271" s="26"/>
      <c r="D271" s="51"/>
      <c r="E271" s="49"/>
      <c r="F271" s="50"/>
      <c r="G271" s="26"/>
      <c r="H271" s="26"/>
      <c r="I271" s="26"/>
      <c r="U271" s="1"/>
    </row>
    <row r="272" spans="1:21">
      <c r="A272" s="26"/>
      <c r="D272" s="51"/>
      <c r="E272" s="49"/>
      <c r="F272" s="50"/>
      <c r="G272" s="26"/>
      <c r="H272" s="26"/>
      <c r="I272" s="26"/>
      <c r="U272" s="1"/>
    </row>
    <row r="273" spans="1:21">
      <c r="A273" s="26"/>
      <c r="D273" s="51"/>
      <c r="E273" s="49"/>
      <c r="F273" s="50"/>
      <c r="G273" s="26"/>
      <c r="H273" s="26"/>
      <c r="I273" s="26"/>
      <c r="U273" s="1"/>
    </row>
    <row r="274" spans="1:21">
      <c r="A274" s="26"/>
      <c r="D274" s="51"/>
      <c r="E274" s="49"/>
      <c r="F274" s="50"/>
      <c r="G274" s="26"/>
      <c r="H274" s="26"/>
      <c r="I274" s="26"/>
      <c r="U274" s="1"/>
    </row>
    <row r="275" spans="1:21">
      <c r="A275" s="26"/>
      <c r="D275" s="51"/>
      <c r="E275" s="49"/>
      <c r="F275" s="50"/>
      <c r="G275" s="26"/>
      <c r="H275" s="26"/>
      <c r="I275" s="26"/>
      <c r="U275" s="1"/>
    </row>
    <row r="276" spans="1:21">
      <c r="A276" s="26"/>
      <c r="D276" s="51"/>
      <c r="E276" s="49"/>
      <c r="F276" s="50"/>
      <c r="G276" s="26"/>
      <c r="H276" s="26"/>
      <c r="I276" s="26"/>
    </row>
    <row r="277" spans="1:21">
      <c r="A277" s="26"/>
      <c r="D277" s="51"/>
      <c r="E277" s="49"/>
      <c r="F277" s="50"/>
      <c r="G277" s="26"/>
      <c r="H277" s="26"/>
      <c r="I277" s="26"/>
    </row>
    <row r="278" spans="1:21">
      <c r="A278" s="26"/>
      <c r="D278" s="51"/>
      <c r="E278" s="49"/>
      <c r="F278" s="50"/>
      <c r="G278" s="26"/>
      <c r="H278" s="26"/>
      <c r="I278" s="26"/>
      <c r="U278" s="1"/>
    </row>
    <row r="279" spans="1:21">
      <c r="A279" s="26"/>
      <c r="D279" s="51"/>
      <c r="E279" s="49"/>
      <c r="F279" s="50"/>
      <c r="G279" s="26"/>
      <c r="H279" s="26"/>
      <c r="I279" s="26"/>
    </row>
    <row r="280" spans="1:21">
      <c r="A280" s="26"/>
      <c r="D280" s="51"/>
      <c r="E280" s="49"/>
      <c r="F280" s="50"/>
      <c r="G280" s="26"/>
      <c r="H280" s="26"/>
      <c r="I280" s="26"/>
      <c r="U280" s="1"/>
    </row>
    <row r="281" spans="1:21">
      <c r="A281" s="26"/>
      <c r="D281" s="51"/>
      <c r="E281" s="49"/>
      <c r="F281" s="50"/>
      <c r="G281" s="26"/>
      <c r="H281" s="26"/>
      <c r="I281" s="26"/>
    </row>
    <row r="282" spans="1:21">
      <c r="A282" s="26"/>
      <c r="D282" s="51"/>
      <c r="E282" s="49"/>
      <c r="F282" s="50"/>
      <c r="G282" s="26"/>
      <c r="H282" s="26"/>
      <c r="I282" s="26"/>
    </row>
    <row r="283" spans="1:21">
      <c r="A283" s="26"/>
      <c r="D283" s="51"/>
      <c r="E283" s="49"/>
      <c r="F283" s="50"/>
      <c r="G283" s="26"/>
      <c r="H283" s="26"/>
      <c r="I283" s="26"/>
      <c r="U283" s="1"/>
    </row>
    <row r="284" spans="1:21">
      <c r="A284" s="26"/>
      <c r="D284" s="51"/>
      <c r="E284" s="49"/>
      <c r="F284" s="50"/>
      <c r="G284" s="26"/>
      <c r="H284" s="26"/>
      <c r="I284" s="26"/>
      <c r="U284" s="1"/>
    </row>
    <row r="285" spans="1:21">
      <c r="A285" s="26"/>
      <c r="D285" s="51"/>
      <c r="E285" s="49"/>
      <c r="F285" s="50"/>
      <c r="G285" s="26"/>
      <c r="H285" s="26"/>
      <c r="I285" s="26"/>
      <c r="U285" s="1"/>
    </row>
    <row r="286" spans="1:21">
      <c r="A286" s="26"/>
      <c r="D286" s="51"/>
      <c r="E286" s="49"/>
      <c r="F286" s="50"/>
      <c r="G286" s="26"/>
      <c r="H286" s="26"/>
      <c r="I286" s="26"/>
      <c r="U286" s="1"/>
    </row>
    <row r="287" spans="1:21">
      <c r="A287" s="26"/>
      <c r="D287" s="51"/>
      <c r="E287" s="49"/>
      <c r="F287" s="50"/>
      <c r="G287" s="26"/>
      <c r="H287" s="26"/>
      <c r="I287" s="26"/>
    </row>
    <row r="288" spans="1:21">
      <c r="A288" s="26"/>
      <c r="D288" s="51"/>
      <c r="E288" s="49"/>
      <c r="F288" s="50"/>
      <c r="G288" s="26"/>
      <c r="H288" s="26"/>
      <c r="I288" s="26"/>
      <c r="U288" s="1"/>
    </row>
    <row r="289" spans="1:21">
      <c r="A289" s="26"/>
      <c r="D289" s="51"/>
      <c r="E289" s="49"/>
      <c r="F289" s="50"/>
      <c r="G289" s="26"/>
      <c r="H289" s="26"/>
      <c r="I289" s="26"/>
      <c r="U289" s="1"/>
    </row>
    <row r="290" spans="1:21">
      <c r="A290" s="26"/>
      <c r="D290" s="51"/>
      <c r="E290" s="49"/>
      <c r="F290" s="50"/>
      <c r="G290" s="26"/>
      <c r="H290" s="26"/>
      <c r="I290" s="26"/>
    </row>
    <row r="291" spans="1:21">
      <c r="A291" s="26"/>
      <c r="D291" s="51"/>
      <c r="E291" s="49"/>
      <c r="F291" s="50"/>
      <c r="G291" s="26"/>
      <c r="H291" s="26"/>
      <c r="I291" s="26"/>
      <c r="U291" s="1"/>
    </row>
    <row r="292" spans="1:21">
      <c r="A292" s="26"/>
      <c r="D292" s="51"/>
      <c r="E292" s="49"/>
      <c r="F292" s="50"/>
      <c r="G292" s="26"/>
      <c r="H292" s="26"/>
      <c r="I292" s="26"/>
    </row>
    <row r="293" spans="1:21">
      <c r="A293" s="26"/>
      <c r="D293" s="51"/>
      <c r="E293" s="49"/>
      <c r="F293" s="50"/>
      <c r="G293" s="26"/>
      <c r="H293" s="26"/>
      <c r="I293" s="26"/>
    </row>
    <row r="294" spans="1:21">
      <c r="A294" s="26"/>
      <c r="D294" s="51"/>
      <c r="E294" s="49"/>
      <c r="F294" s="50"/>
      <c r="G294" s="26"/>
      <c r="H294" s="26"/>
      <c r="I294" s="26"/>
    </row>
    <row r="295" spans="1:21">
      <c r="A295" s="26"/>
      <c r="D295" s="51"/>
      <c r="E295" s="49"/>
      <c r="F295" s="50"/>
      <c r="G295" s="26"/>
      <c r="H295" s="26"/>
      <c r="I295" s="26"/>
      <c r="U295" s="28"/>
    </row>
    <row r="296" spans="1:21">
      <c r="A296" s="26"/>
      <c r="D296" s="51"/>
      <c r="E296" s="49"/>
      <c r="F296" s="50"/>
      <c r="G296" s="26"/>
      <c r="H296" s="26"/>
      <c r="I296" s="26"/>
    </row>
    <row r="297" spans="1:21">
      <c r="A297" s="26"/>
      <c r="D297" s="51"/>
      <c r="E297" s="49"/>
      <c r="F297" s="50"/>
      <c r="G297" s="26"/>
      <c r="H297" s="26"/>
      <c r="I297" s="26"/>
      <c r="U297" s="1"/>
    </row>
    <row r="298" spans="1:21">
      <c r="A298" s="26"/>
      <c r="D298" s="51"/>
      <c r="E298" s="49"/>
      <c r="F298" s="50"/>
      <c r="G298" s="26"/>
      <c r="H298" s="26"/>
      <c r="I298" s="26"/>
    </row>
    <row r="299" spans="1:21">
      <c r="A299" s="26"/>
      <c r="D299" s="51"/>
      <c r="E299" s="49"/>
      <c r="F299" s="50"/>
      <c r="G299" s="26"/>
      <c r="H299" s="26"/>
      <c r="I299" s="26"/>
    </row>
    <row r="300" spans="1:21">
      <c r="A300" s="26"/>
      <c r="D300" s="51"/>
      <c r="E300" s="49"/>
      <c r="F300" s="50"/>
      <c r="G300" s="26"/>
      <c r="H300" s="26"/>
      <c r="I300" s="26"/>
      <c r="U300" s="28"/>
    </row>
    <row r="301" spans="1:21">
      <c r="A301" s="26"/>
      <c r="D301" s="51"/>
      <c r="E301" s="49"/>
      <c r="F301" s="50"/>
      <c r="G301" s="26"/>
      <c r="H301" s="26"/>
      <c r="I301" s="26"/>
    </row>
    <row r="302" spans="1:21">
      <c r="A302" s="26"/>
      <c r="D302" s="51"/>
      <c r="E302" s="49"/>
      <c r="F302" s="50"/>
      <c r="G302" s="26"/>
      <c r="H302" s="26"/>
      <c r="I302" s="26"/>
    </row>
    <row r="303" spans="1:21">
      <c r="A303" s="26"/>
      <c r="D303" s="51"/>
      <c r="E303" s="49"/>
      <c r="F303" s="50"/>
      <c r="G303" s="26"/>
      <c r="H303" s="26"/>
      <c r="I303" s="26"/>
      <c r="U303" s="28"/>
    </row>
    <row r="304" spans="1:21">
      <c r="A304" s="26"/>
      <c r="D304" s="51"/>
      <c r="E304" s="49"/>
      <c r="F304" s="50"/>
      <c r="G304" s="26"/>
      <c r="H304" s="26"/>
      <c r="I304" s="26"/>
    </row>
    <row r="305" spans="1:21">
      <c r="A305" s="26"/>
      <c r="D305" s="51"/>
      <c r="E305" s="49"/>
      <c r="F305" s="50"/>
      <c r="G305" s="26"/>
      <c r="H305" s="26"/>
      <c r="I305" s="26"/>
    </row>
    <row r="306" spans="1:21">
      <c r="A306" s="26"/>
      <c r="D306" s="51"/>
      <c r="E306" s="49"/>
      <c r="F306" s="50"/>
      <c r="G306" s="26"/>
      <c r="H306" s="26"/>
      <c r="I306" s="26"/>
    </row>
    <row r="307" spans="1:21">
      <c r="A307" s="26"/>
      <c r="D307" s="51"/>
      <c r="E307" s="49"/>
      <c r="F307" s="50"/>
      <c r="G307" s="26"/>
      <c r="H307" s="26"/>
      <c r="I307" s="26"/>
      <c r="U307" s="28"/>
    </row>
    <row r="308" spans="1:21">
      <c r="A308" s="26"/>
      <c r="D308" s="51"/>
      <c r="E308" s="49"/>
      <c r="F308" s="50"/>
      <c r="G308" s="26"/>
      <c r="H308" s="26"/>
      <c r="I308" s="26"/>
      <c r="U308" s="28"/>
    </row>
    <row r="309" spans="1:21">
      <c r="A309" s="26"/>
      <c r="D309" s="51"/>
      <c r="E309" s="49"/>
      <c r="F309" s="50"/>
      <c r="G309" s="26"/>
      <c r="H309" s="26"/>
      <c r="I309" s="26"/>
    </row>
    <row r="310" spans="1:21">
      <c r="A310" s="26"/>
      <c r="D310" s="51"/>
      <c r="E310" s="49"/>
      <c r="F310" s="50"/>
      <c r="G310" s="26"/>
      <c r="H310" s="26"/>
      <c r="I310" s="26"/>
    </row>
    <row r="311" spans="1:21">
      <c r="A311" s="26"/>
      <c r="D311" s="51"/>
      <c r="E311" s="49"/>
      <c r="F311" s="50"/>
      <c r="G311" s="26"/>
      <c r="H311" s="26"/>
      <c r="I311" s="26"/>
      <c r="U311" s="1"/>
    </row>
    <row r="312" spans="1:21">
      <c r="A312" s="26"/>
      <c r="D312" s="51"/>
      <c r="E312" s="49"/>
      <c r="F312" s="50"/>
      <c r="G312" s="26"/>
      <c r="H312" s="26"/>
      <c r="I312" s="26"/>
    </row>
    <row r="313" spans="1:21">
      <c r="A313" s="26"/>
      <c r="D313" s="51"/>
      <c r="E313" s="49"/>
      <c r="F313" s="50"/>
      <c r="G313" s="26"/>
      <c r="H313" s="26"/>
      <c r="I313" s="26"/>
      <c r="U313" s="1"/>
    </row>
    <row r="314" spans="1:21">
      <c r="A314" s="26"/>
      <c r="D314" s="51"/>
      <c r="E314" s="49"/>
      <c r="F314" s="50"/>
      <c r="G314" s="26"/>
      <c r="H314" s="26"/>
      <c r="I314" s="26"/>
      <c r="U314" s="1"/>
    </row>
    <row r="315" spans="1:21">
      <c r="A315" s="26"/>
      <c r="D315" s="51"/>
      <c r="E315" s="49"/>
      <c r="F315" s="50"/>
      <c r="G315" s="26"/>
      <c r="H315" s="26"/>
      <c r="I315" s="26"/>
      <c r="U315" s="1"/>
    </row>
    <row r="316" spans="1:21">
      <c r="A316" s="26"/>
      <c r="D316" s="51"/>
      <c r="E316" s="49"/>
      <c r="F316" s="50"/>
      <c r="G316" s="26"/>
      <c r="H316" s="26"/>
      <c r="I316" s="26"/>
      <c r="U316" s="28"/>
    </row>
    <row r="317" spans="1:21">
      <c r="A317" s="26"/>
      <c r="D317" s="51"/>
      <c r="E317" s="49"/>
      <c r="F317" s="50"/>
      <c r="G317" s="26"/>
      <c r="H317" s="26"/>
      <c r="I317" s="26"/>
    </row>
    <row r="318" spans="1:21">
      <c r="A318" s="26"/>
      <c r="D318" s="51"/>
      <c r="E318" s="49"/>
      <c r="F318" s="50"/>
      <c r="G318" s="26"/>
      <c r="H318" s="26"/>
      <c r="I318" s="26"/>
    </row>
    <row r="319" spans="1:21">
      <c r="A319" s="26"/>
      <c r="D319" s="51"/>
      <c r="E319" s="49"/>
      <c r="F319" s="50"/>
      <c r="G319" s="26"/>
      <c r="H319" s="26"/>
      <c r="I319" s="26"/>
      <c r="U319" s="28"/>
    </row>
    <row r="320" spans="1:21">
      <c r="A320" s="26"/>
      <c r="D320" s="51"/>
      <c r="E320" s="49"/>
      <c r="F320" s="50"/>
      <c r="G320" s="26"/>
      <c r="H320" s="26"/>
      <c r="I320" s="26"/>
    </row>
    <row r="321" spans="1:21">
      <c r="A321" s="26"/>
      <c r="D321" s="51"/>
      <c r="E321" s="49"/>
      <c r="F321" s="50"/>
      <c r="G321" s="26"/>
      <c r="H321" s="26"/>
      <c r="I321" s="26"/>
      <c r="U321" s="28"/>
    </row>
    <row r="322" spans="1:21">
      <c r="A322" s="26"/>
      <c r="D322" s="51"/>
      <c r="E322" s="49"/>
      <c r="F322" s="50"/>
      <c r="G322" s="26"/>
      <c r="H322" s="26"/>
      <c r="I322" s="26"/>
      <c r="U322" s="28"/>
    </row>
    <row r="323" spans="1:21">
      <c r="A323" s="26"/>
      <c r="D323" s="51"/>
      <c r="E323" s="49"/>
      <c r="F323" s="50"/>
      <c r="G323" s="26"/>
      <c r="H323" s="26"/>
      <c r="I323" s="26"/>
    </row>
    <row r="324" spans="1:21">
      <c r="A324" s="26"/>
      <c r="D324" s="51"/>
      <c r="E324" s="49"/>
      <c r="F324" s="50"/>
      <c r="G324" s="26"/>
      <c r="H324" s="26"/>
      <c r="I324" s="26"/>
      <c r="U324" s="28"/>
    </row>
    <row r="325" spans="1:21">
      <c r="A325" s="26"/>
      <c r="D325" s="51"/>
      <c r="E325" s="49"/>
      <c r="F325" s="50"/>
      <c r="G325" s="26"/>
      <c r="H325" s="26"/>
      <c r="I325" s="26"/>
    </row>
    <row r="326" spans="1:21">
      <c r="A326" s="26"/>
      <c r="D326" s="51"/>
      <c r="E326" s="49"/>
      <c r="F326" s="50"/>
      <c r="G326" s="26"/>
      <c r="H326" s="26"/>
      <c r="I326" s="26"/>
    </row>
    <row r="327" spans="1:21">
      <c r="A327" s="26"/>
      <c r="D327" s="51"/>
      <c r="E327" s="49"/>
      <c r="F327" s="50"/>
      <c r="G327" s="26"/>
      <c r="H327" s="26"/>
      <c r="I327" s="26"/>
      <c r="U327" s="28"/>
    </row>
    <row r="328" spans="1:21">
      <c r="A328" s="26"/>
      <c r="D328" s="51"/>
      <c r="E328" s="49"/>
      <c r="F328" s="50"/>
      <c r="G328" s="26"/>
      <c r="H328" s="26"/>
      <c r="I328" s="26"/>
    </row>
    <row r="329" spans="1:21">
      <c r="A329" s="26"/>
      <c r="D329" s="51"/>
      <c r="E329" s="49"/>
      <c r="F329" s="50"/>
      <c r="G329" s="26"/>
      <c r="H329" s="26"/>
      <c r="I329" s="26"/>
      <c r="U329" s="1"/>
    </row>
    <row r="330" spans="1:21">
      <c r="A330" s="26"/>
      <c r="D330" s="51"/>
      <c r="E330" s="49"/>
      <c r="F330" s="50"/>
      <c r="G330" s="26"/>
      <c r="H330" s="26"/>
      <c r="I330" s="26"/>
    </row>
    <row r="331" spans="1:21">
      <c r="A331" s="26"/>
      <c r="D331" s="51"/>
      <c r="E331" s="49"/>
      <c r="F331" s="50"/>
      <c r="G331" s="26"/>
      <c r="H331" s="26"/>
      <c r="I331" s="26"/>
      <c r="U331" s="1"/>
    </row>
    <row r="332" spans="1:21">
      <c r="A332" s="26"/>
      <c r="D332" s="51"/>
      <c r="E332" s="49"/>
      <c r="F332" s="50"/>
      <c r="G332" s="26"/>
      <c r="H332" s="26"/>
      <c r="I332" s="26"/>
      <c r="U332" s="28"/>
    </row>
    <row r="333" spans="1:21">
      <c r="A333" s="26"/>
      <c r="D333" s="51"/>
      <c r="E333" s="49"/>
      <c r="F333" s="50"/>
      <c r="G333" s="26"/>
      <c r="H333" s="26"/>
      <c r="I333" s="26"/>
    </row>
    <row r="334" spans="1:21">
      <c r="A334" s="26"/>
      <c r="D334" s="51"/>
      <c r="E334" s="49"/>
      <c r="F334" s="50"/>
      <c r="G334" s="26"/>
      <c r="H334" s="26"/>
      <c r="I334" s="26"/>
    </row>
    <row r="335" spans="1:21">
      <c r="A335" s="26"/>
      <c r="D335" s="51"/>
      <c r="E335" s="49"/>
      <c r="F335" s="50"/>
      <c r="G335" s="26"/>
      <c r="H335" s="26"/>
      <c r="I335" s="26"/>
      <c r="U335" s="1"/>
    </row>
    <row r="336" spans="1:21">
      <c r="A336" s="26"/>
      <c r="D336" s="51"/>
      <c r="E336" s="49"/>
      <c r="F336" s="50"/>
      <c r="G336" s="26"/>
      <c r="H336" s="26"/>
      <c r="I336" s="26"/>
      <c r="U336" s="1"/>
    </row>
    <row r="337" spans="1:21">
      <c r="A337" s="26"/>
      <c r="D337" s="51"/>
      <c r="E337" s="49"/>
      <c r="F337" s="50"/>
      <c r="G337" s="26"/>
      <c r="H337" s="26"/>
      <c r="I337" s="26"/>
      <c r="U337" s="1"/>
    </row>
    <row r="338" spans="1:21">
      <c r="A338" s="26"/>
      <c r="D338" s="51"/>
      <c r="E338" s="49"/>
      <c r="F338" s="50"/>
      <c r="G338" s="26"/>
      <c r="H338" s="26"/>
      <c r="I338" s="26"/>
    </row>
    <row r="339" spans="1:21">
      <c r="A339" s="26"/>
      <c r="D339" s="51"/>
      <c r="E339" s="49"/>
      <c r="F339" s="50"/>
      <c r="G339" s="26"/>
      <c r="H339" s="26"/>
      <c r="I339" s="26"/>
    </row>
    <row r="340" spans="1:21">
      <c r="A340" s="26"/>
      <c r="D340" s="51"/>
      <c r="E340" s="49"/>
      <c r="F340" s="50"/>
      <c r="G340" s="26"/>
      <c r="H340" s="26"/>
      <c r="I340" s="26"/>
    </row>
    <row r="341" spans="1:21">
      <c r="A341" s="26"/>
      <c r="D341" s="51"/>
      <c r="E341" s="49"/>
      <c r="F341" s="50"/>
      <c r="G341" s="26"/>
      <c r="H341" s="26"/>
      <c r="I341" s="26"/>
    </row>
    <row r="342" spans="1:21">
      <c r="A342" s="26"/>
      <c r="D342" s="51"/>
      <c r="E342" s="49"/>
      <c r="F342" s="50"/>
      <c r="G342" s="26"/>
      <c r="H342" s="26"/>
      <c r="I342" s="26"/>
    </row>
    <row r="343" spans="1:21">
      <c r="A343" s="26"/>
      <c r="D343" s="51"/>
      <c r="E343" s="49"/>
      <c r="F343" s="50"/>
      <c r="G343" s="26"/>
      <c r="H343" s="26"/>
      <c r="I343" s="26"/>
    </row>
    <row r="344" spans="1:21">
      <c r="A344" s="26"/>
      <c r="D344" s="51"/>
      <c r="E344" s="49"/>
      <c r="F344" s="50"/>
      <c r="G344" s="26"/>
      <c r="H344" s="26"/>
      <c r="I344" s="26"/>
      <c r="U344" s="1"/>
    </row>
    <row r="345" spans="1:21">
      <c r="A345" s="26"/>
      <c r="D345" s="51"/>
      <c r="E345" s="49"/>
      <c r="F345" s="50"/>
      <c r="G345" s="26"/>
      <c r="H345" s="26"/>
      <c r="I345" s="26"/>
    </row>
    <row r="346" spans="1:21">
      <c r="A346" s="26"/>
      <c r="D346" s="51"/>
      <c r="E346" s="49"/>
      <c r="F346" s="50"/>
      <c r="G346" s="26"/>
      <c r="H346" s="26"/>
      <c r="I346" s="26"/>
      <c r="U346" s="1"/>
    </row>
    <row r="347" spans="1:21">
      <c r="A347" s="26"/>
      <c r="D347" s="51"/>
      <c r="E347" s="49"/>
      <c r="F347" s="50"/>
      <c r="G347" s="26"/>
      <c r="H347" s="26"/>
      <c r="I347" s="26"/>
    </row>
    <row r="348" spans="1:21">
      <c r="A348" s="26"/>
      <c r="D348" s="51"/>
      <c r="E348" s="49"/>
      <c r="F348" s="50"/>
      <c r="G348" s="26"/>
      <c r="H348" s="26"/>
      <c r="I348" s="26"/>
      <c r="U348" s="1"/>
    </row>
    <row r="349" spans="1:21">
      <c r="A349" s="26"/>
      <c r="D349" s="51"/>
      <c r="E349" s="49"/>
      <c r="F349" s="50"/>
      <c r="G349" s="26"/>
      <c r="H349" s="26"/>
      <c r="I349" s="26"/>
      <c r="U349" s="28"/>
    </row>
    <row r="350" spans="1:21">
      <c r="A350" s="26"/>
      <c r="D350" s="51"/>
      <c r="E350" s="49"/>
      <c r="F350" s="50"/>
      <c r="G350" s="26"/>
      <c r="H350" s="26"/>
      <c r="I350" s="26"/>
      <c r="U350" s="28"/>
    </row>
    <row r="351" spans="1:21">
      <c r="A351" s="26"/>
      <c r="D351" s="51"/>
      <c r="E351" s="49"/>
      <c r="F351" s="50"/>
      <c r="G351" s="26"/>
      <c r="H351" s="26"/>
      <c r="I351" s="26"/>
      <c r="U351" s="28"/>
    </row>
    <row r="352" spans="1:21">
      <c r="A352" s="26"/>
      <c r="D352" s="51"/>
      <c r="E352" s="49"/>
      <c r="F352" s="50"/>
      <c r="G352" s="26"/>
      <c r="H352" s="26"/>
      <c r="I352" s="26"/>
      <c r="U352" s="1"/>
    </row>
    <row r="353" spans="1:21">
      <c r="A353" s="26"/>
      <c r="D353" s="51"/>
      <c r="E353" s="49"/>
      <c r="F353" s="50"/>
      <c r="G353" s="26"/>
      <c r="H353" s="26"/>
      <c r="I353" s="26"/>
      <c r="U353" s="1"/>
    </row>
    <row r="354" spans="1:21">
      <c r="A354" s="26"/>
      <c r="D354" s="51"/>
      <c r="E354" s="49"/>
      <c r="F354" s="50"/>
      <c r="G354" s="26"/>
      <c r="H354" s="26"/>
      <c r="I354" s="26"/>
      <c r="U354" s="1"/>
    </row>
    <row r="355" spans="1:21">
      <c r="A355" s="26"/>
      <c r="D355" s="51"/>
      <c r="E355" s="49"/>
      <c r="F355" s="50"/>
      <c r="G355" s="26"/>
      <c r="H355" s="26"/>
      <c r="I355" s="26"/>
      <c r="U355" s="1"/>
    </row>
    <row r="356" spans="1:21">
      <c r="A356" s="26"/>
      <c r="D356" s="51"/>
      <c r="E356" s="49"/>
      <c r="F356" s="50"/>
      <c r="G356" s="26"/>
      <c r="H356" s="26"/>
      <c r="I356" s="26"/>
      <c r="U356" s="1"/>
    </row>
    <row r="357" spans="1:21">
      <c r="A357" s="26"/>
      <c r="D357" s="51"/>
      <c r="E357" s="49"/>
      <c r="F357" s="50"/>
      <c r="G357" s="26"/>
      <c r="H357" s="26"/>
      <c r="I357" s="26"/>
    </row>
    <row r="358" spans="1:21">
      <c r="A358" s="26"/>
      <c r="D358" s="51"/>
      <c r="E358" s="49"/>
      <c r="F358" s="50"/>
      <c r="G358" s="26"/>
      <c r="H358" s="26"/>
      <c r="I358" s="26"/>
      <c r="U358" s="5"/>
    </row>
    <row r="359" spans="1:21">
      <c r="A359" s="26"/>
      <c r="D359" s="51"/>
      <c r="E359" s="49"/>
      <c r="F359" s="50"/>
      <c r="G359" s="26"/>
      <c r="H359" s="26"/>
      <c r="I359" s="26"/>
    </row>
    <row r="360" spans="1:21">
      <c r="A360" s="26"/>
      <c r="D360" s="51"/>
      <c r="E360" s="49"/>
      <c r="F360" s="50"/>
      <c r="G360" s="26"/>
      <c r="H360" s="26"/>
      <c r="I360" s="26"/>
      <c r="U360" s="5"/>
    </row>
    <row r="361" spans="1:21">
      <c r="A361" s="26"/>
      <c r="D361" s="51"/>
      <c r="E361" s="49"/>
      <c r="F361" s="50"/>
      <c r="G361" s="26"/>
      <c r="H361" s="26"/>
      <c r="I361" s="26"/>
    </row>
    <row r="362" spans="1:21">
      <c r="A362" s="26"/>
      <c r="D362" s="51"/>
      <c r="E362" s="49"/>
      <c r="F362" s="50"/>
      <c r="G362" s="26"/>
      <c r="H362" s="26"/>
      <c r="I362" s="26"/>
      <c r="U362" s="5"/>
    </row>
    <row r="363" spans="1:21">
      <c r="A363" s="26"/>
      <c r="D363" s="51"/>
      <c r="E363" s="49"/>
      <c r="F363" s="50"/>
      <c r="G363" s="26"/>
      <c r="H363" s="26"/>
      <c r="I363" s="26"/>
    </row>
    <row r="364" spans="1:21">
      <c r="A364" s="26"/>
      <c r="D364" s="51"/>
      <c r="E364" s="49"/>
      <c r="F364" s="50"/>
      <c r="G364" s="26"/>
      <c r="H364" s="26"/>
      <c r="I364" s="26"/>
    </row>
    <row r="365" spans="1:21">
      <c r="A365" s="26"/>
      <c r="D365" s="51"/>
      <c r="E365" s="49"/>
      <c r="F365" s="50"/>
      <c r="G365" s="26"/>
      <c r="H365" s="26"/>
      <c r="I365" s="26"/>
    </row>
    <row r="366" spans="1:21">
      <c r="A366" s="26"/>
      <c r="D366" s="51"/>
      <c r="E366" s="49"/>
      <c r="F366" s="50"/>
      <c r="G366" s="26"/>
      <c r="H366" s="26"/>
      <c r="I366" s="26"/>
      <c r="U366" s="1"/>
    </row>
    <row r="367" spans="1:21">
      <c r="A367" s="26"/>
      <c r="D367" s="51"/>
      <c r="E367" s="49"/>
      <c r="F367" s="50"/>
      <c r="G367" s="26"/>
      <c r="H367" s="26"/>
      <c r="I367" s="26"/>
      <c r="U367" s="1"/>
    </row>
    <row r="368" spans="1:21">
      <c r="A368" s="26"/>
      <c r="D368" s="51"/>
      <c r="E368" s="49"/>
      <c r="F368" s="50"/>
      <c r="G368" s="26"/>
      <c r="H368" s="26"/>
      <c r="I368" s="26"/>
    </row>
    <row r="369" spans="1:21">
      <c r="A369" s="26"/>
      <c r="D369" s="51"/>
      <c r="E369" s="49"/>
      <c r="F369" s="50"/>
      <c r="G369" s="26"/>
      <c r="H369" s="26"/>
      <c r="I369" s="26"/>
      <c r="U369" s="1"/>
    </row>
    <row r="370" spans="1:21">
      <c r="A370" s="26"/>
      <c r="D370" s="51"/>
      <c r="E370" s="49"/>
      <c r="F370" s="50"/>
      <c r="G370" s="26"/>
      <c r="H370" s="26"/>
      <c r="I370" s="26"/>
    </row>
    <row r="371" spans="1:21">
      <c r="A371" s="26"/>
      <c r="D371" s="51"/>
      <c r="E371" s="49"/>
      <c r="F371" s="50"/>
      <c r="G371" s="26"/>
      <c r="H371" s="26"/>
      <c r="I371" s="26"/>
      <c r="U371" s="5"/>
    </row>
    <row r="372" spans="1:21">
      <c r="A372" s="26"/>
      <c r="D372" s="51"/>
      <c r="E372" s="49"/>
      <c r="F372" s="50"/>
      <c r="G372" s="26"/>
      <c r="H372" s="26"/>
      <c r="I372" s="26"/>
      <c r="U372" s="1"/>
    </row>
    <row r="373" spans="1:21">
      <c r="A373" s="26"/>
      <c r="D373" s="51"/>
      <c r="E373" s="49"/>
      <c r="F373" s="50"/>
      <c r="G373" s="26"/>
      <c r="H373" s="26"/>
      <c r="I373" s="26"/>
    </row>
    <row r="374" spans="1:21">
      <c r="A374" s="26"/>
      <c r="D374" s="51"/>
      <c r="E374" s="49"/>
      <c r="F374" s="50"/>
      <c r="G374" s="26"/>
      <c r="H374" s="26"/>
      <c r="I374" s="26"/>
      <c r="U374" s="1"/>
    </row>
    <row r="375" spans="1:21">
      <c r="A375" s="26"/>
      <c r="D375" s="51"/>
      <c r="E375" s="49"/>
      <c r="F375" s="50"/>
      <c r="G375" s="26"/>
      <c r="H375" s="26"/>
      <c r="I375" s="26"/>
    </row>
    <row r="376" spans="1:21">
      <c r="A376" s="26"/>
      <c r="D376" s="51"/>
      <c r="E376" s="49"/>
      <c r="F376" s="50"/>
      <c r="G376" s="26"/>
      <c r="H376" s="26"/>
      <c r="I376" s="26"/>
    </row>
    <row r="377" spans="1:21">
      <c r="A377" s="26"/>
      <c r="D377" s="51"/>
      <c r="E377" s="49"/>
      <c r="F377" s="50"/>
      <c r="G377" s="26"/>
      <c r="H377" s="26"/>
      <c r="I377" s="26"/>
    </row>
    <row r="378" spans="1:21">
      <c r="A378" s="26"/>
      <c r="D378" s="51"/>
      <c r="E378" s="49"/>
      <c r="F378" s="50"/>
      <c r="G378" s="26"/>
      <c r="H378" s="26"/>
      <c r="I378" s="26"/>
    </row>
    <row r="379" spans="1:21">
      <c r="A379" s="26"/>
      <c r="D379" s="51"/>
      <c r="E379" s="49"/>
      <c r="F379" s="50"/>
      <c r="G379" s="26"/>
      <c r="H379" s="26"/>
      <c r="I379" s="26"/>
    </row>
    <row r="380" spans="1:21">
      <c r="A380" s="26"/>
      <c r="D380" s="51"/>
      <c r="E380" s="49"/>
      <c r="F380" s="50"/>
      <c r="G380" s="26"/>
      <c r="H380" s="26"/>
      <c r="I380" s="26"/>
    </row>
    <row r="381" spans="1:21">
      <c r="A381" s="26"/>
      <c r="D381" s="51"/>
      <c r="E381" s="49"/>
      <c r="F381" s="50"/>
      <c r="G381" s="26"/>
      <c r="H381" s="26"/>
      <c r="I381" s="26"/>
    </row>
    <row r="382" spans="1:21">
      <c r="A382" s="26"/>
      <c r="D382" s="51"/>
      <c r="E382" s="49"/>
      <c r="F382" s="50"/>
      <c r="G382" s="26"/>
      <c r="H382" s="26"/>
      <c r="I382" s="26"/>
    </row>
    <row r="383" spans="1:21">
      <c r="A383" s="26"/>
      <c r="D383" s="51"/>
      <c r="E383" s="49"/>
      <c r="F383" s="50"/>
      <c r="G383" s="26"/>
      <c r="H383" s="26"/>
      <c r="I383" s="26"/>
    </row>
    <row r="384" spans="1:21">
      <c r="A384" s="26"/>
      <c r="D384" s="51"/>
      <c r="E384" s="49"/>
      <c r="F384" s="50"/>
      <c r="G384" s="26"/>
      <c r="H384" s="26"/>
      <c r="I384" s="26"/>
    </row>
    <row r="385" spans="1:9">
      <c r="A385" s="26"/>
      <c r="D385" s="51"/>
      <c r="E385" s="49"/>
      <c r="F385" s="50"/>
      <c r="G385" s="26"/>
      <c r="H385" s="26"/>
      <c r="I385" s="26"/>
    </row>
    <row r="386" spans="1:9">
      <c r="A386" s="26"/>
      <c r="D386" s="51"/>
      <c r="E386" s="49"/>
      <c r="F386" s="50"/>
      <c r="G386" s="26"/>
      <c r="H386" s="26"/>
      <c r="I386" s="26"/>
    </row>
    <row r="387" spans="1:9">
      <c r="A387" s="26"/>
      <c r="D387" s="51"/>
      <c r="E387" s="49"/>
      <c r="F387" s="50"/>
      <c r="G387" s="26"/>
      <c r="H387" s="26"/>
      <c r="I387" s="26"/>
    </row>
    <row r="388" spans="1:9">
      <c r="A388" s="26"/>
      <c r="D388" s="51"/>
      <c r="E388" s="49"/>
      <c r="F388" s="50"/>
      <c r="G388" s="26"/>
      <c r="H388" s="26"/>
      <c r="I388" s="26"/>
    </row>
    <row r="389" spans="1:9">
      <c r="A389" s="26"/>
      <c r="D389" s="51"/>
      <c r="E389" s="49"/>
      <c r="F389" s="50"/>
      <c r="G389" s="26"/>
      <c r="H389" s="26"/>
      <c r="I389" s="26"/>
    </row>
    <row r="390" spans="1:9">
      <c r="A390" s="26"/>
      <c r="D390" s="51"/>
      <c r="E390" s="49"/>
      <c r="F390" s="50"/>
      <c r="G390" s="26"/>
      <c r="H390" s="26"/>
      <c r="I390" s="26"/>
    </row>
    <row r="391" spans="1:9">
      <c r="A391" s="26"/>
      <c r="D391" s="51"/>
      <c r="E391" s="49"/>
      <c r="F391" s="50"/>
      <c r="G391" s="26"/>
      <c r="H391" s="26"/>
      <c r="I391" s="26"/>
    </row>
    <row r="392" spans="1:9">
      <c r="A392" s="26"/>
      <c r="D392" s="51"/>
      <c r="E392" s="49"/>
      <c r="F392" s="50"/>
      <c r="G392" s="26"/>
      <c r="H392" s="26"/>
      <c r="I392" s="26"/>
    </row>
    <row r="393" spans="1:9">
      <c r="A393" s="26"/>
      <c r="D393" s="51"/>
      <c r="E393" s="49"/>
      <c r="F393" s="50"/>
      <c r="G393" s="26"/>
      <c r="H393" s="26"/>
      <c r="I393" s="26"/>
    </row>
    <row r="394" spans="1:9">
      <c r="A394" s="26"/>
      <c r="D394" s="51"/>
      <c r="E394" s="49"/>
      <c r="F394" s="50"/>
      <c r="G394" s="26"/>
      <c r="H394" s="26"/>
      <c r="I394" s="26"/>
    </row>
    <row r="395" spans="1:9">
      <c r="A395" s="26"/>
      <c r="D395" s="51"/>
      <c r="E395" s="49"/>
      <c r="F395" s="50"/>
      <c r="G395" s="26"/>
      <c r="H395" s="26"/>
      <c r="I395" s="26"/>
    </row>
    <row r="396" spans="1:9">
      <c r="A396" s="26"/>
      <c r="D396" s="51"/>
      <c r="E396" s="49"/>
      <c r="F396" s="50"/>
      <c r="G396" s="26"/>
      <c r="H396" s="26"/>
      <c r="I396" s="26"/>
    </row>
    <row r="397" spans="1:9">
      <c r="A397" s="26"/>
      <c r="D397" s="51"/>
      <c r="E397" s="49"/>
      <c r="F397" s="50"/>
      <c r="G397" s="26"/>
      <c r="H397" s="26"/>
      <c r="I397" s="26"/>
    </row>
    <row r="398" spans="1:9">
      <c r="A398" s="26"/>
      <c r="D398" s="51"/>
      <c r="E398" s="49"/>
      <c r="F398" s="50"/>
      <c r="G398" s="26"/>
      <c r="H398" s="26"/>
      <c r="I398" s="26"/>
    </row>
    <row r="399" spans="1:9">
      <c r="A399" s="26"/>
      <c r="D399" s="51"/>
      <c r="E399" s="49"/>
      <c r="F399" s="50"/>
      <c r="G399" s="26"/>
      <c r="H399" s="26"/>
      <c r="I399" s="26"/>
    </row>
    <row r="400" spans="1:9">
      <c r="A400" s="26"/>
      <c r="D400" s="51"/>
      <c r="E400" s="49"/>
      <c r="F400" s="50"/>
      <c r="G400" s="26"/>
      <c r="H400" s="26"/>
      <c r="I400" s="26"/>
    </row>
    <row r="401" spans="1:9">
      <c r="A401" s="26"/>
      <c r="D401" s="51"/>
      <c r="E401" s="49"/>
      <c r="F401" s="50"/>
      <c r="G401" s="26"/>
      <c r="H401" s="26"/>
      <c r="I401" s="26"/>
    </row>
    <row r="402" spans="1:9">
      <c r="A402" s="26"/>
      <c r="D402" s="51"/>
      <c r="E402" s="49"/>
      <c r="F402" s="50"/>
      <c r="G402" s="26"/>
      <c r="H402" s="26"/>
      <c r="I402" s="26"/>
    </row>
    <row r="403" spans="1:9">
      <c r="A403" s="26"/>
      <c r="D403" s="51"/>
      <c r="E403" s="49"/>
      <c r="F403" s="50"/>
      <c r="G403" s="26"/>
      <c r="H403" s="26"/>
      <c r="I403" s="26"/>
    </row>
    <row r="404" spans="1:9">
      <c r="A404" s="26"/>
      <c r="D404" s="51"/>
      <c r="E404" s="49"/>
      <c r="F404" s="50"/>
      <c r="G404" s="26"/>
      <c r="H404" s="26"/>
      <c r="I404" s="26"/>
    </row>
    <row r="405" spans="1:9">
      <c r="A405" s="26"/>
      <c r="D405" s="51"/>
      <c r="E405" s="49"/>
      <c r="F405" s="50"/>
      <c r="G405" s="26"/>
      <c r="H405" s="26"/>
      <c r="I405" s="26"/>
    </row>
    <row r="406" spans="1:9">
      <c r="A406" s="26"/>
      <c r="D406" s="51"/>
      <c r="E406" s="49"/>
      <c r="F406" s="50"/>
      <c r="G406" s="26"/>
      <c r="H406" s="26"/>
      <c r="I406" s="26"/>
    </row>
    <row r="407" spans="1:9">
      <c r="A407" s="26"/>
      <c r="D407" s="51"/>
      <c r="E407" s="49"/>
      <c r="F407" s="50"/>
      <c r="G407" s="26"/>
      <c r="H407" s="26"/>
      <c r="I407" s="26"/>
    </row>
    <row r="408" spans="1:9">
      <c r="A408" s="26"/>
      <c r="D408" s="51"/>
      <c r="E408" s="49"/>
      <c r="F408" s="50"/>
      <c r="G408" s="26"/>
      <c r="H408" s="26"/>
      <c r="I408" s="26"/>
    </row>
    <row r="409" spans="1:9">
      <c r="A409" s="26"/>
      <c r="D409" s="51"/>
      <c r="E409" s="49"/>
      <c r="F409" s="50"/>
      <c r="G409" s="26"/>
      <c r="H409" s="26"/>
      <c r="I409" s="26"/>
    </row>
    <row r="410" spans="1:9">
      <c r="A410" s="26"/>
      <c r="D410" s="51"/>
      <c r="E410" s="49"/>
      <c r="F410" s="50"/>
      <c r="G410" s="26"/>
      <c r="H410" s="26"/>
      <c r="I410" s="26"/>
    </row>
    <row r="411" spans="1:9">
      <c r="A411" s="26"/>
      <c r="D411" s="51"/>
      <c r="E411" s="49"/>
      <c r="F411" s="50"/>
      <c r="G411" s="26"/>
      <c r="H411" s="26"/>
      <c r="I411" s="26"/>
    </row>
    <row r="412" spans="1:9">
      <c r="A412" s="26"/>
      <c r="D412" s="51"/>
      <c r="E412" s="49"/>
      <c r="F412" s="50"/>
      <c r="G412" s="26"/>
      <c r="H412" s="26"/>
      <c r="I412" s="26"/>
    </row>
    <row r="413" spans="1:9">
      <c r="A413" s="26"/>
      <c r="D413" s="51"/>
      <c r="E413" s="49"/>
      <c r="F413" s="50"/>
      <c r="G413" s="26"/>
      <c r="H413" s="26"/>
      <c r="I413" s="26"/>
    </row>
    <row r="414" spans="1:9">
      <c r="A414" s="26"/>
      <c r="D414" s="51"/>
      <c r="E414" s="49"/>
      <c r="F414" s="50"/>
      <c r="G414" s="26"/>
      <c r="H414" s="26"/>
      <c r="I414" s="26"/>
    </row>
    <row r="415" spans="1:9">
      <c r="A415" s="26"/>
      <c r="D415" s="51"/>
      <c r="E415" s="49"/>
      <c r="F415" s="50"/>
      <c r="G415" s="26"/>
      <c r="H415" s="26"/>
      <c r="I415" s="26"/>
    </row>
    <row r="416" spans="1:9">
      <c r="A416" s="26"/>
      <c r="D416" s="51"/>
      <c r="E416" s="49"/>
      <c r="F416" s="50"/>
      <c r="G416" s="26"/>
      <c r="H416" s="26"/>
      <c r="I416" s="26"/>
    </row>
    <row r="417" spans="1:9">
      <c r="A417" s="26"/>
      <c r="D417" s="51"/>
      <c r="E417" s="49"/>
      <c r="F417" s="50"/>
      <c r="G417" s="26"/>
      <c r="H417" s="26"/>
      <c r="I417" s="26"/>
    </row>
    <row r="418" spans="1:9">
      <c r="A418" s="26"/>
      <c r="D418" s="51"/>
      <c r="E418" s="49"/>
      <c r="F418" s="50"/>
      <c r="G418" s="26"/>
      <c r="H418" s="26"/>
      <c r="I418" s="26"/>
    </row>
    <row r="419" spans="1:9">
      <c r="A419" s="26"/>
      <c r="D419" s="51"/>
      <c r="E419" s="49"/>
      <c r="F419" s="50"/>
      <c r="G419" s="26"/>
      <c r="H419" s="26"/>
      <c r="I419" s="26"/>
    </row>
    <row r="420" spans="1:9">
      <c r="A420" s="26"/>
      <c r="D420" s="51"/>
      <c r="E420" s="49"/>
      <c r="F420" s="50"/>
      <c r="G420" s="26"/>
      <c r="H420" s="26"/>
      <c r="I420" s="26"/>
    </row>
    <row r="421" spans="1:9">
      <c r="A421" s="26"/>
      <c r="D421" s="51"/>
      <c r="E421" s="49"/>
      <c r="F421" s="50"/>
      <c r="G421" s="26"/>
      <c r="H421" s="26"/>
      <c r="I421" s="26"/>
    </row>
    <row r="422" spans="1:9">
      <c r="A422" s="26"/>
      <c r="D422" s="51"/>
      <c r="E422" s="49"/>
      <c r="F422" s="50"/>
      <c r="G422" s="26"/>
      <c r="H422" s="26"/>
      <c r="I422" s="26"/>
    </row>
    <row r="423" spans="1:9">
      <c r="A423" s="26"/>
      <c r="D423" s="51"/>
      <c r="E423" s="49"/>
      <c r="F423" s="50"/>
      <c r="G423" s="26"/>
      <c r="H423" s="26"/>
      <c r="I423" s="26"/>
    </row>
    <row r="424" spans="1:9">
      <c r="A424" s="26"/>
      <c r="D424" s="51"/>
      <c r="E424" s="49"/>
      <c r="F424" s="50"/>
      <c r="G424" s="26"/>
      <c r="H424" s="26"/>
      <c r="I424" s="26"/>
    </row>
    <row r="425" spans="1:9">
      <c r="A425" s="26"/>
      <c r="D425" s="51"/>
      <c r="E425" s="49"/>
      <c r="F425" s="50"/>
      <c r="G425" s="26"/>
      <c r="H425" s="26"/>
      <c r="I425" s="26"/>
    </row>
    <row r="426" spans="1:9">
      <c r="A426" s="26"/>
      <c r="D426" s="51"/>
      <c r="E426" s="49"/>
      <c r="F426" s="50"/>
      <c r="G426" s="26"/>
      <c r="H426" s="26"/>
      <c r="I426" s="26"/>
    </row>
    <row r="427" spans="1:9">
      <c r="A427" s="26"/>
      <c r="D427" s="51"/>
      <c r="E427" s="49"/>
      <c r="F427" s="50"/>
      <c r="G427" s="26"/>
      <c r="H427" s="26"/>
      <c r="I427" s="26"/>
    </row>
    <row r="428" spans="1:9">
      <c r="A428" s="26"/>
      <c r="D428" s="51"/>
      <c r="E428" s="49"/>
      <c r="F428" s="50"/>
      <c r="G428" s="26"/>
      <c r="H428" s="26"/>
      <c r="I428" s="26"/>
    </row>
    <row r="429" spans="1:9">
      <c r="A429" s="26"/>
      <c r="D429" s="51"/>
      <c r="E429" s="49"/>
      <c r="F429" s="50"/>
      <c r="G429" s="26"/>
      <c r="H429" s="26"/>
      <c r="I429" s="26"/>
    </row>
    <row r="430" spans="1:9">
      <c r="A430" s="26"/>
      <c r="D430" s="51"/>
      <c r="E430" s="49"/>
      <c r="F430" s="50"/>
      <c r="G430" s="26"/>
      <c r="H430" s="26"/>
      <c r="I430" s="26"/>
    </row>
    <row r="431" spans="1:9">
      <c r="A431" s="26"/>
      <c r="D431" s="51"/>
      <c r="E431" s="49"/>
      <c r="F431" s="50"/>
      <c r="G431" s="26"/>
      <c r="H431" s="26"/>
      <c r="I431" s="26"/>
    </row>
    <row r="432" spans="1:9">
      <c r="A432" s="26"/>
      <c r="D432" s="51"/>
      <c r="E432" s="49"/>
      <c r="F432" s="50"/>
      <c r="G432" s="26"/>
      <c r="H432" s="26"/>
      <c r="I432" s="26"/>
    </row>
    <row r="433" spans="1:9">
      <c r="A433" s="26"/>
      <c r="D433" s="51"/>
      <c r="E433" s="49"/>
      <c r="F433" s="50"/>
      <c r="G433" s="26"/>
      <c r="H433" s="26"/>
      <c r="I433" s="26"/>
    </row>
    <row r="434" spans="1:9">
      <c r="A434" s="26"/>
      <c r="D434" s="51"/>
      <c r="E434" s="49"/>
      <c r="F434" s="50"/>
      <c r="G434" s="26"/>
      <c r="H434" s="26"/>
      <c r="I434" s="26"/>
    </row>
    <row r="435" spans="1:9">
      <c r="A435" s="26"/>
      <c r="D435" s="51"/>
      <c r="E435" s="49"/>
      <c r="F435" s="50"/>
      <c r="G435" s="26"/>
      <c r="H435" s="26"/>
      <c r="I435" s="26"/>
    </row>
    <row r="436" spans="1:9">
      <c r="A436" s="26"/>
      <c r="D436" s="51"/>
      <c r="E436" s="49"/>
      <c r="F436" s="50"/>
      <c r="G436" s="26"/>
      <c r="H436" s="26"/>
      <c r="I436" s="26"/>
    </row>
    <row r="437" spans="1:9">
      <c r="A437" s="26"/>
      <c r="D437" s="51"/>
      <c r="E437" s="49"/>
      <c r="F437" s="50"/>
      <c r="G437" s="26"/>
      <c r="H437" s="26"/>
      <c r="I437" s="26"/>
    </row>
    <row r="438" spans="1:9">
      <c r="A438" s="26"/>
      <c r="D438" s="51"/>
      <c r="E438" s="49"/>
      <c r="F438" s="50"/>
      <c r="G438" s="26"/>
      <c r="H438" s="26"/>
      <c r="I438" s="26"/>
    </row>
    <row r="439" spans="1:9">
      <c r="A439" s="26"/>
      <c r="D439" s="51"/>
      <c r="E439" s="49"/>
      <c r="F439" s="50"/>
      <c r="G439" s="26"/>
      <c r="H439" s="26"/>
      <c r="I439" s="26"/>
    </row>
    <row r="440" spans="1:9">
      <c r="A440" s="26"/>
      <c r="D440" s="51"/>
      <c r="E440" s="49"/>
      <c r="F440" s="50"/>
      <c r="G440" s="26"/>
      <c r="H440" s="26"/>
      <c r="I440" s="26"/>
    </row>
    <row r="441" spans="1:9">
      <c r="A441" s="26"/>
      <c r="D441" s="51"/>
      <c r="E441" s="49"/>
      <c r="F441" s="50"/>
      <c r="G441" s="26"/>
      <c r="H441" s="26"/>
      <c r="I441" s="26"/>
    </row>
    <row r="442" spans="1:9">
      <c r="A442" s="26"/>
      <c r="D442" s="51"/>
      <c r="E442" s="49"/>
      <c r="F442" s="50"/>
      <c r="G442" s="26"/>
      <c r="H442" s="26"/>
      <c r="I442" s="26"/>
    </row>
    <row r="443" spans="1:9">
      <c r="A443" s="26"/>
      <c r="D443" s="51"/>
      <c r="E443" s="49"/>
      <c r="F443" s="50"/>
      <c r="G443" s="26"/>
      <c r="H443" s="26"/>
      <c r="I443" s="26"/>
    </row>
    <row r="444" spans="1:9">
      <c r="A444" s="26"/>
      <c r="D444" s="51"/>
      <c r="E444" s="49"/>
      <c r="F444" s="50"/>
      <c r="G444" s="26"/>
      <c r="H444" s="26"/>
      <c r="I444" s="26"/>
    </row>
    <row r="445" spans="1:9">
      <c r="A445" s="26"/>
      <c r="D445" s="51"/>
      <c r="E445" s="49"/>
      <c r="F445" s="50"/>
      <c r="G445" s="26"/>
      <c r="H445" s="26"/>
      <c r="I445" s="26"/>
    </row>
    <row r="446" spans="1:9">
      <c r="A446" s="26"/>
      <c r="D446" s="51"/>
      <c r="E446" s="49"/>
      <c r="F446" s="50"/>
      <c r="G446" s="26"/>
      <c r="H446" s="26"/>
      <c r="I446" s="26"/>
    </row>
    <row r="447" spans="1:9">
      <c r="A447" s="26"/>
      <c r="D447" s="51"/>
      <c r="E447" s="49"/>
      <c r="F447" s="50"/>
      <c r="G447" s="26"/>
      <c r="H447" s="26"/>
      <c r="I447" s="26"/>
    </row>
    <row r="448" spans="1:9">
      <c r="A448" s="26"/>
      <c r="D448" s="51"/>
      <c r="E448" s="49"/>
      <c r="F448" s="50"/>
      <c r="G448" s="26"/>
      <c r="H448" s="26"/>
      <c r="I448" s="26"/>
    </row>
    <row r="449" spans="1:9">
      <c r="A449" s="26"/>
      <c r="D449" s="51"/>
      <c r="E449" s="49"/>
      <c r="F449" s="50"/>
      <c r="G449" s="26"/>
      <c r="H449" s="26"/>
      <c r="I449" s="26"/>
    </row>
    <row r="450" spans="1:9">
      <c r="A450" s="26"/>
      <c r="D450" s="51"/>
      <c r="E450" s="49"/>
      <c r="F450" s="50"/>
      <c r="G450" s="26"/>
      <c r="H450" s="26"/>
      <c r="I450" s="26"/>
    </row>
    <row r="451" spans="1:9">
      <c r="A451" s="26"/>
      <c r="D451" s="51"/>
      <c r="E451" s="49"/>
      <c r="F451" s="50"/>
      <c r="G451" s="26"/>
      <c r="H451" s="26"/>
      <c r="I451" s="26"/>
    </row>
    <row r="452" spans="1:9">
      <c r="A452" s="26"/>
      <c r="D452" s="51"/>
      <c r="E452" s="49"/>
      <c r="F452" s="50"/>
      <c r="G452" s="26"/>
      <c r="H452" s="26"/>
      <c r="I452" s="26"/>
    </row>
    <row r="453" spans="1:9">
      <c r="A453" s="26"/>
      <c r="D453" s="51"/>
      <c r="E453" s="49"/>
      <c r="F453" s="50"/>
      <c r="G453" s="26"/>
      <c r="H453" s="26"/>
      <c r="I453" s="26"/>
    </row>
    <row r="454" spans="1:9">
      <c r="A454" s="26"/>
      <c r="D454" s="51"/>
      <c r="E454" s="49"/>
      <c r="F454" s="50"/>
      <c r="G454" s="26"/>
      <c r="H454" s="26"/>
      <c r="I454" s="26"/>
    </row>
    <row r="455" spans="1:9">
      <c r="A455" s="26"/>
      <c r="D455" s="51"/>
      <c r="E455" s="49"/>
      <c r="F455" s="50"/>
      <c r="G455" s="26"/>
      <c r="H455" s="26"/>
      <c r="I455" s="26"/>
    </row>
    <row r="456" spans="1:9">
      <c r="A456" s="26"/>
      <c r="D456" s="51"/>
      <c r="E456" s="49"/>
      <c r="F456" s="50"/>
      <c r="G456" s="26"/>
      <c r="H456" s="26"/>
      <c r="I456" s="26"/>
    </row>
    <row r="457" spans="1:9">
      <c r="A457" s="26"/>
      <c r="D457" s="51"/>
      <c r="E457" s="49"/>
      <c r="F457" s="50"/>
      <c r="G457" s="26"/>
      <c r="H457" s="26"/>
      <c r="I457" s="26"/>
    </row>
    <row r="458" spans="1:9">
      <c r="A458" s="26"/>
      <c r="D458" s="51"/>
      <c r="E458" s="49"/>
      <c r="F458" s="50"/>
      <c r="G458" s="26"/>
      <c r="H458" s="26"/>
      <c r="I458" s="26"/>
    </row>
    <row r="459" spans="1:9">
      <c r="A459" s="26"/>
      <c r="D459" s="51"/>
      <c r="E459" s="49"/>
      <c r="F459" s="50"/>
      <c r="G459" s="26"/>
      <c r="H459" s="26"/>
      <c r="I459" s="26"/>
    </row>
    <row r="460" spans="1:9">
      <c r="A460" s="26"/>
      <c r="D460" s="51"/>
      <c r="E460" s="49"/>
      <c r="F460" s="50"/>
      <c r="G460" s="26"/>
      <c r="H460" s="26"/>
      <c r="I460" s="26"/>
    </row>
    <row r="461" spans="1:9">
      <c r="A461" s="26"/>
      <c r="D461" s="51"/>
      <c r="E461" s="49"/>
      <c r="F461" s="50"/>
      <c r="G461" s="26"/>
      <c r="H461" s="26"/>
      <c r="I461" s="26"/>
    </row>
    <row r="462" spans="1:9">
      <c r="A462" s="26"/>
      <c r="D462" s="51"/>
      <c r="E462" s="49"/>
      <c r="F462" s="50"/>
      <c r="G462" s="26"/>
      <c r="H462" s="26"/>
      <c r="I462" s="26"/>
    </row>
    <row r="463" spans="1:9">
      <c r="A463" s="26"/>
      <c r="D463" s="51"/>
      <c r="E463" s="49"/>
      <c r="F463" s="50"/>
      <c r="G463" s="26"/>
      <c r="H463" s="26"/>
      <c r="I463" s="26"/>
    </row>
    <row r="464" spans="1:9">
      <c r="A464" s="26"/>
      <c r="D464" s="51"/>
      <c r="E464" s="49"/>
      <c r="F464" s="50"/>
      <c r="G464" s="26"/>
      <c r="H464" s="26"/>
      <c r="I464" s="26"/>
    </row>
    <row r="465" spans="1:9">
      <c r="A465" s="26"/>
      <c r="D465" s="51"/>
      <c r="E465" s="49"/>
      <c r="F465" s="50"/>
      <c r="G465" s="26"/>
      <c r="H465" s="26"/>
      <c r="I465" s="26"/>
    </row>
    <row r="466" spans="1:9">
      <c r="A466" s="26"/>
      <c r="D466" s="51"/>
      <c r="E466" s="49"/>
      <c r="F466" s="50"/>
      <c r="G466" s="26"/>
      <c r="H466" s="26"/>
      <c r="I466" s="26"/>
    </row>
    <row r="467" spans="1:9">
      <c r="A467" s="26"/>
      <c r="D467" s="51"/>
      <c r="E467" s="49"/>
      <c r="F467" s="50"/>
      <c r="G467" s="26"/>
      <c r="H467" s="26"/>
      <c r="I467" s="26"/>
    </row>
    <row r="468" spans="1:9">
      <c r="A468" s="26"/>
      <c r="D468" s="51"/>
      <c r="E468" s="49"/>
      <c r="F468" s="50"/>
      <c r="G468" s="26"/>
      <c r="H468" s="26"/>
      <c r="I468" s="26"/>
    </row>
    <row r="469" spans="1:9">
      <c r="A469" s="26"/>
      <c r="D469" s="51"/>
      <c r="E469" s="49"/>
      <c r="F469" s="50"/>
      <c r="G469" s="26"/>
      <c r="H469" s="26"/>
      <c r="I469" s="26"/>
    </row>
    <row r="470" spans="1:9">
      <c r="A470" s="26"/>
      <c r="D470" s="51"/>
      <c r="E470" s="49"/>
      <c r="F470" s="50"/>
      <c r="G470" s="26"/>
      <c r="H470" s="26"/>
      <c r="I470" s="26"/>
    </row>
    <row r="471" spans="1:9">
      <c r="A471" s="26"/>
      <c r="D471" s="51"/>
      <c r="E471" s="49"/>
      <c r="F471" s="50"/>
      <c r="G471" s="26"/>
      <c r="H471" s="26"/>
      <c r="I471" s="26"/>
    </row>
    <row r="472" spans="1:9">
      <c r="A472" s="26"/>
      <c r="D472" s="51"/>
      <c r="E472" s="49"/>
      <c r="F472" s="50"/>
      <c r="G472" s="26"/>
      <c r="H472" s="26"/>
      <c r="I472" s="26"/>
    </row>
    <row r="473" spans="1:9">
      <c r="A473" s="26"/>
      <c r="D473" s="51"/>
      <c r="E473" s="49"/>
      <c r="F473" s="50"/>
      <c r="G473" s="26"/>
      <c r="H473" s="26"/>
      <c r="I473" s="26"/>
    </row>
    <row r="474" spans="1:9">
      <c r="A474" s="26"/>
      <c r="D474" s="51"/>
      <c r="E474" s="49"/>
      <c r="F474" s="50"/>
      <c r="G474" s="26"/>
      <c r="H474" s="26"/>
      <c r="I474" s="26"/>
    </row>
    <row r="475" spans="1:9">
      <c r="A475" s="26"/>
      <c r="D475" s="51"/>
      <c r="E475" s="49"/>
      <c r="F475" s="50"/>
      <c r="G475" s="26"/>
      <c r="H475" s="26"/>
      <c r="I475" s="26"/>
    </row>
    <row r="476" spans="1:9">
      <c r="A476" s="26"/>
      <c r="D476" s="51"/>
      <c r="E476" s="49"/>
      <c r="F476" s="50"/>
      <c r="G476" s="26"/>
      <c r="H476" s="26"/>
      <c r="I476" s="26"/>
    </row>
    <row r="477" spans="1:9">
      <c r="A477" s="26"/>
      <c r="D477" s="51"/>
      <c r="E477" s="49"/>
      <c r="F477" s="50"/>
      <c r="G477" s="26"/>
      <c r="H477" s="26"/>
      <c r="I477" s="26"/>
    </row>
    <row r="478" spans="1:9">
      <c r="A478" s="26"/>
      <c r="D478" s="51"/>
      <c r="E478" s="49"/>
      <c r="F478" s="50"/>
      <c r="G478" s="26"/>
      <c r="H478" s="26"/>
      <c r="I478" s="26"/>
    </row>
    <row r="479" spans="1:9">
      <c r="A479" s="26"/>
      <c r="D479" s="51"/>
      <c r="E479" s="49"/>
      <c r="F479" s="50"/>
      <c r="G479" s="26"/>
      <c r="H479" s="26"/>
      <c r="I479" s="26"/>
    </row>
    <row r="480" spans="1:9">
      <c r="A480" s="26"/>
      <c r="D480" s="51"/>
      <c r="E480" s="49"/>
      <c r="F480" s="50"/>
      <c r="G480" s="26"/>
      <c r="H480" s="26"/>
      <c r="I480" s="26"/>
    </row>
    <row r="481" spans="1:9">
      <c r="A481" s="26"/>
      <c r="D481" s="51"/>
      <c r="E481" s="49"/>
      <c r="F481" s="50"/>
      <c r="G481" s="26"/>
      <c r="H481" s="26"/>
      <c r="I481" s="26"/>
    </row>
    <row r="482" spans="1:9">
      <c r="A482" s="26"/>
      <c r="D482" s="51"/>
      <c r="E482" s="49"/>
      <c r="F482" s="50"/>
      <c r="G482" s="26"/>
      <c r="H482" s="26"/>
      <c r="I482" s="26"/>
    </row>
    <row r="483" spans="1:9">
      <c r="A483" s="26"/>
      <c r="D483" s="51"/>
      <c r="E483" s="49"/>
      <c r="F483" s="50"/>
      <c r="G483" s="26"/>
      <c r="H483" s="26"/>
      <c r="I483" s="26"/>
    </row>
    <row r="484" spans="1:9">
      <c r="A484" s="26"/>
      <c r="D484" s="51"/>
      <c r="E484" s="49"/>
      <c r="F484" s="50"/>
      <c r="G484" s="26"/>
      <c r="H484" s="26"/>
      <c r="I484" s="26"/>
    </row>
    <row r="485" spans="1:9">
      <c r="A485" s="26"/>
      <c r="D485" s="51"/>
      <c r="E485" s="49"/>
      <c r="F485" s="50"/>
      <c r="G485" s="26"/>
      <c r="H485" s="26"/>
      <c r="I485" s="26"/>
    </row>
    <row r="486" spans="1:9">
      <c r="A486" s="26"/>
      <c r="D486" s="51"/>
      <c r="E486" s="49"/>
      <c r="F486" s="50"/>
      <c r="G486" s="26"/>
      <c r="H486" s="26"/>
      <c r="I486" s="26"/>
    </row>
    <row r="487" spans="1:9">
      <c r="A487" s="26"/>
      <c r="D487" s="51"/>
      <c r="E487" s="49"/>
      <c r="F487" s="50"/>
      <c r="G487" s="26"/>
      <c r="H487" s="26"/>
      <c r="I487" s="26"/>
    </row>
    <row r="488" spans="1:9">
      <c r="A488" s="26"/>
      <c r="D488" s="51"/>
      <c r="E488" s="49"/>
      <c r="F488" s="50"/>
      <c r="G488" s="26"/>
      <c r="H488" s="26"/>
      <c r="I488" s="26"/>
    </row>
    <row r="489" spans="1:9">
      <c r="A489" s="26"/>
      <c r="D489" s="51"/>
      <c r="E489" s="49"/>
      <c r="F489" s="50"/>
      <c r="G489" s="26"/>
      <c r="H489" s="26"/>
      <c r="I489" s="26"/>
    </row>
    <row r="490" spans="1:9">
      <c r="A490" s="26"/>
      <c r="D490" s="51"/>
      <c r="E490" s="49"/>
      <c r="F490" s="50"/>
      <c r="G490" s="26"/>
      <c r="H490" s="26"/>
      <c r="I490" s="26"/>
    </row>
    <row r="491" spans="1:9">
      <c r="A491" s="26"/>
      <c r="D491" s="51"/>
      <c r="E491" s="49"/>
      <c r="F491" s="50"/>
      <c r="G491" s="26"/>
      <c r="H491" s="26"/>
      <c r="I491" s="26"/>
    </row>
    <row r="492" spans="1:9">
      <c r="A492" s="26"/>
      <c r="D492" s="51"/>
      <c r="E492" s="49"/>
      <c r="F492" s="50"/>
      <c r="G492" s="26"/>
      <c r="H492" s="26"/>
      <c r="I492" s="26"/>
    </row>
    <row r="493" spans="1:9">
      <c r="A493" s="26"/>
      <c r="D493" s="51"/>
      <c r="E493" s="49"/>
      <c r="F493" s="50"/>
      <c r="G493" s="26"/>
      <c r="H493" s="26"/>
      <c r="I493" s="26"/>
    </row>
    <row r="494" spans="1:9">
      <c r="A494" s="26"/>
      <c r="D494" s="51"/>
      <c r="E494" s="49"/>
      <c r="F494" s="50"/>
      <c r="G494" s="26"/>
      <c r="H494" s="26"/>
      <c r="I494" s="26"/>
    </row>
    <row r="495" spans="1:9">
      <c r="A495" s="26"/>
      <c r="D495" s="51"/>
      <c r="E495" s="49"/>
      <c r="F495" s="50"/>
      <c r="G495" s="26"/>
      <c r="H495" s="26"/>
      <c r="I495" s="26"/>
    </row>
    <row r="496" spans="1:9">
      <c r="A496" s="26"/>
      <c r="D496" s="51"/>
      <c r="E496" s="49"/>
      <c r="F496" s="50"/>
      <c r="G496" s="26"/>
      <c r="H496" s="26"/>
      <c r="I496" s="26"/>
    </row>
    <row r="497" spans="1:9">
      <c r="A497" s="26"/>
      <c r="D497" s="51"/>
      <c r="E497" s="49"/>
      <c r="F497" s="50"/>
      <c r="G497" s="26"/>
      <c r="H497" s="26"/>
      <c r="I497" s="26"/>
    </row>
    <row r="498" spans="1:9">
      <c r="A498" s="26"/>
      <c r="D498" s="51"/>
      <c r="E498" s="49"/>
      <c r="F498" s="50"/>
      <c r="G498" s="26"/>
      <c r="H498" s="26"/>
      <c r="I498" s="26"/>
    </row>
    <row r="499" spans="1:9">
      <c r="A499" s="26"/>
      <c r="D499" s="51"/>
      <c r="E499" s="49"/>
      <c r="F499" s="50"/>
      <c r="G499" s="26"/>
      <c r="H499" s="26"/>
      <c r="I499" s="26"/>
    </row>
    <row r="500" spans="1:9">
      <c r="A500" s="26"/>
      <c r="D500" s="51"/>
      <c r="E500" s="49"/>
      <c r="F500" s="50"/>
      <c r="G500" s="26"/>
      <c r="H500" s="26"/>
      <c r="I500" s="26"/>
    </row>
    <row r="501" spans="1:9">
      <c r="A501" s="26"/>
      <c r="D501" s="51"/>
      <c r="E501" s="49"/>
      <c r="F501" s="50"/>
      <c r="G501" s="26"/>
      <c r="H501" s="26"/>
      <c r="I501" s="26"/>
    </row>
    <row r="502" spans="1:9">
      <c r="A502" s="26"/>
      <c r="D502" s="51"/>
      <c r="E502" s="49"/>
      <c r="F502" s="50"/>
      <c r="G502" s="26"/>
      <c r="H502" s="26"/>
      <c r="I502" s="26"/>
    </row>
    <row r="503" spans="1:9">
      <c r="A503" s="26"/>
      <c r="D503" s="51"/>
      <c r="E503" s="49"/>
      <c r="F503" s="50"/>
      <c r="G503" s="26"/>
      <c r="H503" s="26"/>
      <c r="I503" s="26"/>
    </row>
    <row r="504" spans="1:9">
      <c r="A504" s="26"/>
      <c r="D504" s="51"/>
      <c r="E504" s="49"/>
      <c r="F504" s="50"/>
      <c r="G504" s="26"/>
      <c r="H504" s="26"/>
      <c r="I504" s="26"/>
    </row>
    <row r="505" spans="1:9">
      <c r="A505" s="26"/>
      <c r="D505" s="51"/>
      <c r="E505" s="49"/>
      <c r="F505" s="50"/>
      <c r="G505" s="26"/>
      <c r="H505" s="26"/>
      <c r="I505" s="26"/>
    </row>
    <row r="506" spans="1:9">
      <c r="A506" s="26"/>
      <c r="D506" s="51"/>
      <c r="E506" s="49"/>
      <c r="F506" s="50"/>
      <c r="G506" s="26"/>
      <c r="H506" s="26"/>
      <c r="I506" s="26"/>
    </row>
    <row r="507" spans="1:9">
      <c r="A507" s="26"/>
      <c r="D507" s="51"/>
      <c r="E507" s="49"/>
      <c r="F507" s="50"/>
      <c r="G507" s="26"/>
      <c r="H507" s="26"/>
      <c r="I507" s="26"/>
    </row>
    <row r="508" spans="1:9">
      <c r="A508" s="26"/>
      <c r="D508" s="51"/>
      <c r="E508" s="49"/>
      <c r="F508" s="50"/>
      <c r="G508" s="26"/>
      <c r="H508" s="26"/>
      <c r="I508" s="26"/>
    </row>
    <row r="509" spans="1:9">
      <c r="A509" s="26"/>
      <c r="D509" s="51"/>
      <c r="E509" s="49"/>
      <c r="F509" s="50"/>
      <c r="G509" s="26"/>
      <c r="H509" s="26"/>
      <c r="I509" s="26"/>
    </row>
    <row r="510" spans="1:9">
      <c r="A510" s="26"/>
      <c r="D510" s="51"/>
      <c r="E510" s="49"/>
      <c r="F510" s="50"/>
      <c r="G510" s="26"/>
      <c r="H510" s="26"/>
      <c r="I510" s="26"/>
    </row>
    <row r="511" spans="1:9">
      <c r="A511" s="26"/>
      <c r="D511" s="51"/>
      <c r="E511" s="49"/>
      <c r="F511" s="50"/>
      <c r="G511" s="26"/>
      <c r="H511" s="26"/>
      <c r="I511" s="26"/>
    </row>
    <row r="512" spans="1:9">
      <c r="A512" s="26"/>
      <c r="D512" s="51"/>
      <c r="E512" s="49"/>
      <c r="F512" s="50"/>
      <c r="G512" s="26"/>
      <c r="H512" s="26"/>
      <c r="I512" s="26"/>
    </row>
    <row r="513" spans="1:9">
      <c r="A513" s="26"/>
      <c r="D513" s="51"/>
      <c r="E513" s="49"/>
      <c r="F513" s="50"/>
      <c r="G513" s="26"/>
      <c r="H513" s="26"/>
      <c r="I513" s="26"/>
    </row>
    <row r="514" spans="1:9">
      <c r="A514" s="26"/>
      <c r="D514" s="51"/>
      <c r="E514" s="49"/>
      <c r="F514" s="50"/>
      <c r="G514" s="26"/>
      <c r="H514" s="26"/>
      <c r="I514" s="26"/>
    </row>
    <row r="515" spans="1:9">
      <c r="A515" s="26"/>
      <c r="D515" s="51"/>
      <c r="E515" s="49"/>
      <c r="F515" s="50"/>
      <c r="G515" s="26"/>
      <c r="H515" s="26"/>
      <c r="I515" s="26"/>
    </row>
    <row r="516" spans="1:9">
      <c r="A516" s="26"/>
      <c r="D516" s="51"/>
      <c r="E516" s="49"/>
      <c r="F516" s="50"/>
      <c r="G516" s="26"/>
      <c r="H516" s="26"/>
      <c r="I516" s="26"/>
    </row>
    <row r="517" spans="1:9">
      <c r="A517" s="26"/>
      <c r="D517" s="51"/>
      <c r="E517" s="49"/>
      <c r="F517" s="50"/>
      <c r="G517" s="26"/>
      <c r="H517" s="26"/>
      <c r="I517" s="26"/>
    </row>
    <row r="518" spans="1:9">
      <c r="A518" s="26"/>
      <c r="D518" s="51"/>
      <c r="E518" s="49"/>
      <c r="F518" s="50"/>
      <c r="G518" s="26"/>
      <c r="H518" s="26"/>
      <c r="I518" s="26"/>
    </row>
    <row r="519" spans="1:9">
      <c r="A519" s="26"/>
      <c r="D519" s="51"/>
      <c r="E519" s="49"/>
      <c r="F519" s="50"/>
      <c r="G519" s="26"/>
      <c r="H519" s="26"/>
      <c r="I519" s="26"/>
    </row>
    <row r="520" spans="1:9">
      <c r="A520" s="26"/>
      <c r="D520" s="51"/>
      <c r="E520" s="49"/>
      <c r="F520" s="50"/>
      <c r="G520" s="26"/>
      <c r="H520" s="26"/>
      <c r="I520" s="26"/>
    </row>
    <row r="521" spans="1:9">
      <c r="A521" s="26"/>
      <c r="D521" s="51"/>
      <c r="E521" s="49"/>
      <c r="F521" s="50"/>
      <c r="G521" s="26"/>
      <c r="H521" s="26"/>
      <c r="I521" s="26"/>
    </row>
    <row r="522" spans="1:9">
      <c r="A522" s="26"/>
      <c r="D522" s="51"/>
      <c r="E522" s="49"/>
      <c r="F522" s="50"/>
      <c r="G522" s="26"/>
      <c r="H522" s="26"/>
      <c r="I522" s="26"/>
    </row>
    <row r="523" spans="1:9">
      <c r="A523" s="26"/>
      <c r="D523" s="51"/>
      <c r="E523" s="49"/>
      <c r="F523" s="50"/>
      <c r="G523" s="26"/>
      <c r="H523" s="26"/>
      <c r="I523" s="26"/>
    </row>
    <row r="524" spans="1:9">
      <c r="A524" s="26"/>
      <c r="D524" s="51"/>
      <c r="E524" s="49"/>
      <c r="F524" s="50"/>
      <c r="G524" s="26"/>
      <c r="H524" s="26"/>
      <c r="I524" s="26"/>
    </row>
    <row r="525" spans="1:9">
      <c r="A525" s="26"/>
      <c r="D525" s="51"/>
      <c r="E525" s="49"/>
      <c r="F525" s="50"/>
      <c r="G525" s="26"/>
      <c r="H525" s="26"/>
      <c r="I525" s="26"/>
    </row>
    <row r="526" spans="1:9">
      <c r="A526" s="26"/>
      <c r="D526" s="51"/>
      <c r="E526" s="49"/>
      <c r="F526" s="50"/>
      <c r="G526" s="26"/>
      <c r="H526" s="26"/>
      <c r="I526" s="26"/>
    </row>
    <row r="527" spans="1:9">
      <c r="A527" s="26"/>
      <c r="D527" s="51"/>
      <c r="E527" s="49"/>
      <c r="F527" s="50"/>
      <c r="G527" s="26"/>
      <c r="H527" s="26"/>
      <c r="I527" s="26"/>
    </row>
    <row r="528" spans="1:9">
      <c r="A528" s="26"/>
      <c r="D528" s="51"/>
      <c r="E528" s="49"/>
      <c r="F528" s="50"/>
      <c r="G528" s="26"/>
      <c r="H528" s="26"/>
      <c r="I528" s="26"/>
    </row>
    <row r="529" spans="1:9">
      <c r="A529" s="26"/>
      <c r="D529" s="51"/>
      <c r="E529" s="49"/>
      <c r="F529" s="50"/>
      <c r="G529" s="26"/>
      <c r="H529" s="26"/>
      <c r="I529" s="26"/>
    </row>
    <row r="530" spans="1:9">
      <c r="A530" s="26"/>
      <c r="D530" s="51"/>
      <c r="E530" s="49"/>
      <c r="F530" s="50"/>
      <c r="G530" s="26"/>
      <c r="H530" s="26"/>
      <c r="I530" s="26"/>
    </row>
    <row r="531" spans="1:9">
      <c r="A531" s="26"/>
      <c r="D531" s="51"/>
      <c r="E531" s="49"/>
      <c r="F531" s="50"/>
      <c r="G531" s="26"/>
      <c r="H531" s="26"/>
      <c r="I531" s="26"/>
    </row>
    <row r="532" spans="1:9">
      <c r="A532" s="26"/>
      <c r="D532" s="51"/>
      <c r="E532" s="49"/>
      <c r="F532" s="50"/>
      <c r="G532" s="26"/>
      <c r="H532" s="26"/>
      <c r="I532" s="26"/>
    </row>
    <row r="533" spans="1:9">
      <c r="A533" s="26"/>
      <c r="D533" s="51"/>
      <c r="E533" s="49"/>
      <c r="F533" s="50"/>
      <c r="G533" s="26"/>
      <c r="H533" s="26"/>
      <c r="I533" s="26"/>
    </row>
    <row r="534" spans="1:9">
      <c r="A534" s="26"/>
      <c r="D534" s="51"/>
      <c r="E534" s="49"/>
      <c r="F534" s="50"/>
      <c r="G534" s="26"/>
      <c r="H534" s="26"/>
      <c r="I534" s="26"/>
    </row>
    <row r="535" spans="1:9">
      <c r="A535" s="26"/>
      <c r="D535" s="51"/>
      <c r="E535" s="49"/>
      <c r="F535" s="50"/>
      <c r="G535" s="26"/>
      <c r="H535" s="26"/>
      <c r="I535" s="26"/>
    </row>
    <row r="536" spans="1:9">
      <c r="A536" s="26"/>
      <c r="D536" s="51"/>
      <c r="E536" s="49"/>
      <c r="F536" s="50"/>
      <c r="G536" s="26"/>
      <c r="H536" s="26"/>
      <c r="I536" s="26"/>
    </row>
    <row r="537" spans="1:9">
      <c r="A537" s="26"/>
      <c r="D537" s="51"/>
      <c r="E537" s="49"/>
      <c r="F537" s="50"/>
      <c r="G537" s="26"/>
      <c r="H537" s="26"/>
      <c r="I537" s="26"/>
    </row>
    <row r="538" spans="1:9">
      <c r="A538" s="26"/>
      <c r="D538" s="51"/>
      <c r="E538" s="49"/>
      <c r="F538" s="50"/>
      <c r="G538" s="26"/>
      <c r="H538" s="26"/>
      <c r="I538" s="26"/>
    </row>
    <row r="539" spans="1:9">
      <c r="A539" s="26"/>
      <c r="D539" s="51"/>
      <c r="E539" s="49"/>
      <c r="F539" s="50"/>
      <c r="G539" s="26"/>
      <c r="H539" s="26"/>
      <c r="I539" s="26"/>
    </row>
    <row r="540" spans="1:9">
      <c r="A540" s="26"/>
      <c r="D540" s="51"/>
      <c r="E540" s="49"/>
      <c r="F540" s="50"/>
      <c r="G540" s="26"/>
      <c r="H540" s="26"/>
      <c r="I540" s="26"/>
    </row>
    <row r="541" spans="1:9">
      <c r="A541" s="26"/>
      <c r="D541" s="51"/>
      <c r="E541" s="49"/>
      <c r="F541" s="50"/>
      <c r="G541" s="26"/>
      <c r="H541" s="26"/>
      <c r="I541" s="26"/>
    </row>
    <row r="542" spans="1:9">
      <c r="A542" s="26"/>
      <c r="D542" s="51"/>
      <c r="E542" s="49"/>
      <c r="F542" s="50"/>
      <c r="G542" s="26"/>
      <c r="H542" s="26"/>
      <c r="I542" s="26"/>
    </row>
    <row r="543" spans="1:9">
      <c r="A543" s="26"/>
      <c r="D543" s="51"/>
      <c r="E543" s="49"/>
      <c r="F543" s="50"/>
      <c r="G543" s="26"/>
      <c r="H543" s="26"/>
      <c r="I543" s="26"/>
    </row>
    <row r="544" spans="1:9">
      <c r="A544" s="26"/>
      <c r="D544" s="51"/>
      <c r="E544" s="49"/>
      <c r="F544" s="50"/>
      <c r="G544" s="26"/>
      <c r="H544" s="26"/>
      <c r="I544" s="26"/>
    </row>
    <row r="545" spans="1:9">
      <c r="A545" s="26"/>
      <c r="D545" s="51"/>
      <c r="E545" s="49"/>
      <c r="F545" s="50"/>
      <c r="G545" s="26"/>
      <c r="H545" s="26"/>
      <c r="I545" s="26"/>
    </row>
    <row r="546" spans="1:9">
      <c r="A546" s="26"/>
      <c r="D546" s="51"/>
      <c r="E546" s="49"/>
      <c r="F546" s="50"/>
      <c r="G546" s="26"/>
      <c r="H546" s="26"/>
      <c r="I546" s="26"/>
    </row>
    <row r="547" spans="1:9">
      <c r="A547" s="26"/>
      <c r="D547" s="51"/>
      <c r="E547" s="49"/>
      <c r="F547" s="50"/>
      <c r="G547" s="26"/>
      <c r="H547" s="26"/>
      <c r="I547" s="26"/>
    </row>
    <row r="548" spans="1:9">
      <c r="A548" s="26"/>
      <c r="D548" s="51"/>
      <c r="E548" s="49"/>
      <c r="F548" s="50"/>
      <c r="G548" s="26"/>
      <c r="H548" s="26"/>
      <c r="I548" s="26"/>
    </row>
    <row r="549" spans="1:9">
      <c r="A549" s="26"/>
      <c r="D549" s="51"/>
      <c r="E549" s="49"/>
      <c r="F549" s="50"/>
      <c r="G549" s="26"/>
      <c r="H549" s="26"/>
      <c r="I549" s="26"/>
    </row>
    <row r="550" spans="1:9">
      <c r="A550" s="26"/>
      <c r="D550" s="51"/>
      <c r="E550" s="49"/>
      <c r="F550" s="50"/>
      <c r="G550" s="26"/>
      <c r="H550" s="26"/>
      <c r="I550" s="26"/>
    </row>
    <row r="551" spans="1:9">
      <c r="A551" s="26"/>
      <c r="D551" s="51"/>
      <c r="E551" s="49"/>
      <c r="F551" s="50"/>
      <c r="G551" s="26"/>
      <c r="H551" s="26"/>
      <c r="I551" s="26"/>
    </row>
    <row r="552" spans="1:9">
      <c r="A552" s="26"/>
      <c r="D552" s="51"/>
      <c r="E552" s="49"/>
      <c r="F552" s="50"/>
      <c r="G552" s="26"/>
      <c r="H552" s="26"/>
      <c r="I552" s="26"/>
    </row>
    <row r="553" spans="1:9">
      <c r="A553" s="26"/>
      <c r="D553" s="51"/>
      <c r="E553" s="49"/>
      <c r="F553" s="50"/>
      <c r="G553" s="26"/>
      <c r="H553" s="26"/>
      <c r="I553" s="26"/>
    </row>
    <row r="554" spans="1:9">
      <c r="A554" s="26"/>
      <c r="D554" s="51"/>
      <c r="E554" s="49"/>
      <c r="F554" s="50"/>
      <c r="G554" s="26"/>
      <c r="H554" s="26"/>
      <c r="I554" s="26"/>
    </row>
    <row r="555" spans="1:9">
      <c r="A555" s="26"/>
      <c r="D555" s="51"/>
      <c r="E555" s="49"/>
      <c r="F555" s="50"/>
      <c r="G555" s="26"/>
      <c r="H555" s="26"/>
      <c r="I555" s="26"/>
    </row>
    <row r="556" spans="1:9">
      <c r="A556" s="26"/>
      <c r="D556" s="51"/>
      <c r="E556" s="49"/>
      <c r="F556" s="50"/>
      <c r="G556" s="26"/>
      <c r="H556" s="26"/>
      <c r="I556" s="26"/>
    </row>
    <row r="557" spans="1:9">
      <c r="A557" s="26"/>
      <c r="D557" s="51"/>
      <c r="E557" s="49"/>
      <c r="F557" s="50"/>
      <c r="G557" s="26"/>
      <c r="H557" s="26"/>
      <c r="I557" s="26"/>
    </row>
    <row r="558" spans="1:9">
      <c r="A558" s="26"/>
      <c r="D558" s="51"/>
      <c r="E558" s="49"/>
      <c r="F558" s="50"/>
      <c r="G558" s="26"/>
      <c r="H558" s="26"/>
      <c r="I558" s="26"/>
    </row>
    <row r="559" spans="1:9">
      <c r="A559" s="26"/>
      <c r="D559" s="51"/>
      <c r="E559" s="49"/>
      <c r="F559" s="50"/>
      <c r="G559" s="26"/>
      <c r="H559" s="26"/>
      <c r="I559" s="26"/>
    </row>
    <row r="560" spans="1:9">
      <c r="A560" s="26"/>
      <c r="D560" s="51"/>
      <c r="E560" s="49"/>
      <c r="F560" s="50"/>
      <c r="G560" s="26"/>
      <c r="H560" s="26"/>
      <c r="I560" s="26"/>
    </row>
    <row r="561" spans="1:9">
      <c r="A561" s="26"/>
      <c r="D561" s="51"/>
      <c r="E561" s="49"/>
      <c r="F561" s="50"/>
      <c r="G561" s="26"/>
      <c r="H561" s="26"/>
      <c r="I561" s="26"/>
    </row>
    <row r="562" spans="1:9">
      <c r="A562" s="26"/>
      <c r="D562" s="51"/>
      <c r="E562" s="49"/>
      <c r="F562" s="50"/>
      <c r="G562" s="26"/>
      <c r="H562" s="26"/>
      <c r="I562" s="26"/>
    </row>
    <row r="563" spans="1:9">
      <c r="A563" s="26"/>
      <c r="D563" s="51"/>
      <c r="E563" s="49"/>
      <c r="F563" s="50"/>
      <c r="G563" s="26"/>
      <c r="H563" s="26"/>
      <c r="I563" s="26"/>
    </row>
    <row r="564" spans="1:9">
      <c r="A564" s="26"/>
      <c r="D564" s="51"/>
      <c r="E564" s="49"/>
      <c r="F564" s="50"/>
      <c r="G564" s="26"/>
      <c r="H564" s="26"/>
      <c r="I564" s="26"/>
    </row>
    <row r="565" spans="1:9">
      <c r="A565" s="26"/>
      <c r="D565" s="51"/>
      <c r="E565" s="49"/>
      <c r="F565" s="50"/>
      <c r="G565" s="26"/>
      <c r="H565" s="26"/>
      <c r="I565" s="26"/>
    </row>
    <row r="566" spans="1:9">
      <c r="A566" s="26"/>
      <c r="D566" s="51"/>
      <c r="E566" s="49"/>
      <c r="F566" s="50"/>
      <c r="G566" s="26"/>
      <c r="H566" s="26"/>
      <c r="I566" s="26"/>
    </row>
    <row r="567" spans="1:9">
      <c r="A567" s="26"/>
      <c r="D567" s="51"/>
      <c r="E567" s="49"/>
      <c r="F567" s="50"/>
      <c r="G567" s="26"/>
      <c r="H567" s="26"/>
      <c r="I567" s="26"/>
    </row>
    <row r="568" spans="1:9">
      <c r="A568" s="26"/>
      <c r="D568" s="51"/>
      <c r="E568" s="49"/>
      <c r="F568" s="50"/>
      <c r="G568" s="26"/>
      <c r="H568" s="26"/>
      <c r="I568" s="26"/>
    </row>
    <row r="569" spans="1:9">
      <c r="A569" s="26"/>
      <c r="D569" s="51"/>
      <c r="E569" s="49"/>
      <c r="F569" s="50"/>
      <c r="G569" s="26"/>
      <c r="H569" s="26"/>
      <c r="I569" s="26"/>
    </row>
    <row r="570" spans="1:9">
      <c r="A570" s="26"/>
      <c r="D570" s="51"/>
      <c r="E570" s="49"/>
      <c r="F570" s="50"/>
      <c r="G570" s="26"/>
      <c r="H570" s="26"/>
      <c r="I570" s="26"/>
    </row>
    <row r="571" spans="1:9">
      <c r="A571" s="26"/>
      <c r="D571" s="51"/>
      <c r="E571" s="49"/>
      <c r="F571" s="50"/>
      <c r="G571" s="26"/>
      <c r="H571" s="26"/>
      <c r="I571" s="26"/>
    </row>
    <row r="572" spans="1:9">
      <c r="A572" s="26"/>
      <c r="D572" s="51"/>
      <c r="E572" s="49"/>
      <c r="F572" s="50"/>
      <c r="G572" s="26"/>
      <c r="H572" s="26"/>
      <c r="I572" s="26"/>
    </row>
    <row r="573" spans="1:9">
      <c r="A573" s="26"/>
      <c r="D573" s="51"/>
      <c r="E573" s="49"/>
      <c r="F573" s="50"/>
      <c r="G573" s="26"/>
      <c r="H573" s="26"/>
      <c r="I573" s="26"/>
    </row>
    <row r="574" spans="1:9">
      <c r="A574" s="26"/>
      <c r="D574" s="51"/>
      <c r="E574" s="49"/>
      <c r="F574" s="50"/>
      <c r="G574" s="26"/>
      <c r="H574" s="26"/>
      <c r="I574" s="26"/>
    </row>
    <row r="575" spans="1:9">
      <c r="A575" s="26"/>
      <c r="D575" s="51"/>
      <c r="E575" s="49"/>
      <c r="F575" s="50"/>
      <c r="G575" s="26"/>
      <c r="H575" s="26"/>
      <c r="I575" s="26"/>
    </row>
    <row r="576" spans="1:9">
      <c r="A576" s="26"/>
      <c r="D576" s="51"/>
      <c r="E576" s="49"/>
      <c r="F576" s="50"/>
      <c r="G576" s="26"/>
      <c r="H576" s="26"/>
      <c r="I576" s="26"/>
    </row>
    <row r="577" spans="1:9">
      <c r="A577" s="26"/>
      <c r="D577" s="51"/>
      <c r="E577" s="49"/>
      <c r="F577" s="50"/>
      <c r="G577" s="26"/>
      <c r="H577" s="26"/>
      <c r="I577" s="26"/>
    </row>
    <row r="578" spans="1:9">
      <c r="A578" s="26"/>
      <c r="D578" s="51"/>
      <c r="E578" s="49"/>
      <c r="F578" s="50"/>
      <c r="G578" s="26"/>
      <c r="H578" s="26"/>
      <c r="I578" s="26"/>
    </row>
    <row r="579" spans="1:9">
      <c r="A579" s="26"/>
      <c r="D579" s="51"/>
      <c r="E579" s="49"/>
      <c r="F579" s="50"/>
      <c r="G579" s="26"/>
      <c r="H579" s="26"/>
      <c r="I579" s="26"/>
    </row>
    <row r="580" spans="1:9">
      <c r="A580" s="26"/>
      <c r="D580" s="51"/>
      <c r="E580" s="49"/>
      <c r="F580" s="50"/>
      <c r="G580" s="26"/>
      <c r="H580" s="26"/>
      <c r="I580" s="26"/>
    </row>
    <row r="581" spans="1:9">
      <c r="A581" s="26"/>
      <c r="D581" s="51"/>
      <c r="E581" s="49"/>
      <c r="F581" s="50"/>
      <c r="G581" s="26"/>
      <c r="H581" s="26"/>
      <c r="I581" s="26"/>
    </row>
    <row r="582" spans="1:9">
      <c r="A582" s="26"/>
      <c r="D582" s="51"/>
      <c r="E582" s="49"/>
      <c r="F582" s="50"/>
      <c r="G582" s="26"/>
      <c r="H582" s="26"/>
      <c r="I582" s="26"/>
    </row>
    <row r="583" spans="1:9">
      <c r="A583" s="26"/>
      <c r="D583" s="51"/>
      <c r="E583" s="49"/>
      <c r="F583" s="50"/>
      <c r="G583" s="26"/>
      <c r="H583" s="26"/>
      <c r="I583" s="26"/>
    </row>
    <row r="584" spans="1:9">
      <c r="A584" s="26"/>
      <c r="D584" s="51"/>
      <c r="E584" s="49"/>
      <c r="F584" s="50"/>
      <c r="G584" s="26"/>
      <c r="H584" s="26"/>
      <c r="I584" s="26"/>
    </row>
    <row r="585" spans="1:9">
      <c r="A585" s="26"/>
      <c r="D585" s="51"/>
      <c r="E585" s="49"/>
      <c r="F585" s="50"/>
      <c r="G585" s="26"/>
      <c r="H585" s="26"/>
      <c r="I585" s="26"/>
    </row>
    <row r="586" spans="1:9">
      <c r="A586" s="26"/>
      <c r="D586" s="51"/>
      <c r="E586" s="49"/>
      <c r="F586" s="50"/>
      <c r="G586" s="26"/>
      <c r="H586" s="26"/>
      <c r="I586" s="26"/>
    </row>
    <row r="587" spans="1:9">
      <c r="A587" s="26"/>
      <c r="D587" s="51"/>
      <c r="E587" s="49"/>
      <c r="F587" s="50"/>
      <c r="G587" s="26"/>
      <c r="H587" s="26"/>
      <c r="I587" s="26"/>
    </row>
    <row r="588" spans="1:9">
      <c r="A588" s="26"/>
      <c r="D588" s="51"/>
      <c r="E588" s="49"/>
      <c r="F588" s="50"/>
      <c r="G588" s="26"/>
      <c r="H588" s="26"/>
      <c r="I588" s="26"/>
    </row>
    <row r="589" spans="1:9">
      <c r="A589" s="26"/>
      <c r="D589" s="51"/>
      <c r="E589" s="49"/>
      <c r="F589" s="50"/>
      <c r="G589" s="26"/>
      <c r="H589" s="26"/>
      <c r="I589" s="26"/>
    </row>
    <row r="590" spans="1:9">
      <c r="A590" s="26"/>
      <c r="D590" s="51"/>
      <c r="E590" s="49"/>
      <c r="F590" s="50"/>
      <c r="G590" s="26"/>
      <c r="H590" s="26"/>
      <c r="I590" s="26"/>
    </row>
    <row r="591" spans="1:9">
      <c r="A591" s="26"/>
      <c r="D591" s="51"/>
      <c r="E591" s="49"/>
      <c r="F591" s="50"/>
      <c r="G591" s="26"/>
      <c r="H591" s="26"/>
      <c r="I591" s="26"/>
    </row>
    <row r="592" spans="1:9">
      <c r="A592" s="26"/>
      <c r="D592" s="51"/>
      <c r="E592" s="49"/>
      <c r="F592" s="50"/>
      <c r="G592" s="26"/>
      <c r="H592" s="26"/>
      <c r="I592" s="26"/>
    </row>
    <row r="593" spans="1:9">
      <c r="A593" s="26"/>
      <c r="D593" s="51"/>
      <c r="E593" s="49"/>
      <c r="F593" s="50"/>
      <c r="G593" s="26"/>
      <c r="H593" s="26"/>
      <c r="I593" s="26"/>
    </row>
    <row r="594" spans="1:9">
      <c r="A594" s="26"/>
      <c r="D594" s="51"/>
      <c r="E594" s="49"/>
      <c r="F594" s="50"/>
      <c r="G594" s="26"/>
      <c r="H594" s="26"/>
      <c r="I594" s="26"/>
    </row>
    <row r="595" spans="1:9">
      <c r="A595" s="26"/>
      <c r="D595" s="51"/>
      <c r="E595" s="49"/>
      <c r="F595" s="50"/>
      <c r="G595" s="26"/>
      <c r="H595" s="26"/>
      <c r="I595" s="26"/>
    </row>
    <row r="596" spans="1:9">
      <c r="A596" s="26"/>
      <c r="D596" s="51"/>
      <c r="E596" s="49"/>
      <c r="F596" s="50"/>
      <c r="G596" s="26"/>
      <c r="H596" s="26"/>
      <c r="I596" s="26"/>
    </row>
    <row r="597" spans="1:9">
      <c r="A597" s="26"/>
      <c r="D597" s="51"/>
      <c r="E597" s="49"/>
      <c r="F597" s="50"/>
      <c r="G597" s="26"/>
      <c r="H597" s="26"/>
      <c r="I597" s="26"/>
    </row>
    <row r="598" spans="1:9">
      <c r="A598" s="26"/>
      <c r="D598" s="51"/>
      <c r="E598" s="49"/>
      <c r="F598" s="50"/>
      <c r="G598" s="26"/>
      <c r="H598" s="26"/>
      <c r="I598" s="26"/>
    </row>
    <row r="599" spans="1:9">
      <c r="A599" s="26"/>
      <c r="D599" s="51"/>
      <c r="E599" s="49"/>
      <c r="F599" s="50"/>
      <c r="G599" s="26"/>
      <c r="H599" s="26"/>
      <c r="I599" s="26"/>
    </row>
    <row r="600" spans="1:9">
      <c r="A600" s="26"/>
      <c r="D600" s="51"/>
      <c r="E600" s="49"/>
      <c r="F600" s="50"/>
      <c r="G600" s="26"/>
      <c r="H600" s="26"/>
      <c r="I600" s="26"/>
    </row>
    <row r="601" spans="1:9">
      <c r="A601" s="26"/>
      <c r="D601" s="51"/>
      <c r="E601" s="49"/>
      <c r="F601" s="50"/>
      <c r="G601" s="26"/>
      <c r="H601" s="26"/>
      <c r="I601" s="26"/>
    </row>
    <row r="602" spans="1:9">
      <c r="A602" s="26"/>
      <c r="D602" s="51"/>
      <c r="E602" s="49"/>
      <c r="F602" s="50"/>
      <c r="G602" s="26"/>
      <c r="H602" s="26"/>
      <c r="I602" s="26"/>
    </row>
    <row r="603" spans="1:9">
      <c r="A603" s="26"/>
      <c r="D603" s="51"/>
      <c r="E603" s="49"/>
      <c r="F603" s="50"/>
      <c r="G603" s="26"/>
      <c r="H603" s="26"/>
      <c r="I603" s="26"/>
    </row>
    <row r="604" spans="1:9">
      <c r="A604" s="26"/>
      <c r="D604" s="51"/>
      <c r="E604" s="49"/>
      <c r="F604" s="50"/>
      <c r="G604" s="26"/>
      <c r="H604" s="26"/>
      <c r="I604" s="26"/>
    </row>
    <row r="605" spans="1:9">
      <c r="A605" s="26"/>
      <c r="D605" s="51"/>
      <c r="E605" s="49"/>
      <c r="F605" s="50"/>
      <c r="G605" s="26"/>
      <c r="H605" s="26"/>
      <c r="I605" s="26"/>
    </row>
    <row r="606" spans="1:9">
      <c r="A606" s="26"/>
      <c r="D606" s="51"/>
      <c r="E606" s="49"/>
      <c r="F606" s="50"/>
      <c r="G606" s="26"/>
      <c r="H606" s="26"/>
      <c r="I606" s="26"/>
    </row>
    <row r="607" spans="1:9">
      <c r="A607" s="26"/>
      <c r="D607" s="51"/>
      <c r="E607" s="49"/>
      <c r="F607" s="50"/>
      <c r="G607" s="26"/>
      <c r="H607" s="26"/>
      <c r="I607" s="26"/>
    </row>
    <row r="608" spans="1:9">
      <c r="A608" s="26"/>
      <c r="D608" s="51"/>
      <c r="E608" s="49"/>
      <c r="F608" s="50"/>
      <c r="G608" s="26"/>
      <c r="H608" s="26"/>
      <c r="I608" s="26"/>
    </row>
    <row r="609" spans="1:9">
      <c r="A609" s="26"/>
      <c r="D609" s="51"/>
      <c r="E609" s="49"/>
      <c r="F609" s="50"/>
      <c r="G609" s="26"/>
      <c r="H609" s="26"/>
      <c r="I609" s="26"/>
    </row>
    <row r="610" spans="1:9">
      <c r="A610" s="26"/>
      <c r="D610" s="51"/>
      <c r="E610" s="49"/>
      <c r="F610" s="50"/>
      <c r="G610" s="26"/>
      <c r="H610" s="26"/>
      <c r="I610" s="26"/>
    </row>
    <row r="611" spans="1:9">
      <c r="A611" s="26"/>
      <c r="D611" s="51"/>
      <c r="E611" s="49"/>
      <c r="F611" s="50"/>
      <c r="G611" s="26"/>
      <c r="H611" s="26"/>
      <c r="I611" s="26"/>
    </row>
    <row r="612" spans="1:9">
      <c r="A612" s="26"/>
      <c r="D612" s="51"/>
      <c r="E612" s="49"/>
      <c r="F612" s="50"/>
      <c r="G612" s="26"/>
      <c r="H612" s="26"/>
      <c r="I612" s="26"/>
    </row>
    <row r="613" spans="1:9">
      <c r="A613" s="26"/>
      <c r="D613" s="51"/>
      <c r="E613" s="49"/>
      <c r="F613" s="50"/>
      <c r="G613" s="26"/>
      <c r="H613" s="26"/>
      <c r="I613" s="26"/>
    </row>
    <row r="614" spans="1:9">
      <c r="A614" s="26"/>
      <c r="D614" s="51"/>
      <c r="E614" s="49"/>
      <c r="F614" s="50"/>
      <c r="G614" s="26"/>
      <c r="H614" s="26"/>
      <c r="I614" s="26"/>
    </row>
    <row r="615" spans="1:9">
      <c r="A615" s="26"/>
      <c r="D615" s="51"/>
      <c r="E615" s="49"/>
      <c r="F615" s="50"/>
      <c r="G615" s="26"/>
      <c r="H615" s="26"/>
      <c r="I615" s="26"/>
    </row>
    <row r="616" spans="1:9">
      <c r="A616" s="26"/>
      <c r="D616" s="51"/>
      <c r="E616" s="49"/>
      <c r="F616" s="50"/>
      <c r="G616" s="26"/>
      <c r="H616" s="26"/>
      <c r="I616" s="26"/>
    </row>
    <row r="617" spans="1:9">
      <c r="A617" s="26"/>
      <c r="D617" s="51"/>
      <c r="E617" s="49"/>
      <c r="F617" s="50"/>
      <c r="G617" s="26"/>
      <c r="H617" s="26"/>
      <c r="I617" s="26"/>
    </row>
    <row r="618" spans="1:9">
      <c r="A618" s="26"/>
      <c r="D618" s="51"/>
      <c r="E618" s="49"/>
      <c r="F618" s="50"/>
      <c r="G618" s="26"/>
      <c r="H618" s="26"/>
      <c r="I618" s="26"/>
    </row>
    <row r="619" spans="1:9">
      <c r="A619" s="26"/>
      <c r="D619" s="51"/>
      <c r="E619" s="49"/>
      <c r="F619" s="50"/>
      <c r="G619" s="26"/>
      <c r="H619" s="26"/>
      <c r="I619" s="26"/>
    </row>
    <row r="620" spans="1:9">
      <c r="A620" s="26"/>
      <c r="D620" s="51"/>
      <c r="E620" s="49"/>
      <c r="F620" s="50"/>
      <c r="G620" s="26"/>
      <c r="H620" s="26"/>
      <c r="I620" s="26"/>
    </row>
    <row r="621" spans="1:9">
      <c r="A621" s="26"/>
      <c r="D621" s="51"/>
      <c r="E621" s="49"/>
      <c r="F621" s="50"/>
      <c r="G621" s="26"/>
      <c r="H621" s="26"/>
      <c r="I621" s="26"/>
    </row>
    <row r="622" spans="1:9">
      <c r="A622" s="26"/>
      <c r="D622" s="51"/>
      <c r="E622" s="49"/>
      <c r="F622" s="50"/>
      <c r="G622" s="26"/>
      <c r="H622" s="26"/>
      <c r="I622" s="26"/>
    </row>
    <row r="623" spans="1:9">
      <c r="A623" s="26"/>
      <c r="D623" s="51"/>
      <c r="E623" s="49"/>
      <c r="F623" s="50"/>
      <c r="G623" s="26"/>
      <c r="H623" s="26"/>
      <c r="I623" s="26"/>
    </row>
    <row r="624" spans="1:9">
      <c r="A624" s="26"/>
      <c r="D624" s="51"/>
      <c r="E624" s="49"/>
      <c r="F624" s="50"/>
      <c r="G624" s="26"/>
      <c r="H624" s="26"/>
      <c r="I624" s="26"/>
    </row>
    <row r="625" spans="1:9">
      <c r="A625" s="26"/>
      <c r="D625" s="51"/>
      <c r="E625" s="49"/>
      <c r="F625" s="50"/>
      <c r="G625" s="26"/>
      <c r="H625" s="26"/>
      <c r="I625" s="26"/>
    </row>
    <row r="626" spans="1:9">
      <c r="A626" s="26"/>
      <c r="D626" s="51"/>
      <c r="E626" s="49"/>
      <c r="F626" s="50"/>
      <c r="G626" s="26"/>
      <c r="H626" s="26"/>
      <c r="I626" s="26"/>
    </row>
    <row r="627" spans="1:9">
      <c r="A627" s="26"/>
      <c r="D627" s="51"/>
      <c r="E627" s="49"/>
      <c r="F627" s="50"/>
      <c r="G627" s="26"/>
      <c r="H627" s="26"/>
      <c r="I627" s="26"/>
    </row>
    <row r="628" spans="1:9">
      <c r="A628" s="26"/>
      <c r="D628" s="51"/>
      <c r="E628" s="49"/>
      <c r="F628" s="50"/>
      <c r="G628" s="26"/>
      <c r="H628" s="26"/>
      <c r="I628" s="26"/>
    </row>
    <row r="629" spans="1:9">
      <c r="A629" s="26"/>
      <c r="D629" s="51"/>
      <c r="E629" s="49"/>
      <c r="F629" s="50"/>
      <c r="G629" s="26"/>
      <c r="H629" s="26"/>
      <c r="I629" s="26"/>
    </row>
    <row r="630" spans="1:9">
      <c r="A630" s="26"/>
      <c r="D630" s="51"/>
      <c r="E630" s="49"/>
      <c r="F630" s="50"/>
      <c r="G630" s="26"/>
      <c r="H630" s="26"/>
      <c r="I630" s="26"/>
    </row>
    <row r="631" spans="1:9">
      <c r="A631" s="26"/>
      <c r="D631" s="51"/>
      <c r="E631" s="49"/>
      <c r="F631" s="50"/>
      <c r="G631" s="26"/>
      <c r="H631" s="26"/>
      <c r="I631" s="26"/>
    </row>
    <row r="632" spans="1:9">
      <c r="A632" s="26"/>
      <c r="D632" s="51"/>
      <c r="E632" s="49"/>
      <c r="F632" s="50"/>
      <c r="G632" s="26"/>
      <c r="H632" s="26"/>
      <c r="I632" s="26"/>
    </row>
    <row r="633" spans="1:9">
      <c r="A633" s="26"/>
      <c r="D633" s="51"/>
      <c r="E633" s="49"/>
      <c r="F633" s="50"/>
      <c r="G633" s="26"/>
      <c r="H633" s="26"/>
      <c r="I633" s="26"/>
    </row>
    <row r="634" spans="1:9">
      <c r="A634" s="26"/>
      <c r="D634" s="51"/>
      <c r="E634" s="49"/>
      <c r="F634" s="50"/>
      <c r="G634" s="26"/>
      <c r="H634" s="26"/>
      <c r="I634" s="26"/>
    </row>
    <row r="635" spans="1:9">
      <c r="A635" s="26"/>
      <c r="D635" s="51"/>
      <c r="E635" s="49"/>
      <c r="F635" s="50"/>
      <c r="G635" s="26"/>
      <c r="H635" s="26"/>
      <c r="I635" s="26"/>
    </row>
    <row r="636" spans="1:9">
      <c r="A636" s="26"/>
      <c r="D636" s="51"/>
      <c r="E636" s="49"/>
      <c r="F636" s="50"/>
      <c r="G636" s="26"/>
      <c r="H636" s="26"/>
      <c r="I636" s="26"/>
    </row>
    <row r="637" spans="1:9">
      <c r="A637" s="26"/>
      <c r="D637" s="51"/>
      <c r="E637" s="49"/>
      <c r="F637" s="50"/>
      <c r="G637" s="26"/>
      <c r="H637" s="26"/>
      <c r="I637" s="26"/>
    </row>
    <row r="638" spans="1:9">
      <c r="A638" s="26"/>
      <c r="D638" s="51"/>
      <c r="E638" s="49"/>
      <c r="F638" s="50"/>
      <c r="G638" s="26"/>
      <c r="H638" s="26"/>
      <c r="I638" s="26"/>
    </row>
    <row r="639" spans="1:9">
      <c r="A639" s="26"/>
      <c r="D639" s="51"/>
      <c r="E639" s="49"/>
      <c r="F639" s="50"/>
      <c r="G639" s="26"/>
      <c r="H639" s="26"/>
      <c r="I639" s="26"/>
    </row>
    <row r="640" spans="1:9">
      <c r="A640" s="26"/>
      <c r="D640" s="51"/>
      <c r="E640" s="49"/>
      <c r="F640" s="50"/>
      <c r="G640" s="26"/>
      <c r="H640" s="26"/>
      <c r="I640" s="26"/>
    </row>
    <row r="641" spans="1:9">
      <c r="A641" s="26"/>
      <c r="D641" s="51"/>
      <c r="E641" s="49"/>
      <c r="F641" s="50"/>
      <c r="G641" s="26"/>
      <c r="H641" s="26"/>
      <c r="I641" s="26"/>
    </row>
    <row r="642" spans="1:9">
      <c r="A642" s="26"/>
      <c r="D642" s="51"/>
      <c r="E642" s="49"/>
      <c r="F642" s="50"/>
      <c r="G642" s="26"/>
      <c r="H642" s="26"/>
      <c r="I642" s="26"/>
    </row>
    <row r="643" spans="1:9">
      <c r="A643" s="26"/>
      <c r="D643" s="51"/>
      <c r="E643" s="49"/>
      <c r="F643" s="50"/>
      <c r="G643" s="26"/>
      <c r="H643" s="26"/>
      <c r="I643" s="26"/>
    </row>
    <row r="644" spans="1:9">
      <c r="A644" s="26"/>
      <c r="D644" s="51"/>
      <c r="E644" s="49"/>
      <c r="F644" s="50"/>
      <c r="G644" s="26"/>
      <c r="H644" s="26"/>
      <c r="I644" s="26"/>
    </row>
    <row r="645" spans="1:9">
      <c r="A645" s="26"/>
      <c r="D645" s="51"/>
      <c r="E645" s="49"/>
      <c r="F645" s="50"/>
      <c r="G645" s="26"/>
      <c r="H645" s="26"/>
      <c r="I645" s="26"/>
    </row>
    <row r="646" spans="1:9">
      <c r="A646" s="26"/>
      <c r="D646" s="51"/>
      <c r="E646" s="49"/>
      <c r="F646" s="50"/>
      <c r="G646" s="26"/>
      <c r="H646" s="26"/>
      <c r="I646" s="26"/>
    </row>
    <row r="647" spans="1:9">
      <c r="A647" s="26"/>
      <c r="D647" s="51"/>
      <c r="E647" s="49"/>
      <c r="F647" s="50"/>
      <c r="G647" s="26"/>
      <c r="H647" s="26"/>
      <c r="I647" s="26"/>
    </row>
    <row r="648" spans="1:9">
      <c r="A648" s="26"/>
      <c r="D648" s="51"/>
      <c r="E648" s="49"/>
      <c r="F648" s="50"/>
      <c r="G648" s="26"/>
      <c r="H648" s="26"/>
      <c r="I648" s="26"/>
    </row>
    <row r="649" spans="1:9">
      <c r="A649" s="26"/>
      <c r="D649" s="51"/>
      <c r="E649" s="49"/>
      <c r="F649" s="50"/>
      <c r="G649" s="26"/>
      <c r="H649" s="26"/>
      <c r="I649" s="26"/>
    </row>
    <row r="650" spans="1:9">
      <c r="A650" s="26"/>
      <c r="D650" s="51"/>
      <c r="E650" s="49"/>
      <c r="F650" s="50"/>
      <c r="G650" s="26"/>
      <c r="H650" s="26"/>
      <c r="I650" s="26"/>
    </row>
    <row r="651" spans="1:9">
      <c r="A651" s="26"/>
      <c r="D651" s="51"/>
      <c r="E651" s="49"/>
      <c r="F651" s="50"/>
      <c r="G651" s="26"/>
      <c r="H651" s="26"/>
      <c r="I651" s="26"/>
    </row>
    <row r="652" spans="1:9">
      <c r="A652" s="26"/>
      <c r="D652" s="51"/>
      <c r="E652" s="49"/>
      <c r="F652" s="50"/>
      <c r="G652" s="26"/>
      <c r="H652" s="26"/>
      <c r="I652" s="26"/>
    </row>
    <row r="653" spans="1:9">
      <c r="A653" s="26"/>
      <c r="D653" s="51"/>
      <c r="E653" s="49"/>
      <c r="F653" s="50"/>
      <c r="G653" s="26"/>
      <c r="H653" s="26"/>
      <c r="I653" s="26"/>
    </row>
    <row r="654" spans="1:9">
      <c r="A654" s="26"/>
      <c r="D654" s="51"/>
      <c r="E654" s="49"/>
      <c r="F654" s="50"/>
      <c r="G654" s="26"/>
      <c r="H654" s="26"/>
      <c r="I654" s="26"/>
    </row>
    <row r="655" spans="1:9">
      <c r="A655" s="26"/>
      <c r="D655" s="51"/>
      <c r="E655" s="49"/>
      <c r="F655" s="50"/>
      <c r="G655" s="26"/>
      <c r="H655" s="26"/>
      <c r="I655" s="26"/>
    </row>
    <row r="656" spans="1:9">
      <c r="A656" s="26"/>
      <c r="D656" s="51"/>
      <c r="E656" s="49"/>
      <c r="F656" s="50"/>
      <c r="G656" s="26"/>
      <c r="H656" s="26"/>
      <c r="I656" s="26"/>
    </row>
    <row r="657" spans="1:9">
      <c r="A657" s="26"/>
      <c r="D657" s="51"/>
      <c r="E657" s="49"/>
      <c r="F657" s="50"/>
      <c r="G657" s="26"/>
      <c r="H657" s="26"/>
      <c r="I657" s="26"/>
    </row>
    <row r="658" spans="1:9">
      <c r="A658" s="26"/>
      <c r="D658" s="51"/>
      <c r="E658" s="49"/>
      <c r="F658" s="50"/>
      <c r="G658" s="26"/>
      <c r="H658" s="26"/>
      <c r="I658" s="26"/>
    </row>
    <row r="659" spans="1:9">
      <c r="A659" s="26"/>
      <c r="D659" s="51"/>
      <c r="E659" s="49"/>
      <c r="F659" s="50"/>
      <c r="G659" s="26"/>
      <c r="H659" s="26"/>
      <c r="I659" s="26"/>
    </row>
    <row r="660" spans="1:9">
      <c r="A660" s="26"/>
      <c r="D660" s="51"/>
      <c r="E660" s="49"/>
      <c r="F660" s="50"/>
      <c r="G660" s="26"/>
      <c r="H660" s="26"/>
      <c r="I660" s="26"/>
    </row>
    <row r="661" spans="1:9">
      <c r="A661" s="26"/>
      <c r="D661" s="51"/>
      <c r="E661" s="49"/>
      <c r="F661" s="50"/>
      <c r="G661" s="26"/>
      <c r="H661" s="26"/>
      <c r="I661" s="26"/>
    </row>
    <row r="662" spans="1:9">
      <c r="A662" s="26"/>
      <c r="D662" s="51"/>
      <c r="E662" s="49"/>
      <c r="F662" s="50"/>
      <c r="G662" s="26"/>
      <c r="H662" s="26"/>
      <c r="I662" s="26"/>
    </row>
    <row r="663" spans="1:9">
      <c r="A663" s="26"/>
      <c r="D663" s="51"/>
      <c r="E663" s="49"/>
      <c r="F663" s="50"/>
      <c r="G663" s="26"/>
      <c r="H663" s="26"/>
      <c r="I663" s="26"/>
    </row>
    <row r="664" spans="1:9">
      <c r="A664" s="26"/>
      <c r="D664" s="51"/>
      <c r="E664" s="49"/>
      <c r="F664" s="50"/>
      <c r="G664" s="26"/>
      <c r="H664" s="26"/>
      <c r="I664" s="26"/>
    </row>
    <row r="665" spans="1:9">
      <c r="A665" s="26"/>
      <c r="D665" s="51"/>
      <c r="E665" s="49"/>
      <c r="F665" s="50"/>
      <c r="G665" s="26"/>
      <c r="H665" s="26"/>
      <c r="I665" s="26"/>
    </row>
    <row r="666" spans="1:9">
      <c r="A666" s="26"/>
      <c r="D666" s="51"/>
      <c r="E666" s="49"/>
      <c r="F666" s="50"/>
      <c r="G666" s="26"/>
      <c r="H666" s="26"/>
      <c r="I666" s="26"/>
    </row>
    <row r="667" spans="1:9">
      <c r="A667" s="26"/>
      <c r="D667" s="51"/>
      <c r="E667" s="49"/>
      <c r="F667" s="50"/>
      <c r="G667" s="26"/>
      <c r="H667" s="26"/>
      <c r="I667" s="26"/>
    </row>
    <row r="668" spans="1:9">
      <c r="A668" s="26"/>
      <c r="D668" s="51"/>
      <c r="E668" s="49"/>
      <c r="F668" s="50"/>
      <c r="G668" s="26"/>
      <c r="H668" s="26"/>
      <c r="I668" s="26"/>
    </row>
    <row r="669" spans="1:9">
      <c r="A669" s="26"/>
      <c r="D669" s="51"/>
      <c r="E669" s="49"/>
      <c r="F669" s="50"/>
      <c r="G669" s="26"/>
      <c r="H669" s="26"/>
      <c r="I669" s="26"/>
    </row>
    <row r="670" spans="1:9">
      <c r="A670" s="26"/>
      <c r="D670" s="51"/>
      <c r="E670" s="49"/>
      <c r="F670" s="50"/>
      <c r="G670" s="26"/>
      <c r="H670" s="26"/>
      <c r="I670" s="26"/>
    </row>
    <row r="671" spans="1:9">
      <c r="A671" s="26"/>
      <c r="D671" s="51"/>
      <c r="E671" s="49"/>
      <c r="F671" s="50"/>
      <c r="G671" s="26"/>
      <c r="H671" s="26"/>
      <c r="I671" s="26"/>
    </row>
    <row r="672" spans="1:9">
      <c r="A672" s="26"/>
      <c r="D672" s="51"/>
      <c r="E672" s="49"/>
      <c r="F672" s="50"/>
      <c r="G672" s="26"/>
      <c r="H672" s="26"/>
      <c r="I672" s="26"/>
    </row>
    <row r="673" spans="1:9">
      <c r="A673" s="26"/>
      <c r="D673" s="51"/>
      <c r="E673" s="49"/>
      <c r="F673" s="50"/>
      <c r="G673" s="26"/>
      <c r="H673" s="26"/>
      <c r="I673" s="26"/>
    </row>
    <row r="674" spans="1:9">
      <c r="A674" s="26"/>
      <c r="D674" s="51"/>
      <c r="E674" s="49"/>
      <c r="F674" s="50"/>
      <c r="G674" s="26"/>
      <c r="H674" s="26"/>
      <c r="I674" s="26"/>
    </row>
    <row r="675" spans="1:9">
      <c r="A675" s="26"/>
      <c r="D675" s="51"/>
      <c r="E675" s="49"/>
      <c r="F675" s="50"/>
      <c r="G675" s="26"/>
      <c r="H675" s="26"/>
      <c r="I675" s="26"/>
    </row>
    <row r="676" spans="1:9">
      <c r="A676" s="26"/>
      <c r="D676" s="51"/>
      <c r="E676" s="49"/>
      <c r="F676" s="50"/>
      <c r="G676" s="26"/>
      <c r="H676" s="26"/>
      <c r="I676" s="26"/>
    </row>
    <row r="677" spans="1:9">
      <c r="A677" s="26"/>
      <c r="D677" s="51"/>
      <c r="E677" s="49"/>
      <c r="F677" s="50"/>
      <c r="G677" s="26"/>
      <c r="H677" s="26"/>
      <c r="I677" s="26"/>
    </row>
    <row r="678" spans="1:9">
      <c r="A678" s="26"/>
      <c r="D678" s="51"/>
      <c r="E678" s="49"/>
      <c r="F678" s="50"/>
      <c r="G678" s="26"/>
      <c r="H678" s="26"/>
      <c r="I678" s="26"/>
    </row>
    <row r="679" spans="1:9">
      <c r="A679" s="26"/>
      <c r="D679" s="51"/>
      <c r="E679" s="49"/>
      <c r="F679" s="50"/>
      <c r="G679" s="26"/>
      <c r="H679" s="26"/>
      <c r="I679" s="26"/>
    </row>
    <row r="680" spans="1:9">
      <c r="A680" s="26"/>
      <c r="D680" s="51"/>
      <c r="E680" s="49"/>
      <c r="F680" s="50"/>
      <c r="G680" s="26"/>
      <c r="H680" s="26"/>
      <c r="I680" s="26"/>
    </row>
    <row r="681" spans="1:9">
      <c r="A681" s="26"/>
      <c r="D681" s="51"/>
      <c r="E681" s="49"/>
      <c r="F681" s="50"/>
      <c r="G681" s="26"/>
      <c r="H681" s="26"/>
      <c r="I681" s="26"/>
    </row>
    <row r="682" spans="1:9">
      <c r="A682" s="26"/>
      <c r="D682" s="51"/>
      <c r="E682" s="49"/>
      <c r="F682" s="50"/>
      <c r="G682" s="26"/>
      <c r="H682" s="26"/>
      <c r="I682" s="26"/>
    </row>
    <row r="683" spans="1:9">
      <c r="A683" s="26"/>
      <c r="D683" s="51"/>
      <c r="E683" s="49"/>
      <c r="F683" s="50"/>
      <c r="G683" s="26"/>
      <c r="H683" s="26"/>
      <c r="I683" s="26"/>
    </row>
    <row r="684" spans="1:9">
      <c r="A684" s="26"/>
      <c r="D684" s="51"/>
      <c r="E684" s="49"/>
      <c r="F684" s="50"/>
      <c r="G684" s="26"/>
      <c r="H684" s="26"/>
      <c r="I684" s="26"/>
    </row>
    <row r="685" spans="1:9">
      <c r="A685" s="26"/>
      <c r="D685" s="51"/>
      <c r="E685" s="49"/>
      <c r="F685" s="50"/>
      <c r="G685" s="26"/>
      <c r="H685" s="26"/>
      <c r="I685" s="26"/>
    </row>
    <row r="686" spans="1:9">
      <c r="A686" s="26"/>
      <c r="D686" s="51"/>
      <c r="E686" s="49"/>
      <c r="F686" s="50"/>
      <c r="G686" s="26"/>
      <c r="H686" s="26"/>
      <c r="I686" s="26"/>
    </row>
    <row r="687" spans="1:9">
      <c r="A687" s="26"/>
      <c r="D687" s="51"/>
      <c r="E687" s="49"/>
      <c r="F687" s="50"/>
      <c r="G687" s="26"/>
      <c r="H687" s="26"/>
      <c r="I687" s="26"/>
    </row>
    <row r="688" spans="1:9">
      <c r="A688" s="26"/>
      <c r="D688" s="51"/>
      <c r="E688" s="49"/>
      <c r="F688" s="50"/>
      <c r="G688" s="26"/>
      <c r="H688" s="26"/>
      <c r="I688" s="26"/>
    </row>
    <row r="689" spans="1:9">
      <c r="A689" s="26"/>
      <c r="D689" s="51"/>
      <c r="E689" s="49"/>
      <c r="F689" s="50"/>
      <c r="G689" s="26"/>
      <c r="H689" s="26"/>
      <c r="I689" s="26"/>
    </row>
    <row r="690" spans="1:9">
      <c r="A690" s="26"/>
      <c r="D690" s="51"/>
      <c r="E690" s="49"/>
      <c r="F690" s="50"/>
      <c r="G690" s="26"/>
      <c r="H690" s="26"/>
      <c r="I690" s="26"/>
    </row>
    <row r="691" spans="1:9">
      <c r="A691" s="26"/>
      <c r="D691" s="51"/>
      <c r="E691" s="49"/>
      <c r="F691" s="50"/>
      <c r="G691" s="26"/>
      <c r="H691" s="26"/>
      <c r="I691" s="26"/>
    </row>
    <row r="692" spans="1:9">
      <c r="A692" s="26"/>
      <c r="D692" s="51"/>
      <c r="E692" s="49"/>
      <c r="F692" s="50"/>
      <c r="G692" s="26"/>
      <c r="H692" s="26"/>
      <c r="I692" s="26"/>
    </row>
    <row r="693" spans="1:9">
      <c r="A693" s="26"/>
      <c r="D693" s="51"/>
      <c r="E693" s="49"/>
      <c r="F693" s="50"/>
      <c r="G693" s="26"/>
      <c r="H693" s="26"/>
      <c r="I693" s="26"/>
    </row>
    <row r="694" spans="1:9">
      <c r="A694" s="26"/>
      <c r="D694" s="51"/>
      <c r="E694" s="49"/>
      <c r="F694" s="50"/>
      <c r="G694" s="26"/>
      <c r="H694" s="26"/>
      <c r="I694" s="26"/>
    </row>
    <row r="695" spans="1:9">
      <c r="A695" s="26"/>
      <c r="D695" s="51"/>
      <c r="E695" s="49"/>
      <c r="F695" s="50"/>
      <c r="G695" s="26"/>
      <c r="H695" s="26"/>
      <c r="I695" s="26"/>
    </row>
    <row r="696" spans="1:9">
      <c r="A696" s="26"/>
      <c r="D696" s="51"/>
      <c r="E696" s="49"/>
      <c r="F696" s="50"/>
      <c r="G696" s="26"/>
      <c r="H696" s="26"/>
      <c r="I696" s="26"/>
    </row>
    <row r="697" spans="1:9">
      <c r="A697" s="26"/>
      <c r="D697" s="51"/>
      <c r="E697" s="49"/>
      <c r="F697" s="50"/>
      <c r="G697" s="26"/>
      <c r="H697" s="26"/>
      <c r="I697" s="26"/>
    </row>
    <row r="698" spans="1:9">
      <c r="A698" s="26"/>
      <c r="D698" s="51"/>
      <c r="E698" s="49"/>
      <c r="F698" s="50"/>
      <c r="G698" s="26"/>
      <c r="H698" s="26"/>
      <c r="I698" s="26"/>
    </row>
    <row r="699" spans="1:9">
      <c r="A699" s="26"/>
      <c r="D699" s="51"/>
      <c r="E699" s="49"/>
      <c r="F699" s="50"/>
      <c r="G699" s="26"/>
      <c r="H699" s="26"/>
      <c r="I699" s="26"/>
    </row>
    <row r="700" spans="1:9">
      <c r="A700" s="26"/>
      <c r="D700" s="51"/>
      <c r="E700" s="49"/>
      <c r="F700" s="50"/>
      <c r="G700" s="26"/>
      <c r="H700" s="26"/>
      <c r="I700" s="26"/>
    </row>
    <row r="701" spans="1:9">
      <c r="A701" s="26"/>
      <c r="D701" s="51"/>
      <c r="E701" s="49"/>
      <c r="F701" s="50"/>
      <c r="G701" s="26"/>
      <c r="H701" s="26"/>
      <c r="I701" s="26"/>
    </row>
    <row r="702" spans="1:9">
      <c r="A702" s="26"/>
      <c r="D702" s="51"/>
      <c r="E702" s="49"/>
      <c r="F702" s="50"/>
      <c r="G702" s="26"/>
      <c r="H702" s="26"/>
      <c r="I702" s="26"/>
    </row>
    <row r="703" spans="1:9">
      <c r="A703" s="26"/>
      <c r="D703" s="51"/>
      <c r="E703" s="49"/>
      <c r="F703" s="50"/>
      <c r="G703" s="26"/>
      <c r="H703" s="26"/>
      <c r="I703" s="26"/>
    </row>
    <row r="704" spans="1:9">
      <c r="A704" s="26"/>
      <c r="D704" s="51"/>
      <c r="E704" s="49"/>
      <c r="F704" s="50"/>
      <c r="G704" s="26"/>
      <c r="H704" s="26"/>
      <c r="I704" s="26"/>
    </row>
    <row r="705" spans="1:9">
      <c r="A705" s="26"/>
      <c r="D705" s="51"/>
      <c r="E705" s="49"/>
      <c r="F705" s="50"/>
      <c r="G705" s="26"/>
      <c r="H705" s="26"/>
      <c r="I705" s="26"/>
    </row>
    <row r="706" spans="1:9">
      <c r="A706" s="26"/>
      <c r="D706" s="51"/>
      <c r="E706" s="49"/>
      <c r="F706" s="50"/>
      <c r="G706" s="26"/>
      <c r="H706" s="26"/>
      <c r="I706" s="26"/>
    </row>
    <row r="707" spans="1:9">
      <c r="A707" s="26"/>
      <c r="D707" s="51"/>
      <c r="E707" s="49"/>
      <c r="F707" s="50"/>
      <c r="G707" s="26"/>
      <c r="H707" s="26"/>
      <c r="I707" s="26"/>
    </row>
    <row r="708" spans="1:9">
      <c r="A708" s="26"/>
      <c r="D708" s="51"/>
      <c r="E708" s="49"/>
      <c r="F708" s="50"/>
      <c r="G708" s="26"/>
      <c r="H708" s="26"/>
      <c r="I708" s="26"/>
    </row>
    <row r="709" spans="1:9">
      <c r="A709" s="26"/>
      <c r="D709" s="51"/>
      <c r="E709" s="49"/>
      <c r="F709" s="50"/>
      <c r="G709" s="26"/>
      <c r="H709" s="26"/>
      <c r="I709" s="26"/>
    </row>
    <row r="710" spans="1:9">
      <c r="A710" s="26"/>
      <c r="D710" s="51"/>
      <c r="E710" s="49"/>
      <c r="F710" s="50"/>
      <c r="G710" s="26"/>
      <c r="H710" s="26"/>
      <c r="I710" s="26"/>
    </row>
    <row r="711" spans="1:9">
      <c r="A711" s="26"/>
      <c r="D711" s="51"/>
      <c r="E711" s="49"/>
      <c r="F711" s="50"/>
      <c r="G711" s="26"/>
      <c r="H711" s="26"/>
      <c r="I711" s="26"/>
    </row>
    <row r="712" spans="1:9">
      <c r="A712" s="26"/>
      <c r="D712" s="51"/>
      <c r="E712" s="49"/>
      <c r="F712" s="50"/>
      <c r="G712" s="26"/>
      <c r="H712" s="26"/>
      <c r="I712" s="26"/>
    </row>
    <row r="713" spans="1:9">
      <c r="A713" s="26"/>
      <c r="D713" s="51"/>
      <c r="E713" s="49"/>
      <c r="F713" s="50"/>
      <c r="G713" s="26"/>
      <c r="H713" s="26"/>
      <c r="I713" s="26"/>
    </row>
    <row r="714" spans="1:9">
      <c r="A714" s="26"/>
      <c r="D714" s="51"/>
      <c r="E714" s="49"/>
      <c r="F714" s="50"/>
      <c r="G714" s="26"/>
      <c r="H714" s="26"/>
      <c r="I714" s="26"/>
    </row>
    <row r="715" spans="1:9">
      <c r="A715" s="26"/>
      <c r="D715" s="51"/>
      <c r="E715" s="49"/>
      <c r="F715" s="50"/>
      <c r="G715" s="26"/>
      <c r="H715" s="26"/>
      <c r="I715" s="26"/>
    </row>
    <row r="716" spans="1:9">
      <c r="A716" s="26"/>
      <c r="D716" s="51"/>
      <c r="E716" s="49"/>
      <c r="F716" s="50"/>
      <c r="G716" s="26"/>
      <c r="H716" s="26"/>
      <c r="I716" s="26"/>
    </row>
    <row r="717" spans="1:9">
      <c r="A717" s="26"/>
      <c r="D717" s="51"/>
      <c r="E717" s="49"/>
      <c r="F717" s="50"/>
      <c r="G717" s="26"/>
      <c r="H717" s="26"/>
      <c r="I717" s="26"/>
    </row>
    <row r="718" spans="1:9">
      <c r="A718" s="26"/>
      <c r="D718" s="51"/>
      <c r="E718" s="49"/>
      <c r="F718" s="50"/>
      <c r="G718" s="26"/>
      <c r="H718" s="26"/>
      <c r="I718" s="26"/>
    </row>
    <row r="719" spans="1:9">
      <c r="A719" s="26"/>
      <c r="D719" s="51"/>
      <c r="E719" s="49"/>
      <c r="F719" s="50"/>
      <c r="G719" s="26"/>
      <c r="H719" s="26"/>
      <c r="I719" s="26"/>
    </row>
    <row r="720" spans="1:9">
      <c r="A720" s="26"/>
      <c r="D720" s="51"/>
      <c r="E720" s="49"/>
      <c r="F720" s="50"/>
      <c r="G720" s="26"/>
      <c r="H720" s="26"/>
      <c r="I720" s="26"/>
    </row>
    <row r="721" spans="1:9">
      <c r="A721" s="26"/>
      <c r="D721" s="51"/>
      <c r="E721" s="49"/>
      <c r="F721" s="50"/>
      <c r="G721" s="26"/>
      <c r="H721" s="26"/>
      <c r="I721" s="26"/>
    </row>
    <row r="722" spans="1:9">
      <c r="A722" s="26"/>
      <c r="D722" s="51"/>
      <c r="E722" s="49"/>
      <c r="F722" s="50"/>
      <c r="G722" s="26"/>
      <c r="H722" s="26"/>
      <c r="I722" s="26"/>
    </row>
    <row r="723" spans="1:9">
      <c r="A723" s="26"/>
      <c r="D723" s="51"/>
      <c r="E723" s="49"/>
      <c r="F723" s="50"/>
      <c r="G723" s="26"/>
      <c r="H723" s="26"/>
      <c r="I723" s="26"/>
    </row>
    <row r="724" spans="1:9">
      <c r="A724" s="26"/>
      <c r="D724" s="51"/>
      <c r="E724" s="49"/>
      <c r="F724" s="50"/>
      <c r="G724" s="26"/>
      <c r="H724" s="26"/>
      <c r="I724" s="26"/>
    </row>
    <row r="725" spans="1:9">
      <c r="A725" s="26"/>
      <c r="D725" s="51"/>
      <c r="E725" s="49"/>
      <c r="F725" s="50"/>
      <c r="G725" s="26"/>
      <c r="H725" s="26"/>
      <c r="I725" s="26"/>
    </row>
    <row r="726" spans="1:9">
      <c r="A726" s="26"/>
      <c r="D726" s="51"/>
      <c r="E726" s="49"/>
      <c r="F726" s="50"/>
      <c r="G726" s="26"/>
      <c r="H726" s="26"/>
      <c r="I726" s="26"/>
    </row>
    <row r="727" spans="1:9">
      <c r="A727" s="26"/>
      <c r="D727" s="51"/>
      <c r="E727" s="49"/>
      <c r="F727" s="50"/>
      <c r="G727" s="26"/>
      <c r="H727" s="26"/>
      <c r="I727" s="26"/>
    </row>
    <row r="728" spans="1:9">
      <c r="A728" s="26"/>
      <c r="D728" s="51"/>
      <c r="E728" s="49"/>
      <c r="F728" s="50"/>
      <c r="G728" s="26"/>
      <c r="H728" s="26"/>
      <c r="I728" s="26"/>
    </row>
    <row r="729" spans="1:9">
      <c r="A729" s="26"/>
      <c r="D729" s="51"/>
      <c r="E729" s="49"/>
      <c r="F729" s="50"/>
      <c r="G729" s="26"/>
      <c r="H729" s="26"/>
      <c r="I729" s="26"/>
    </row>
    <row r="730" spans="1:9">
      <c r="A730" s="26"/>
      <c r="D730" s="51"/>
      <c r="E730" s="49"/>
      <c r="F730" s="50"/>
      <c r="G730" s="26"/>
      <c r="H730" s="26"/>
      <c r="I730" s="26"/>
    </row>
    <row r="731" spans="1:9">
      <c r="A731" s="26"/>
      <c r="D731" s="51"/>
      <c r="E731" s="49"/>
      <c r="F731" s="50"/>
      <c r="G731" s="26"/>
      <c r="H731" s="26"/>
      <c r="I731" s="26"/>
    </row>
    <row r="732" spans="1:9">
      <c r="A732" s="26"/>
      <c r="D732" s="51"/>
      <c r="E732" s="49"/>
      <c r="F732" s="50"/>
      <c r="G732" s="26"/>
      <c r="H732" s="26"/>
      <c r="I732" s="26"/>
    </row>
    <row r="733" spans="1:9">
      <c r="A733" s="26"/>
      <c r="D733" s="51"/>
      <c r="E733" s="49"/>
      <c r="F733" s="50"/>
      <c r="G733" s="26"/>
      <c r="H733" s="26"/>
      <c r="I733" s="26"/>
    </row>
    <row r="734" spans="1:9">
      <c r="A734" s="26"/>
      <c r="D734" s="51"/>
      <c r="E734" s="49"/>
      <c r="F734" s="50"/>
      <c r="G734" s="26"/>
      <c r="H734" s="26"/>
      <c r="I734" s="26"/>
    </row>
    <row r="735" spans="1:9">
      <c r="A735" s="26"/>
      <c r="D735" s="51"/>
      <c r="E735" s="49"/>
      <c r="F735" s="50"/>
      <c r="G735" s="26"/>
      <c r="H735" s="26"/>
      <c r="I735" s="26"/>
    </row>
    <row r="736" spans="1:9">
      <c r="A736" s="26"/>
      <c r="D736" s="51"/>
      <c r="E736" s="49"/>
      <c r="F736" s="50"/>
      <c r="G736" s="26"/>
      <c r="H736" s="26"/>
      <c r="I736" s="26"/>
    </row>
    <row r="737" spans="1:9">
      <c r="A737" s="26"/>
      <c r="D737" s="51"/>
      <c r="E737" s="49"/>
      <c r="F737" s="50"/>
      <c r="G737" s="26"/>
      <c r="H737" s="26"/>
      <c r="I737" s="26"/>
    </row>
    <row r="738" spans="1:9">
      <c r="A738" s="26"/>
      <c r="D738" s="51"/>
      <c r="E738" s="49"/>
      <c r="F738" s="50"/>
      <c r="G738" s="26"/>
      <c r="H738" s="26"/>
      <c r="I738" s="26"/>
    </row>
    <row r="739" spans="1:9">
      <c r="A739" s="26"/>
      <c r="D739" s="51"/>
      <c r="E739" s="49"/>
      <c r="F739" s="50"/>
      <c r="G739" s="26"/>
      <c r="H739" s="26"/>
      <c r="I739" s="26"/>
    </row>
    <row r="740" spans="1:9">
      <c r="A740" s="26"/>
      <c r="D740" s="51"/>
      <c r="E740" s="49"/>
      <c r="F740" s="50"/>
      <c r="G740" s="26"/>
      <c r="H740" s="26"/>
      <c r="I740" s="26"/>
    </row>
    <row r="741" spans="1:9">
      <c r="A741" s="26"/>
      <c r="D741" s="51"/>
      <c r="E741" s="49"/>
      <c r="F741" s="50"/>
      <c r="G741" s="26"/>
      <c r="H741" s="26"/>
      <c r="I741" s="26"/>
    </row>
    <row r="742" spans="1:9">
      <c r="A742" s="26"/>
      <c r="D742" s="51"/>
      <c r="E742" s="49"/>
      <c r="F742" s="50"/>
      <c r="G742" s="26"/>
      <c r="H742" s="26"/>
      <c r="I742" s="26"/>
    </row>
    <row r="743" spans="1:9">
      <c r="A743" s="26"/>
      <c r="D743" s="51"/>
      <c r="E743" s="49"/>
      <c r="F743" s="50"/>
      <c r="G743" s="26"/>
      <c r="H743" s="26"/>
      <c r="I743" s="26"/>
    </row>
    <row r="744" spans="1:9">
      <c r="A744" s="26"/>
      <c r="D744" s="51"/>
      <c r="E744" s="49"/>
      <c r="F744" s="50"/>
      <c r="G744" s="26"/>
      <c r="H744" s="26"/>
      <c r="I744" s="26"/>
    </row>
    <row r="745" spans="1:9">
      <c r="A745" s="26"/>
      <c r="D745" s="51"/>
      <c r="E745" s="49"/>
      <c r="F745" s="50"/>
      <c r="G745" s="26"/>
      <c r="H745" s="26"/>
      <c r="I745" s="26"/>
    </row>
    <row r="746" spans="1:9">
      <c r="A746" s="26"/>
      <c r="D746" s="51"/>
      <c r="E746" s="49"/>
      <c r="F746" s="50"/>
      <c r="G746" s="26"/>
      <c r="H746" s="26"/>
      <c r="I746" s="26"/>
    </row>
    <row r="747" spans="1:9">
      <c r="A747" s="26"/>
      <c r="D747" s="51"/>
      <c r="E747" s="49"/>
      <c r="F747" s="50"/>
      <c r="G747" s="26"/>
      <c r="H747" s="26"/>
      <c r="I747" s="26"/>
    </row>
    <row r="748" spans="1:9">
      <c r="A748" s="26"/>
      <c r="D748" s="51"/>
      <c r="E748" s="49"/>
      <c r="F748" s="50"/>
      <c r="G748" s="26"/>
      <c r="H748" s="26"/>
      <c r="I748" s="26"/>
    </row>
    <row r="749" spans="1:9">
      <c r="A749" s="26"/>
      <c r="D749" s="51"/>
      <c r="E749" s="49"/>
      <c r="F749" s="50"/>
      <c r="G749" s="26"/>
      <c r="H749" s="26"/>
      <c r="I749" s="26"/>
    </row>
    <row r="750" spans="1:9">
      <c r="A750" s="26"/>
      <c r="D750" s="51"/>
      <c r="E750" s="49"/>
      <c r="F750" s="50"/>
      <c r="G750" s="26"/>
      <c r="H750" s="26"/>
      <c r="I750" s="26"/>
    </row>
    <row r="751" spans="1:9">
      <c r="A751" s="26"/>
      <c r="D751" s="51"/>
      <c r="E751" s="49"/>
      <c r="F751" s="50"/>
      <c r="G751" s="26"/>
      <c r="H751" s="26"/>
      <c r="I751" s="26"/>
    </row>
    <row r="752" spans="1:9">
      <c r="A752" s="26"/>
      <c r="D752" s="51"/>
      <c r="E752" s="49"/>
      <c r="F752" s="50"/>
      <c r="G752" s="26"/>
      <c r="H752" s="26"/>
      <c r="I752" s="26"/>
    </row>
    <row r="753" spans="1:9">
      <c r="A753" s="26"/>
      <c r="D753" s="51"/>
      <c r="E753" s="49"/>
      <c r="F753" s="50"/>
      <c r="G753" s="26"/>
      <c r="H753" s="26"/>
      <c r="I753" s="26"/>
    </row>
    <row r="754" spans="1:9">
      <c r="A754" s="26"/>
      <c r="D754" s="51"/>
      <c r="E754" s="49"/>
      <c r="F754" s="50"/>
      <c r="G754" s="26"/>
      <c r="H754" s="26"/>
      <c r="I754" s="26"/>
    </row>
    <row r="755" spans="1:9">
      <c r="A755" s="26"/>
      <c r="D755" s="51"/>
      <c r="E755" s="49"/>
      <c r="F755" s="50"/>
      <c r="G755" s="26"/>
      <c r="H755" s="26"/>
      <c r="I755" s="26"/>
    </row>
    <row r="756" spans="1:9">
      <c r="A756" s="26"/>
      <c r="D756" s="51"/>
      <c r="E756" s="49"/>
      <c r="F756" s="50"/>
      <c r="G756" s="26"/>
      <c r="H756" s="26"/>
      <c r="I756" s="26"/>
    </row>
    <row r="757" spans="1:9">
      <c r="A757" s="26"/>
      <c r="D757" s="51"/>
      <c r="E757" s="49"/>
      <c r="F757" s="50"/>
      <c r="G757" s="26"/>
      <c r="H757" s="26"/>
      <c r="I757" s="26"/>
    </row>
    <row r="758" spans="1:9">
      <c r="A758" s="26"/>
      <c r="D758" s="51"/>
      <c r="E758" s="49"/>
      <c r="F758" s="50"/>
      <c r="G758" s="26"/>
      <c r="H758" s="26"/>
      <c r="I758" s="26"/>
    </row>
    <row r="759" spans="1:9">
      <c r="A759" s="26"/>
      <c r="D759" s="51"/>
      <c r="E759" s="49"/>
      <c r="F759" s="50"/>
      <c r="G759" s="26"/>
      <c r="H759" s="26"/>
      <c r="I759" s="26"/>
    </row>
    <row r="760" spans="1:9">
      <c r="A760" s="26"/>
      <c r="D760" s="51"/>
      <c r="E760" s="49"/>
      <c r="F760" s="50"/>
      <c r="G760" s="26"/>
      <c r="H760" s="26"/>
      <c r="I760" s="26"/>
    </row>
    <row r="761" spans="1:9">
      <c r="A761" s="26"/>
      <c r="D761" s="51"/>
      <c r="E761" s="49"/>
      <c r="F761" s="50"/>
      <c r="G761" s="26"/>
      <c r="H761" s="26"/>
      <c r="I761" s="26"/>
    </row>
    <row r="762" spans="1:9">
      <c r="A762" s="26"/>
      <c r="D762" s="51"/>
      <c r="E762" s="49"/>
      <c r="F762" s="50"/>
      <c r="G762" s="26"/>
      <c r="H762" s="26"/>
      <c r="I762" s="26"/>
    </row>
    <row r="763" spans="1:9">
      <c r="A763" s="26"/>
      <c r="D763" s="51"/>
      <c r="E763" s="49"/>
      <c r="F763" s="50"/>
      <c r="G763" s="26"/>
      <c r="H763" s="26"/>
      <c r="I763" s="26"/>
    </row>
    <row r="764" spans="1:9">
      <c r="A764" s="26"/>
      <c r="D764" s="51"/>
      <c r="E764" s="49"/>
      <c r="F764" s="50"/>
      <c r="G764" s="26"/>
      <c r="H764" s="26"/>
      <c r="I764" s="26"/>
    </row>
    <row r="765" spans="1:9">
      <c r="A765" s="26"/>
      <c r="D765" s="51"/>
      <c r="E765" s="49"/>
      <c r="F765" s="50"/>
      <c r="G765" s="26"/>
      <c r="H765" s="26"/>
      <c r="I765" s="26"/>
    </row>
    <row r="766" spans="1:9">
      <c r="A766" s="26"/>
      <c r="D766" s="51"/>
      <c r="E766" s="49"/>
      <c r="F766" s="50"/>
      <c r="G766" s="26"/>
      <c r="H766" s="26"/>
      <c r="I766" s="26"/>
    </row>
    <row r="767" spans="1:9">
      <c r="A767" s="26"/>
      <c r="D767" s="51"/>
      <c r="E767" s="49"/>
      <c r="F767" s="50"/>
      <c r="G767" s="26"/>
      <c r="H767" s="26"/>
      <c r="I767" s="26"/>
    </row>
    <row r="768" spans="1:9">
      <c r="A768" s="26"/>
      <c r="D768" s="51"/>
      <c r="E768" s="49"/>
      <c r="F768" s="50"/>
      <c r="G768" s="26"/>
      <c r="H768" s="26"/>
      <c r="I768" s="26"/>
    </row>
    <row r="769" spans="1:9">
      <c r="A769" s="26"/>
      <c r="D769" s="51"/>
      <c r="E769" s="49"/>
      <c r="F769" s="50"/>
      <c r="G769" s="26"/>
      <c r="H769" s="26"/>
      <c r="I769" s="26"/>
    </row>
    <row r="770" spans="1:9">
      <c r="A770" s="26"/>
      <c r="D770" s="51"/>
      <c r="E770" s="49"/>
      <c r="F770" s="50"/>
      <c r="G770" s="26"/>
      <c r="H770" s="26"/>
      <c r="I770" s="26"/>
    </row>
    <row r="771" spans="1:9">
      <c r="A771" s="26"/>
      <c r="D771" s="51"/>
      <c r="E771" s="49"/>
      <c r="F771" s="50"/>
      <c r="G771" s="26"/>
      <c r="H771" s="26"/>
      <c r="I771" s="26"/>
    </row>
    <row r="772" spans="1:9">
      <c r="A772" s="26"/>
      <c r="D772" s="51"/>
      <c r="E772" s="49"/>
      <c r="F772" s="50"/>
      <c r="G772" s="26"/>
      <c r="H772" s="26"/>
      <c r="I772" s="26"/>
    </row>
    <row r="773" spans="1:9">
      <c r="A773" s="26"/>
      <c r="D773" s="51"/>
      <c r="E773" s="49"/>
      <c r="F773" s="50"/>
      <c r="G773" s="26"/>
      <c r="H773" s="26"/>
      <c r="I773" s="26"/>
    </row>
    <row r="774" spans="1:9">
      <c r="A774" s="26"/>
      <c r="D774" s="51"/>
      <c r="E774" s="49"/>
      <c r="F774" s="50"/>
      <c r="G774" s="26"/>
      <c r="H774" s="26"/>
      <c r="I774" s="26"/>
    </row>
    <row r="775" spans="1:9">
      <c r="A775" s="26"/>
      <c r="D775" s="51"/>
      <c r="E775" s="49"/>
      <c r="F775" s="50"/>
      <c r="G775" s="26"/>
      <c r="H775" s="26"/>
      <c r="I775" s="26"/>
    </row>
    <row r="776" spans="1:9">
      <c r="A776" s="26"/>
      <c r="D776" s="51"/>
      <c r="E776" s="49"/>
      <c r="F776" s="50"/>
      <c r="G776" s="26"/>
      <c r="H776" s="26"/>
      <c r="I776" s="26"/>
    </row>
    <row r="777" spans="1:9">
      <c r="A777" s="26"/>
      <c r="D777" s="51"/>
      <c r="E777" s="49"/>
      <c r="F777" s="50"/>
      <c r="G777" s="26"/>
      <c r="H777" s="26"/>
      <c r="I777" s="26"/>
    </row>
    <row r="778" spans="1:9">
      <c r="A778" s="26"/>
      <c r="D778" s="51"/>
      <c r="E778" s="49"/>
      <c r="F778" s="50"/>
      <c r="G778" s="26"/>
      <c r="H778" s="26"/>
      <c r="I778" s="26"/>
    </row>
    <row r="779" spans="1:9">
      <c r="A779" s="26"/>
      <c r="D779" s="51"/>
      <c r="E779" s="49"/>
      <c r="F779" s="50"/>
      <c r="G779" s="26"/>
      <c r="H779" s="26"/>
      <c r="I779" s="26"/>
    </row>
    <row r="780" spans="1:9">
      <c r="A780" s="26"/>
      <c r="D780" s="51"/>
      <c r="E780" s="49"/>
      <c r="F780" s="50"/>
      <c r="G780" s="26"/>
      <c r="H780" s="26"/>
      <c r="I780" s="26"/>
    </row>
    <row r="781" spans="1:9">
      <c r="A781" s="26"/>
      <c r="D781" s="51"/>
      <c r="E781" s="49"/>
      <c r="F781" s="50"/>
      <c r="G781" s="26"/>
      <c r="H781" s="26"/>
      <c r="I781" s="26"/>
    </row>
    <row r="782" spans="1:9">
      <c r="A782" s="26"/>
      <c r="D782" s="51"/>
      <c r="E782" s="49"/>
      <c r="F782" s="50"/>
      <c r="G782" s="26"/>
      <c r="H782" s="26"/>
      <c r="I782" s="26"/>
    </row>
    <row r="783" spans="1:9">
      <c r="A783" s="26"/>
      <c r="D783" s="51"/>
      <c r="E783" s="49"/>
      <c r="F783" s="50"/>
      <c r="G783" s="26"/>
      <c r="H783" s="26"/>
      <c r="I783" s="26"/>
    </row>
    <row r="784" spans="1:9">
      <c r="A784" s="26"/>
      <c r="D784" s="51"/>
      <c r="E784" s="49"/>
      <c r="F784" s="50"/>
      <c r="G784" s="26"/>
      <c r="H784" s="26"/>
      <c r="I784" s="26"/>
    </row>
    <row r="785" spans="1:9">
      <c r="A785" s="26"/>
      <c r="D785" s="51"/>
      <c r="E785" s="49"/>
      <c r="F785" s="50"/>
      <c r="G785" s="26"/>
      <c r="H785" s="26"/>
      <c r="I785" s="26"/>
    </row>
    <row r="786" spans="1:9">
      <c r="A786" s="26"/>
      <c r="D786" s="51"/>
      <c r="E786" s="49"/>
      <c r="F786" s="50"/>
      <c r="G786" s="26"/>
      <c r="H786" s="26"/>
      <c r="I786" s="26"/>
    </row>
    <row r="787" spans="1:9">
      <c r="A787" s="26"/>
      <c r="D787" s="51"/>
      <c r="E787" s="49"/>
      <c r="F787" s="50"/>
      <c r="G787" s="26"/>
      <c r="H787" s="26"/>
      <c r="I787" s="26"/>
    </row>
    <row r="788" spans="1:9">
      <c r="A788" s="26"/>
      <c r="D788" s="51"/>
      <c r="E788" s="49"/>
      <c r="F788" s="50"/>
      <c r="G788" s="26"/>
      <c r="H788" s="26"/>
      <c r="I788" s="26"/>
    </row>
    <row r="789" spans="1:9">
      <c r="A789" s="26"/>
      <c r="D789" s="51"/>
      <c r="E789" s="49"/>
      <c r="F789" s="50"/>
      <c r="G789" s="26"/>
      <c r="H789" s="26"/>
      <c r="I789" s="26"/>
    </row>
    <row r="790" spans="1:9">
      <c r="A790" s="26"/>
      <c r="D790" s="51"/>
      <c r="E790" s="49"/>
      <c r="F790" s="50"/>
      <c r="G790" s="26"/>
      <c r="H790" s="26"/>
      <c r="I790" s="26"/>
    </row>
    <row r="791" spans="1:9">
      <c r="A791" s="26"/>
      <c r="D791" s="51"/>
      <c r="E791" s="49"/>
      <c r="F791" s="50"/>
      <c r="G791" s="26"/>
      <c r="H791" s="26"/>
      <c r="I791" s="26"/>
    </row>
    <row r="792" spans="1:9">
      <c r="A792" s="26"/>
      <c r="D792" s="51"/>
      <c r="E792" s="49"/>
      <c r="F792" s="50"/>
      <c r="G792" s="26"/>
      <c r="H792" s="26"/>
      <c r="I792" s="26"/>
    </row>
    <row r="793" spans="1:9">
      <c r="A793" s="26"/>
      <c r="D793" s="51"/>
      <c r="E793" s="49"/>
      <c r="F793" s="50"/>
      <c r="G793" s="26"/>
      <c r="H793" s="26"/>
      <c r="I793" s="26"/>
    </row>
    <row r="794" spans="1:9">
      <c r="A794" s="26"/>
      <c r="D794" s="51"/>
      <c r="E794" s="49"/>
      <c r="F794" s="50"/>
      <c r="G794" s="26"/>
      <c r="H794" s="26"/>
      <c r="I794" s="26"/>
    </row>
    <row r="795" spans="1:9">
      <c r="A795" s="26"/>
      <c r="D795" s="51"/>
      <c r="E795" s="49"/>
      <c r="F795" s="50"/>
      <c r="G795" s="26"/>
      <c r="H795" s="26"/>
      <c r="I795" s="26"/>
    </row>
    <row r="796" spans="1:9">
      <c r="A796" s="26"/>
      <c r="D796" s="51"/>
      <c r="E796" s="49"/>
      <c r="F796" s="50"/>
      <c r="G796" s="26"/>
      <c r="H796" s="26"/>
      <c r="I796" s="26"/>
    </row>
    <row r="797" spans="1:9">
      <c r="A797" s="26"/>
      <c r="D797" s="51"/>
      <c r="E797" s="49"/>
      <c r="F797" s="50"/>
      <c r="G797" s="26"/>
      <c r="H797" s="26"/>
      <c r="I797" s="26"/>
    </row>
    <row r="798" spans="1:9">
      <c r="A798" s="26"/>
      <c r="D798" s="51"/>
      <c r="E798" s="49"/>
      <c r="F798" s="50"/>
      <c r="G798" s="26"/>
      <c r="H798" s="26"/>
      <c r="I798" s="26"/>
    </row>
    <row r="799" spans="1:9">
      <c r="A799" s="26"/>
      <c r="D799" s="51"/>
      <c r="E799" s="49"/>
      <c r="F799" s="50"/>
      <c r="G799" s="26"/>
      <c r="H799" s="26"/>
      <c r="I799" s="26"/>
    </row>
    <row r="800" spans="1:9">
      <c r="A800" s="26"/>
      <c r="D800" s="51"/>
      <c r="E800" s="49"/>
      <c r="F800" s="50"/>
      <c r="G800" s="26"/>
      <c r="H800" s="26"/>
      <c r="I800" s="26"/>
    </row>
    <row r="801" spans="1:9">
      <c r="A801" s="26"/>
      <c r="D801" s="51"/>
      <c r="E801" s="49"/>
      <c r="F801" s="50"/>
      <c r="G801" s="26"/>
      <c r="H801" s="26"/>
      <c r="I801" s="26"/>
    </row>
    <row r="802" spans="1:9">
      <c r="A802" s="26"/>
      <c r="D802" s="51"/>
      <c r="E802" s="49"/>
      <c r="F802" s="50"/>
      <c r="G802" s="26"/>
      <c r="H802" s="26"/>
      <c r="I802" s="26"/>
    </row>
    <row r="803" spans="1:9">
      <c r="A803" s="26"/>
      <c r="D803" s="51"/>
      <c r="E803" s="49"/>
      <c r="F803" s="50"/>
      <c r="G803" s="26"/>
      <c r="H803" s="26"/>
      <c r="I803" s="26"/>
    </row>
    <row r="804" spans="1:9">
      <c r="A804" s="26"/>
      <c r="D804" s="51"/>
      <c r="E804" s="49"/>
      <c r="F804" s="50"/>
      <c r="G804" s="26"/>
      <c r="H804" s="26"/>
      <c r="I804" s="26"/>
    </row>
    <row r="805" spans="1:9">
      <c r="A805" s="26"/>
      <c r="D805" s="51"/>
      <c r="E805" s="49"/>
      <c r="F805" s="50"/>
      <c r="G805" s="26"/>
      <c r="H805" s="26"/>
      <c r="I805" s="26"/>
    </row>
    <row r="806" spans="1:9">
      <c r="A806" s="26"/>
      <c r="D806" s="51"/>
      <c r="E806" s="49"/>
      <c r="F806" s="50"/>
      <c r="G806" s="26"/>
      <c r="H806" s="26"/>
      <c r="I806" s="26"/>
    </row>
    <row r="807" spans="1:9">
      <c r="A807" s="26"/>
      <c r="D807" s="51"/>
      <c r="E807" s="49"/>
      <c r="F807" s="50"/>
      <c r="G807" s="26"/>
      <c r="H807" s="26"/>
      <c r="I807" s="26"/>
    </row>
    <row r="808" spans="1:9">
      <c r="A808" s="26"/>
      <c r="D808" s="51"/>
      <c r="E808" s="49"/>
      <c r="F808" s="50"/>
      <c r="G808" s="26"/>
      <c r="H808" s="26"/>
      <c r="I808" s="26"/>
    </row>
    <row r="809" spans="1:9">
      <c r="A809" s="26"/>
      <c r="D809" s="51"/>
      <c r="E809" s="49"/>
      <c r="F809" s="50"/>
      <c r="G809" s="26"/>
      <c r="H809" s="26"/>
      <c r="I809" s="26"/>
    </row>
    <row r="810" spans="1:9">
      <c r="A810" s="26"/>
      <c r="D810" s="51"/>
      <c r="E810" s="49"/>
      <c r="F810" s="50"/>
      <c r="G810" s="26"/>
      <c r="H810" s="26"/>
      <c r="I810" s="26"/>
    </row>
    <row r="811" spans="1:9">
      <c r="A811" s="26"/>
      <c r="D811" s="51"/>
      <c r="E811" s="49"/>
      <c r="F811" s="50"/>
      <c r="G811" s="26"/>
      <c r="H811" s="26"/>
      <c r="I811" s="26"/>
    </row>
    <row r="812" spans="1:9">
      <c r="A812" s="26"/>
      <c r="D812" s="51"/>
      <c r="E812" s="49"/>
      <c r="F812" s="50"/>
      <c r="G812" s="26"/>
      <c r="H812" s="26"/>
      <c r="I812" s="26"/>
    </row>
    <row r="813" spans="1:9">
      <c r="A813" s="26"/>
      <c r="D813" s="51"/>
      <c r="E813" s="49"/>
      <c r="F813" s="50"/>
      <c r="G813" s="26"/>
      <c r="H813" s="26"/>
      <c r="I813" s="26"/>
    </row>
    <row r="814" spans="1:9">
      <c r="A814" s="26"/>
      <c r="D814" s="51"/>
      <c r="E814" s="49"/>
      <c r="F814" s="50"/>
      <c r="G814" s="26"/>
      <c r="H814" s="26"/>
      <c r="I814" s="26"/>
    </row>
    <row r="815" spans="1:9">
      <c r="A815" s="26"/>
      <c r="D815" s="51"/>
      <c r="E815" s="49"/>
      <c r="F815" s="50"/>
      <c r="G815" s="26"/>
      <c r="H815" s="26"/>
      <c r="I815" s="26"/>
    </row>
    <row r="816" spans="1:9">
      <c r="A816" s="26"/>
      <c r="D816" s="51"/>
      <c r="E816" s="49"/>
      <c r="F816" s="50"/>
      <c r="G816" s="26"/>
      <c r="H816" s="26"/>
      <c r="I816" s="26"/>
    </row>
    <row r="817" spans="1:9">
      <c r="A817" s="26"/>
      <c r="D817" s="51"/>
      <c r="E817" s="49"/>
      <c r="F817" s="50"/>
      <c r="G817" s="26"/>
      <c r="H817" s="26"/>
      <c r="I817" s="26"/>
    </row>
    <row r="818" spans="1:9">
      <c r="A818" s="26"/>
      <c r="D818" s="51"/>
      <c r="E818" s="49"/>
      <c r="F818" s="50"/>
      <c r="G818" s="26"/>
      <c r="H818" s="26"/>
      <c r="I818" s="26"/>
    </row>
    <row r="819" spans="1:9">
      <c r="A819" s="26"/>
      <c r="D819" s="51"/>
      <c r="E819" s="49"/>
      <c r="F819" s="50"/>
      <c r="G819" s="26"/>
      <c r="H819" s="26"/>
      <c r="I819" s="26"/>
    </row>
    <row r="820" spans="1:9">
      <c r="A820" s="26"/>
      <c r="D820" s="51"/>
      <c r="E820" s="49"/>
      <c r="F820" s="50"/>
      <c r="G820" s="26"/>
      <c r="H820" s="26"/>
      <c r="I820" s="26"/>
    </row>
    <row r="821" spans="1:9">
      <c r="A821" s="26"/>
      <c r="D821" s="51"/>
      <c r="E821" s="49"/>
      <c r="F821" s="50"/>
      <c r="G821" s="26"/>
      <c r="H821" s="26"/>
      <c r="I821" s="26"/>
    </row>
    <row r="822" spans="1:9">
      <c r="A822" s="26"/>
      <c r="D822" s="51"/>
      <c r="E822" s="49"/>
      <c r="F822" s="50"/>
      <c r="G822" s="26"/>
      <c r="H822" s="26"/>
      <c r="I822" s="26"/>
    </row>
    <row r="823" spans="1:9">
      <c r="A823" s="26"/>
      <c r="D823" s="51"/>
      <c r="E823" s="49"/>
      <c r="F823" s="50"/>
      <c r="G823" s="26"/>
      <c r="H823" s="26"/>
      <c r="I823" s="26"/>
    </row>
    <row r="824" spans="1:9">
      <c r="A824" s="26"/>
      <c r="D824" s="51"/>
      <c r="E824" s="49"/>
      <c r="F824" s="50"/>
      <c r="G824" s="26"/>
      <c r="H824" s="26"/>
      <c r="I824" s="26"/>
    </row>
    <row r="825" spans="1:9">
      <c r="A825" s="26"/>
      <c r="D825" s="51"/>
      <c r="E825" s="49"/>
      <c r="F825" s="50"/>
      <c r="G825" s="26"/>
      <c r="H825" s="26"/>
      <c r="I825" s="26"/>
    </row>
    <row r="826" spans="1:9">
      <c r="A826" s="26"/>
      <c r="D826" s="51"/>
      <c r="E826" s="49"/>
      <c r="F826" s="50"/>
      <c r="G826" s="26"/>
      <c r="H826" s="26"/>
      <c r="I826" s="26"/>
    </row>
    <row r="827" spans="1:9">
      <c r="A827" s="26"/>
      <c r="D827" s="51"/>
      <c r="E827" s="49"/>
      <c r="F827" s="50"/>
      <c r="G827" s="26"/>
      <c r="H827" s="26"/>
      <c r="I827" s="26"/>
    </row>
    <row r="828" spans="1:9">
      <c r="A828" s="26"/>
      <c r="D828" s="51"/>
      <c r="E828" s="49"/>
      <c r="F828" s="50"/>
      <c r="G828" s="26"/>
      <c r="H828" s="26"/>
      <c r="I828" s="26"/>
    </row>
    <row r="829" spans="1:9">
      <c r="A829" s="26"/>
      <c r="D829" s="51"/>
      <c r="E829" s="49"/>
      <c r="F829" s="50"/>
      <c r="G829" s="26"/>
      <c r="H829" s="26"/>
      <c r="I829" s="26"/>
    </row>
    <row r="830" spans="1:9">
      <c r="A830" s="26"/>
      <c r="D830" s="51"/>
      <c r="E830" s="49"/>
      <c r="F830" s="50"/>
      <c r="G830" s="26"/>
      <c r="H830" s="26"/>
      <c r="I830" s="26"/>
    </row>
    <row r="831" spans="1:9">
      <c r="A831" s="26"/>
      <c r="D831" s="51"/>
      <c r="E831" s="49"/>
      <c r="F831" s="50"/>
      <c r="G831" s="26"/>
      <c r="H831" s="26"/>
      <c r="I831" s="26"/>
    </row>
    <row r="832" spans="1:9">
      <c r="A832" s="26"/>
      <c r="D832" s="51"/>
      <c r="E832" s="49"/>
      <c r="F832" s="50"/>
      <c r="G832" s="26"/>
      <c r="H832" s="26"/>
      <c r="I832" s="26"/>
    </row>
    <row r="833" spans="1:9">
      <c r="A833" s="26"/>
      <c r="D833" s="51"/>
      <c r="E833" s="49"/>
      <c r="F833" s="50"/>
      <c r="G833" s="26"/>
      <c r="H833" s="26"/>
      <c r="I833" s="26"/>
    </row>
    <row r="834" spans="1:9">
      <c r="A834" s="26"/>
      <c r="D834" s="51"/>
      <c r="E834" s="49"/>
      <c r="F834" s="50"/>
      <c r="G834" s="26"/>
      <c r="H834" s="26"/>
      <c r="I834" s="26"/>
    </row>
    <row r="835" spans="1:9">
      <c r="A835" s="26"/>
      <c r="D835" s="51"/>
      <c r="E835" s="49"/>
      <c r="F835" s="50"/>
      <c r="G835" s="26"/>
      <c r="H835" s="26"/>
      <c r="I835" s="26"/>
    </row>
    <row r="836" spans="1:9">
      <c r="A836" s="26"/>
      <c r="D836" s="51"/>
      <c r="E836" s="49"/>
      <c r="F836" s="50"/>
      <c r="G836" s="26"/>
      <c r="H836" s="26"/>
      <c r="I836" s="26"/>
    </row>
    <row r="837" spans="1:9">
      <c r="A837" s="26"/>
      <c r="D837" s="51"/>
      <c r="E837" s="49"/>
      <c r="F837" s="50"/>
      <c r="G837" s="26"/>
      <c r="H837" s="26"/>
      <c r="I837" s="26"/>
    </row>
    <row r="838" spans="1:9">
      <c r="A838" s="26"/>
      <c r="D838" s="51"/>
      <c r="E838" s="49"/>
      <c r="F838" s="50"/>
      <c r="G838" s="26"/>
      <c r="H838" s="26"/>
      <c r="I838" s="26"/>
    </row>
    <row r="839" spans="1:9">
      <c r="A839" s="26"/>
      <c r="D839" s="51"/>
      <c r="E839" s="49"/>
      <c r="F839" s="50"/>
      <c r="G839" s="26"/>
      <c r="H839" s="26"/>
      <c r="I839" s="26"/>
    </row>
    <row r="840" spans="1:9">
      <c r="A840" s="26"/>
      <c r="D840" s="51"/>
      <c r="E840" s="49"/>
      <c r="F840" s="50"/>
      <c r="G840" s="26"/>
      <c r="H840" s="26"/>
      <c r="I840" s="26"/>
    </row>
    <row r="841" spans="1:9">
      <c r="A841" s="26"/>
      <c r="D841" s="51"/>
      <c r="E841" s="49"/>
      <c r="F841" s="50"/>
      <c r="G841" s="26"/>
      <c r="H841" s="26"/>
      <c r="I841" s="26"/>
    </row>
    <row r="842" spans="1:9">
      <c r="A842" s="26"/>
      <c r="D842" s="51"/>
      <c r="E842" s="49"/>
      <c r="F842" s="50"/>
      <c r="G842" s="26"/>
      <c r="H842" s="26"/>
      <c r="I842" s="26"/>
    </row>
    <row r="843" spans="1:9">
      <c r="A843" s="26"/>
      <c r="D843" s="51"/>
      <c r="E843" s="49"/>
      <c r="F843" s="50"/>
      <c r="G843" s="26"/>
      <c r="H843" s="26"/>
      <c r="I843" s="26"/>
    </row>
    <row r="844" spans="1:9">
      <c r="A844" s="26"/>
      <c r="D844" s="51"/>
      <c r="E844" s="49"/>
      <c r="F844" s="50"/>
      <c r="G844" s="26"/>
      <c r="H844" s="26"/>
      <c r="I844" s="26"/>
    </row>
    <row r="845" spans="1:9">
      <c r="A845" s="26"/>
      <c r="D845" s="51"/>
      <c r="E845" s="49"/>
      <c r="F845" s="50"/>
      <c r="G845" s="26"/>
      <c r="H845" s="26"/>
      <c r="I845" s="26"/>
    </row>
    <row r="846" spans="1:9">
      <c r="A846" s="26"/>
      <c r="D846" s="51"/>
      <c r="E846" s="49"/>
      <c r="F846" s="50"/>
      <c r="G846" s="26"/>
      <c r="H846" s="26"/>
      <c r="I846" s="26"/>
    </row>
    <row r="847" spans="1:9">
      <c r="A847" s="26"/>
      <c r="D847" s="51"/>
      <c r="E847" s="49"/>
      <c r="F847" s="50"/>
      <c r="G847" s="26"/>
      <c r="H847" s="26"/>
      <c r="I847" s="26"/>
    </row>
    <row r="848" spans="1:9">
      <c r="A848" s="26"/>
      <c r="D848" s="51"/>
      <c r="E848" s="49"/>
      <c r="F848" s="50"/>
      <c r="G848" s="26"/>
      <c r="H848" s="26"/>
      <c r="I848" s="26"/>
    </row>
    <row r="849" spans="1:9">
      <c r="A849" s="26"/>
      <c r="D849" s="51"/>
      <c r="E849" s="49"/>
      <c r="F849" s="50"/>
      <c r="G849" s="26"/>
      <c r="H849" s="26"/>
      <c r="I849" s="26"/>
    </row>
    <row r="850" spans="1:9">
      <c r="A850" s="26"/>
      <c r="D850" s="51"/>
      <c r="E850" s="49"/>
      <c r="F850" s="50"/>
      <c r="G850" s="26"/>
      <c r="H850" s="26"/>
      <c r="I850" s="26"/>
    </row>
    <row r="851" spans="1:9">
      <c r="A851" s="26"/>
      <c r="D851" s="51"/>
      <c r="E851" s="49"/>
      <c r="F851" s="50"/>
      <c r="G851" s="26"/>
      <c r="H851" s="26"/>
      <c r="I851" s="26"/>
    </row>
    <row r="852" spans="1:9">
      <c r="A852" s="26"/>
      <c r="D852" s="51"/>
      <c r="E852" s="49"/>
      <c r="F852" s="50"/>
      <c r="G852" s="26"/>
      <c r="H852" s="26"/>
      <c r="I852" s="26"/>
    </row>
    <row r="853" spans="1:9">
      <c r="A853" s="26"/>
      <c r="D853" s="51"/>
      <c r="E853" s="49"/>
      <c r="F853" s="50"/>
      <c r="G853" s="26"/>
      <c r="H853" s="26"/>
      <c r="I853" s="26"/>
    </row>
    <row r="854" spans="1:9">
      <c r="A854" s="26"/>
      <c r="D854" s="51"/>
      <c r="E854" s="49"/>
      <c r="F854" s="50"/>
      <c r="G854" s="26"/>
      <c r="H854" s="26"/>
      <c r="I854" s="26"/>
    </row>
    <row r="855" spans="1:9">
      <c r="A855" s="26"/>
      <c r="D855" s="51"/>
      <c r="E855" s="49"/>
      <c r="F855" s="50"/>
      <c r="G855" s="26"/>
      <c r="H855" s="26"/>
      <c r="I855" s="26"/>
    </row>
    <row r="856" spans="1:9">
      <c r="A856" s="26"/>
      <c r="D856" s="51"/>
      <c r="E856" s="49"/>
      <c r="F856" s="50"/>
      <c r="G856" s="26"/>
      <c r="H856" s="26"/>
      <c r="I856" s="26"/>
    </row>
    <row r="857" spans="1:9">
      <c r="A857" s="26"/>
      <c r="D857" s="51"/>
      <c r="E857" s="49"/>
      <c r="F857" s="50"/>
      <c r="G857" s="26"/>
      <c r="H857" s="26"/>
      <c r="I857" s="26"/>
    </row>
    <row r="858" spans="1:9">
      <c r="A858" s="26"/>
      <c r="D858" s="51"/>
      <c r="E858" s="49"/>
      <c r="F858" s="50"/>
      <c r="G858" s="26"/>
      <c r="H858" s="26"/>
      <c r="I858" s="26"/>
    </row>
    <row r="859" spans="1:9">
      <c r="A859" s="26"/>
      <c r="D859" s="51"/>
      <c r="E859" s="49"/>
      <c r="F859" s="50"/>
      <c r="G859" s="26"/>
      <c r="H859" s="26"/>
      <c r="I859" s="26"/>
    </row>
    <row r="860" spans="1:9">
      <c r="A860" s="26"/>
      <c r="D860" s="51"/>
      <c r="E860" s="49"/>
      <c r="F860" s="50"/>
      <c r="G860" s="26"/>
      <c r="H860" s="26"/>
      <c r="I860" s="26"/>
    </row>
    <row r="861" spans="1:9">
      <c r="A861" s="26"/>
      <c r="D861" s="51"/>
      <c r="E861" s="49"/>
      <c r="F861" s="50"/>
      <c r="G861" s="26"/>
      <c r="H861" s="26"/>
      <c r="I861" s="26"/>
    </row>
    <row r="862" spans="1:9">
      <c r="A862" s="26"/>
      <c r="D862" s="51"/>
      <c r="E862" s="49"/>
      <c r="F862" s="50"/>
      <c r="G862" s="26"/>
      <c r="H862" s="26"/>
      <c r="I862" s="26"/>
    </row>
    <row r="863" spans="1:9">
      <c r="A863" s="26"/>
      <c r="D863" s="51"/>
      <c r="E863" s="49"/>
      <c r="F863" s="50"/>
      <c r="G863" s="26"/>
      <c r="H863" s="26"/>
      <c r="I863" s="26"/>
    </row>
    <row r="864" spans="1:9">
      <c r="A864" s="26"/>
      <c r="D864" s="51"/>
      <c r="E864" s="49"/>
      <c r="F864" s="50"/>
      <c r="G864" s="26"/>
      <c r="H864" s="26"/>
      <c r="I864" s="26"/>
    </row>
    <row r="865" spans="1:9">
      <c r="A865" s="26"/>
      <c r="D865" s="51"/>
      <c r="E865" s="49"/>
      <c r="F865" s="50"/>
      <c r="G865" s="26"/>
      <c r="H865" s="26"/>
      <c r="I865" s="26"/>
    </row>
    <row r="866" spans="1:9">
      <c r="A866" s="26"/>
      <c r="D866" s="51"/>
      <c r="E866" s="49"/>
      <c r="F866" s="50"/>
      <c r="G866" s="26"/>
      <c r="H866" s="26"/>
      <c r="I866" s="26"/>
    </row>
    <row r="867" spans="1:9">
      <c r="A867" s="26"/>
      <c r="D867" s="51"/>
      <c r="E867" s="49"/>
      <c r="F867" s="50"/>
      <c r="G867" s="26"/>
      <c r="H867" s="26"/>
      <c r="I867" s="26"/>
    </row>
    <row r="868" spans="1:9">
      <c r="A868" s="26"/>
      <c r="D868" s="51"/>
      <c r="E868" s="49"/>
      <c r="F868" s="50"/>
      <c r="G868" s="26"/>
      <c r="H868" s="26"/>
      <c r="I868" s="26"/>
    </row>
    <row r="869" spans="1:9">
      <c r="A869" s="26"/>
      <c r="D869" s="51"/>
      <c r="E869" s="49"/>
      <c r="F869" s="50"/>
      <c r="G869" s="26"/>
      <c r="H869" s="26"/>
      <c r="I869" s="26"/>
    </row>
    <row r="870" spans="1:9">
      <c r="A870" s="26"/>
      <c r="D870" s="51"/>
      <c r="E870" s="49"/>
      <c r="F870" s="50"/>
      <c r="G870" s="26"/>
      <c r="H870" s="26"/>
      <c r="I870" s="26"/>
    </row>
    <row r="871" spans="1:9">
      <c r="A871" s="26"/>
      <c r="D871" s="51"/>
      <c r="E871" s="49"/>
      <c r="F871" s="50"/>
      <c r="G871" s="26"/>
      <c r="H871" s="26"/>
      <c r="I871" s="26"/>
    </row>
    <row r="872" spans="1:9">
      <c r="A872" s="26"/>
      <c r="D872" s="51"/>
      <c r="E872" s="49"/>
      <c r="F872" s="50"/>
      <c r="G872" s="26"/>
      <c r="H872" s="26"/>
      <c r="I872" s="26"/>
    </row>
    <row r="873" spans="1:9">
      <c r="A873" s="26"/>
      <c r="D873" s="51"/>
      <c r="E873" s="49"/>
      <c r="F873" s="50"/>
      <c r="G873" s="26"/>
      <c r="H873" s="26"/>
      <c r="I873" s="26"/>
    </row>
    <row r="874" spans="1:9">
      <c r="A874" s="26"/>
      <c r="D874" s="51"/>
      <c r="E874" s="49"/>
      <c r="F874" s="50"/>
      <c r="G874" s="26"/>
      <c r="H874" s="26"/>
      <c r="I874" s="26"/>
    </row>
    <row r="875" spans="1:9">
      <c r="A875" s="26"/>
      <c r="D875" s="51"/>
      <c r="E875" s="49"/>
      <c r="F875" s="50"/>
      <c r="G875" s="26"/>
      <c r="H875" s="26"/>
      <c r="I875" s="26"/>
    </row>
    <row r="876" spans="1:9">
      <c r="A876" s="26"/>
      <c r="D876" s="51"/>
      <c r="E876" s="49"/>
      <c r="F876" s="50"/>
      <c r="G876" s="26"/>
      <c r="H876" s="26"/>
      <c r="I876" s="26"/>
    </row>
    <row r="877" spans="1:9">
      <c r="A877" s="26"/>
      <c r="D877" s="51"/>
      <c r="E877" s="49"/>
      <c r="F877" s="50"/>
      <c r="G877" s="26"/>
      <c r="H877" s="26"/>
      <c r="I877" s="26"/>
    </row>
    <row r="878" spans="1:9">
      <c r="A878" s="26"/>
      <c r="D878" s="51"/>
      <c r="E878" s="49"/>
      <c r="F878" s="50"/>
      <c r="G878" s="26"/>
      <c r="H878" s="26"/>
      <c r="I878" s="26"/>
    </row>
    <row r="879" spans="1:9">
      <c r="A879" s="26"/>
      <c r="D879" s="51"/>
      <c r="E879" s="49"/>
      <c r="F879" s="50"/>
      <c r="G879" s="26"/>
      <c r="H879" s="26"/>
      <c r="I879" s="26"/>
    </row>
    <row r="880" spans="1:9">
      <c r="A880" s="26"/>
      <c r="D880" s="51"/>
      <c r="E880" s="49"/>
      <c r="F880" s="50"/>
      <c r="G880" s="26"/>
      <c r="H880" s="26"/>
      <c r="I880" s="26"/>
    </row>
    <row r="881" spans="1:9">
      <c r="A881" s="26"/>
      <c r="D881" s="51"/>
      <c r="E881" s="49"/>
      <c r="F881" s="50"/>
      <c r="G881" s="26"/>
      <c r="H881" s="26"/>
      <c r="I881" s="26"/>
    </row>
    <row r="882" spans="1:9">
      <c r="A882" s="26"/>
      <c r="D882" s="51"/>
      <c r="E882" s="49"/>
      <c r="F882" s="50"/>
      <c r="G882" s="26"/>
      <c r="H882" s="26"/>
      <c r="I882" s="26"/>
    </row>
    <row r="883" spans="1:9">
      <c r="A883" s="26"/>
      <c r="D883" s="51"/>
      <c r="E883" s="49"/>
      <c r="F883" s="50"/>
      <c r="G883" s="26"/>
      <c r="H883" s="26"/>
      <c r="I883" s="26"/>
    </row>
    <row r="884" spans="1:9">
      <c r="A884" s="26"/>
      <c r="D884" s="51"/>
      <c r="E884" s="49"/>
      <c r="F884" s="50"/>
      <c r="G884" s="26"/>
      <c r="H884" s="26"/>
      <c r="I884" s="26"/>
    </row>
    <row r="885" spans="1:9">
      <c r="A885" s="26"/>
      <c r="D885" s="51"/>
      <c r="E885" s="49"/>
      <c r="F885" s="50"/>
      <c r="G885" s="26"/>
      <c r="H885" s="26"/>
      <c r="I885" s="26"/>
    </row>
    <row r="886" spans="1:9">
      <c r="A886" s="26"/>
      <c r="D886" s="51"/>
      <c r="E886" s="49"/>
      <c r="F886" s="50"/>
      <c r="G886" s="26"/>
      <c r="H886" s="26"/>
      <c r="I886" s="26"/>
    </row>
    <row r="887" spans="1:9">
      <c r="A887" s="26"/>
      <c r="D887" s="51"/>
      <c r="E887" s="49"/>
      <c r="F887" s="50"/>
      <c r="G887" s="26"/>
      <c r="H887" s="26"/>
      <c r="I887" s="26"/>
    </row>
    <row r="888" spans="1:9">
      <c r="A888" s="26"/>
      <c r="D888" s="51"/>
      <c r="E888" s="49"/>
      <c r="F888" s="50"/>
      <c r="G888" s="26"/>
      <c r="H888" s="26"/>
      <c r="I888" s="26"/>
    </row>
    <row r="889" spans="1:9">
      <c r="A889" s="26"/>
      <c r="D889" s="51"/>
      <c r="E889" s="49"/>
      <c r="F889" s="50"/>
      <c r="G889" s="26"/>
      <c r="H889" s="26"/>
      <c r="I889" s="26"/>
    </row>
    <row r="890" spans="1:9">
      <c r="A890" s="26"/>
      <c r="D890" s="51"/>
      <c r="E890" s="49"/>
      <c r="F890" s="50"/>
      <c r="G890" s="26"/>
      <c r="H890" s="26"/>
      <c r="I890" s="26"/>
    </row>
    <row r="891" spans="1:9">
      <c r="A891" s="26"/>
      <c r="D891" s="51"/>
      <c r="E891" s="49"/>
      <c r="F891" s="50"/>
      <c r="G891" s="26"/>
      <c r="H891" s="26"/>
      <c r="I891" s="26"/>
    </row>
    <row r="892" spans="1:9">
      <c r="A892" s="26"/>
      <c r="D892" s="51"/>
      <c r="E892" s="49"/>
      <c r="F892" s="50"/>
      <c r="G892" s="26"/>
      <c r="H892" s="26"/>
      <c r="I892" s="26"/>
    </row>
    <row r="893" spans="1:9">
      <c r="A893" s="26"/>
      <c r="D893" s="51"/>
      <c r="E893" s="49"/>
      <c r="F893" s="50"/>
      <c r="G893" s="26"/>
      <c r="H893" s="26"/>
      <c r="I893" s="26"/>
    </row>
    <row r="894" spans="1:9">
      <c r="A894" s="26"/>
      <c r="D894" s="51"/>
      <c r="E894" s="49"/>
      <c r="F894" s="50"/>
      <c r="G894" s="26"/>
      <c r="H894" s="26"/>
      <c r="I894" s="26"/>
    </row>
    <row r="895" spans="1:9">
      <c r="A895" s="26"/>
      <c r="D895" s="51"/>
      <c r="E895" s="49"/>
      <c r="F895" s="50"/>
      <c r="G895" s="26"/>
      <c r="H895" s="26"/>
      <c r="I895" s="26"/>
    </row>
    <row r="896" spans="1:9">
      <c r="A896" s="26"/>
      <c r="D896" s="51"/>
      <c r="E896" s="49"/>
      <c r="F896" s="50"/>
      <c r="G896" s="26"/>
      <c r="H896" s="26"/>
      <c r="I896" s="26"/>
    </row>
    <row r="897" spans="1:9">
      <c r="A897" s="26"/>
      <c r="D897" s="51"/>
      <c r="E897" s="49"/>
      <c r="F897" s="50"/>
      <c r="G897" s="26"/>
      <c r="H897" s="26"/>
      <c r="I897" s="26"/>
    </row>
    <row r="898" spans="1:9">
      <c r="A898" s="26"/>
      <c r="D898" s="51"/>
      <c r="E898" s="49"/>
      <c r="F898" s="50"/>
      <c r="G898" s="26"/>
      <c r="H898" s="26"/>
      <c r="I898" s="26"/>
    </row>
    <row r="899" spans="1:9">
      <c r="A899" s="26"/>
      <c r="D899" s="51"/>
      <c r="E899" s="49"/>
      <c r="F899" s="50"/>
      <c r="G899" s="26"/>
      <c r="H899" s="26"/>
      <c r="I899" s="26"/>
    </row>
    <row r="900" spans="1:9">
      <c r="A900" s="26"/>
      <c r="D900" s="51"/>
      <c r="E900" s="49"/>
      <c r="F900" s="50"/>
      <c r="G900" s="26"/>
      <c r="H900" s="26"/>
      <c r="I900" s="26"/>
    </row>
    <row r="901" spans="1:9">
      <c r="A901" s="26"/>
      <c r="D901" s="51"/>
      <c r="E901" s="49"/>
      <c r="F901" s="50"/>
      <c r="G901" s="26"/>
      <c r="H901" s="26"/>
      <c r="I901" s="26"/>
    </row>
    <row r="902" spans="1:9">
      <c r="A902" s="26"/>
      <c r="D902" s="51"/>
      <c r="E902" s="49"/>
      <c r="F902" s="50"/>
      <c r="G902" s="26"/>
      <c r="H902" s="26"/>
      <c r="I902" s="26"/>
    </row>
    <row r="903" spans="1:9">
      <c r="A903" s="26"/>
      <c r="D903" s="51"/>
      <c r="E903" s="49"/>
      <c r="F903" s="50"/>
      <c r="G903" s="26"/>
      <c r="H903" s="26"/>
      <c r="I903" s="26"/>
    </row>
    <row r="904" spans="1:9">
      <c r="A904" s="26"/>
      <c r="D904" s="51"/>
      <c r="E904" s="49"/>
      <c r="F904" s="50"/>
      <c r="G904" s="26"/>
      <c r="H904" s="26"/>
      <c r="I904" s="26"/>
    </row>
    <row r="905" spans="1:9">
      <c r="A905" s="26"/>
      <c r="D905" s="51"/>
      <c r="E905" s="49"/>
      <c r="F905" s="50"/>
      <c r="G905" s="26"/>
      <c r="H905" s="26"/>
      <c r="I905" s="26"/>
    </row>
    <row r="906" spans="1:9">
      <c r="A906" s="26"/>
      <c r="D906" s="51"/>
      <c r="E906" s="49"/>
      <c r="F906" s="50"/>
      <c r="G906" s="26"/>
      <c r="H906" s="26"/>
      <c r="I906" s="26"/>
    </row>
    <row r="907" spans="1:9">
      <c r="A907" s="26"/>
      <c r="D907" s="51"/>
      <c r="E907" s="49"/>
      <c r="F907" s="50"/>
      <c r="G907" s="26"/>
      <c r="H907" s="26"/>
      <c r="I907" s="26"/>
    </row>
    <row r="908" spans="1:9">
      <c r="A908" s="26"/>
      <c r="D908" s="51"/>
      <c r="E908" s="49"/>
      <c r="F908" s="50"/>
      <c r="G908" s="26"/>
      <c r="H908" s="26"/>
      <c r="I908" s="26"/>
    </row>
    <row r="909" spans="1:9">
      <c r="A909" s="26"/>
      <c r="D909" s="51"/>
      <c r="E909" s="49"/>
      <c r="F909" s="50"/>
      <c r="G909" s="26"/>
      <c r="H909" s="26"/>
      <c r="I909" s="26"/>
    </row>
    <row r="910" spans="1:9">
      <c r="A910" s="26"/>
      <c r="D910" s="51"/>
      <c r="E910" s="49"/>
      <c r="F910" s="50"/>
      <c r="G910" s="26"/>
      <c r="H910" s="26"/>
      <c r="I910" s="26"/>
    </row>
    <row r="911" spans="1:9">
      <c r="A911" s="26"/>
      <c r="D911" s="51"/>
      <c r="E911" s="49"/>
      <c r="F911" s="50"/>
      <c r="G911" s="26"/>
      <c r="H911" s="26"/>
      <c r="I911" s="26"/>
    </row>
    <row r="912" spans="1:9">
      <c r="A912" s="26"/>
      <c r="D912" s="51"/>
      <c r="E912" s="49"/>
      <c r="F912" s="50"/>
      <c r="G912" s="26"/>
      <c r="H912" s="26"/>
      <c r="I912" s="26"/>
    </row>
    <row r="913" spans="1:9">
      <c r="A913" s="26"/>
      <c r="D913" s="51"/>
      <c r="E913" s="49"/>
      <c r="F913" s="50"/>
      <c r="G913" s="26"/>
      <c r="H913" s="26"/>
      <c r="I913" s="26"/>
    </row>
    <row r="914" spans="1:9">
      <c r="A914" s="26"/>
      <c r="D914" s="51"/>
      <c r="E914" s="49"/>
      <c r="F914" s="50"/>
      <c r="G914" s="26"/>
      <c r="H914" s="26"/>
      <c r="I914" s="26"/>
    </row>
    <row r="915" spans="1:9">
      <c r="A915" s="26"/>
      <c r="D915" s="51"/>
      <c r="E915" s="49"/>
      <c r="F915" s="50"/>
      <c r="G915" s="26"/>
      <c r="H915" s="26"/>
      <c r="I915" s="26"/>
    </row>
    <row r="916" spans="1:9">
      <c r="A916" s="26"/>
      <c r="D916" s="51"/>
      <c r="E916" s="49"/>
      <c r="F916" s="50"/>
      <c r="G916" s="26"/>
      <c r="H916" s="26"/>
      <c r="I916" s="26"/>
    </row>
    <row r="917" spans="1:9">
      <c r="A917" s="26"/>
      <c r="D917" s="51"/>
      <c r="E917" s="49"/>
      <c r="F917" s="50"/>
      <c r="G917" s="26"/>
      <c r="H917" s="26"/>
      <c r="I917" s="26"/>
    </row>
    <row r="918" spans="1:9">
      <c r="A918" s="26"/>
      <c r="D918" s="51"/>
      <c r="E918" s="49"/>
      <c r="F918" s="50"/>
      <c r="G918" s="26"/>
      <c r="H918" s="26"/>
      <c r="I918" s="26"/>
    </row>
    <row r="919" spans="1:9">
      <c r="A919" s="26"/>
      <c r="D919" s="51"/>
      <c r="E919" s="49"/>
      <c r="F919" s="50"/>
      <c r="G919" s="26"/>
      <c r="H919" s="26"/>
      <c r="I919" s="26"/>
    </row>
    <row r="920" spans="1:9">
      <c r="A920" s="26"/>
      <c r="D920" s="51"/>
      <c r="E920" s="49"/>
      <c r="F920" s="50"/>
      <c r="G920" s="26"/>
      <c r="H920" s="26"/>
      <c r="I920" s="26"/>
    </row>
    <row r="921" spans="1:9">
      <c r="A921" s="26"/>
      <c r="D921" s="51"/>
      <c r="E921" s="49"/>
      <c r="F921" s="50"/>
      <c r="G921" s="26"/>
      <c r="H921" s="26"/>
      <c r="I921" s="26"/>
    </row>
    <row r="922" spans="1:9">
      <c r="A922" s="26"/>
      <c r="D922" s="51"/>
      <c r="E922" s="49"/>
      <c r="F922" s="50"/>
      <c r="G922" s="26"/>
      <c r="H922" s="26"/>
      <c r="I922" s="26"/>
    </row>
    <row r="923" spans="1:9">
      <c r="A923" s="26"/>
      <c r="D923" s="51"/>
      <c r="E923" s="49"/>
      <c r="F923" s="50"/>
      <c r="G923" s="26"/>
      <c r="H923" s="26"/>
      <c r="I923" s="26"/>
    </row>
    <row r="924" spans="1:9">
      <c r="A924" s="26"/>
      <c r="D924" s="51"/>
      <c r="E924" s="49"/>
      <c r="F924" s="50"/>
      <c r="G924" s="26"/>
      <c r="H924" s="26"/>
      <c r="I924" s="26"/>
    </row>
    <row r="925" spans="1:9">
      <c r="A925" s="26"/>
      <c r="D925" s="51"/>
      <c r="E925" s="49"/>
      <c r="F925" s="50"/>
      <c r="G925" s="26"/>
      <c r="H925" s="26"/>
      <c r="I925" s="26"/>
    </row>
    <row r="926" spans="1:9">
      <c r="A926" s="26"/>
      <c r="D926" s="51"/>
      <c r="E926" s="49"/>
      <c r="F926" s="50"/>
      <c r="G926" s="26"/>
      <c r="H926" s="26"/>
      <c r="I926" s="26"/>
    </row>
    <row r="927" spans="1:9">
      <c r="A927" s="26"/>
      <c r="D927" s="51"/>
      <c r="E927" s="49"/>
      <c r="F927" s="50"/>
      <c r="G927" s="26"/>
      <c r="H927" s="26"/>
      <c r="I927" s="26"/>
    </row>
    <row r="928" spans="1:9">
      <c r="A928" s="26"/>
      <c r="D928" s="51"/>
      <c r="E928" s="49"/>
      <c r="F928" s="50"/>
      <c r="G928" s="26"/>
      <c r="H928" s="26"/>
      <c r="I928" s="26"/>
    </row>
    <row r="929" spans="1:9">
      <c r="A929" s="26"/>
      <c r="D929" s="51"/>
      <c r="E929" s="49"/>
      <c r="F929" s="50"/>
      <c r="G929" s="26"/>
      <c r="H929" s="26"/>
      <c r="I929" s="26"/>
    </row>
    <row r="930" spans="1:9">
      <c r="A930" s="26"/>
      <c r="D930" s="51"/>
      <c r="E930" s="49"/>
      <c r="F930" s="50"/>
      <c r="G930" s="26"/>
      <c r="H930" s="26"/>
      <c r="I930" s="26"/>
    </row>
    <row r="931" spans="1:9">
      <c r="A931" s="26"/>
      <c r="D931" s="51"/>
      <c r="E931" s="49"/>
      <c r="F931" s="50"/>
      <c r="G931" s="26"/>
      <c r="H931" s="26"/>
      <c r="I931" s="26"/>
    </row>
    <row r="932" spans="1:9">
      <c r="A932" s="26"/>
      <c r="D932" s="51"/>
      <c r="E932" s="49"/>
      <c r="F932" s="50"/>
      <c r="G932" s="26"/>
      <c r="H932" s="26"/>
      <c r="I932" s="26"/>
    </row>
    <row r="933" spans="1:9">
      <c r="A933" s="26"/>
      <c r="D933" s="51"/>
      <c r="E933" s="49"/>
      <c r="F933" s="50"/>
      <c r="G933" s="26"/>
      <c r="H933" s="26"/>
      <c r="I933" s="26"/>
    </row>
    <row r="934" spans="1:9">
      <c r="A934" s="26"/>
      <c r="D934" s="51"/>
      <c r="E934" s="49"/>
      <c r="F934" s="50"/>
      <c r="G934" s="26"/>
      <c r="H934" s="26"/>
      <c r="I934" s="26"/>
    </row>
    <row r="935" spans="1:9">
      <c r="A935" s="26"/>
      <c r="D935" s="51"/>
      <c r="E935" s="49"/>
      <c r="F935" s="50"/>
      <c r="G935" s="26"/>
      <c r="H935" s="26"/>
      <c r="I935" s="26"/>
    </row>
    <row r="936" spans="1:9">
      <c r="A936" s="26"/>
      <c r="D936" s="51"/>
      <c r="E936" s="49"/>
      <c r="F936" s="50"/>
      <c r="G936" s="26"/>
      <c r="H936" s="26"/>
      <c r="I936" s="26"/>
    </row>
    <row r="937" spans="1:9">
      <c r="A937" s="26"/>
      <c r="D937" s="51"/>
      <c r="E937" s="49"/>
      <c r="F937" s="50"/>
      <c r="G937" s="26"/>
      <c r="H937" s="26"/>
      <c r="I937" s="26"/>
    </row>
    <row r="938" spans="1:9">
      <c r="A938" s="26"/>
      <c r="D938" s="51"/>
      <c r="E938" s="49"/>
      <c r="F938" s="50"/>
      <c r="G938" s="26"/>
      <c r="H938" s="26"/>
      <c r="I938" s="26"/>
    </row>
    <row r="939" spans="1:9">
      <c r="A939" s="26"/>
      <c r="D939" s="51"/>
      <c r="E939" s="49"/>
      <c r="F939" s="50"/>
      <c r="G939" s="26"/>
      <c r="H939" s="26"/>
      <c r="I939" s="26"/>
    </row>
    <row r="940" spans="1:9">
      <c r="A940" s="26"/>
      <c r="D940" s="51"/>
      <c r="E940" s="49"/>
      <c r="F940" s="50"/>
      <c r="G940" s="26"/>
      <c r="H940" s="26"/>
      <c r="I940" s="26"/>
    </row>
    <row r="941" spans="1:9">
      <c r="A941" s="26"/>
      <c r="D941" s="51"/>
      <c r="E941" s="49"/>
      <c r="F941" s="50"/>
      <c r="G941" s="26"/>
      <c r="H941" s="26"/>
      <c r="I941" s="26"/>
    </row>
    <row r="942" spans="1:9">
      <c r="A942" s="26"/>
      <c r="D942" s="51"/>
      <c r="E942" s="49"/>
      <c r="F942" s="50"/>
      <c r="G942" s="26"/>
      <c r="H942" s="26"/>
      <c r="I942" s="26"/>
    </row>
    <row r="943" spans="1:9">
      <c r="A943" s="26"/>
      <c r="D943" s="51"/>
      <c r="E943" s="49"/>
      <c r="F943" s="50"/>
      <c r="G943" s="26"/>
      <c r="H943" s="26"/>
      <c r="I943" s="26"/>
    </row>
    <row r="944" spans="1:9">
      <c r="A944" s="26"/>
      <c r="D944" s="51"/>
      <c r="E944" s="49"/>
      <c r="F944" s="50"/>
      <c r="G944" s="26"/>
      <c r="H944" s="26"/>
      <c r="I944" s="26"/>
    </row>
    <row r="945" spans="1:9">
      <c r="A945" s="26"/>
      <c r="D945" s="51"/>
      <c r="E945" s="49"/>
      <c r="F945" s="50"/>
      <c r="G945" s="26"/>
      <c r="H945" s="26"/>
      <c r="I945" s="26"/>
    </row>
    <row r="946" spans="1:9">
      <c r="A946" s="26"/>
      <c r="D946" s="51"/>
      <c r="E946" s="49"/>
      <c r="F946" s="50"/>
      <c r="G946" s="26"/>
      <c r="H946" s="26"/>
      <c r="I946" s="26"/>
    </row>
    <row r="947" spans="1:9">
      <c r="A947" s="26"/>
      <c r="D947" s="51"/>
      <c r="E947" s="49"/>
      <c r="F947" s="50"/>
      <c r="G947" s="26"/>
      <c r="H947" s="26"/>
      <c r="I947" s="26"/>
    </row>
    <row r="948" spans="1:9">
      <c r="A948" s="26"/>
      <c r="D948" s="51"/>
      <c r="E948" s="49"/>
      <c r="F948" s="50"/>
      <c r="G948" s="26"/>
      <c r="H948" s="26"/>
      <c r="I948" s="26"/>
    </row>
    <row r="949" spans="1:9">
      <c r="A949" s="26"/>
      <c r="D949" s="51"/>
      <c r="E949" s="49"/>
      <c r="F949" s="50"/>
      <c r="G949" s="26"/>
      <c r="H949" s="26"/>
      <c r="I949" s="26"/>
    </row>
    <row r="950" spans="1:9">
      <c r="A950" s="26"/>
      <c r="D950" s="51"/>
      <c r="E950" s="49"/>
      <c r="F950" s="50"/>
      <c r="G950" s="26"/>
      <c r="H950" s="26"/>
      <c r="I950" s="26"/>
    </row>
    <row r="951" spans="1:9">
      <c r="A951" s="26"/>
      <c r="D951" s="51"/>
      <c r="E951" s="49"/>
      <c r="F951" s="50"/>
      <c r="G951" s="26"/>
      <c r="H951" s="26"/>
      <c r="I951" s="26"/>
    </row>
    <row r="952" spans="1:9">
      <c r="A952" s="26"/>
      <c r="D952" s="51"/>
      <c r="E952" s="49"/>
      <c r="F952" s="50"/>
      <c r="G952" s="26"/>
      <c r="H952" s="26"/>
      <c r="I952" s="26"/>
    </row>
    <row r="953" spans="1:9">
      <c r="A953" s="26"/>
      <c r="D953" s="51"/>
      <c r="E953" s="49"/>
      <c r="F953" s="50"/>
      <c r="G953" s="26"/>
      <c r="H953" s="26"/>
      <c r="I953" s="26"/>
    </row>
    <row r="954" spans="1:9">
      <c r="A954" s="26"/>
      <c r="D954" s="51"/>
      <c r="E954" s="49"/>
      <c r="F954" s="50"/>
      <c r="G954" s="26"/>
      <c r="H954" s="26"/>
      <c r="I954" s="26"/>
    </row>
    <row r="955" spans="1:9">
      <c r="A955" s="26"/>
      <c r="D955" s="51"/>
      <c r="E955" s="49"/>
      <c r="F955" s="50"/>
      <c r="G955" s="26"/>
      <c r="H955" s="26"/>
      <c r="I955" s="26"/>
    </row>
    <row r="956" spans="1:9">
      <c r="A956" s="26"/>
      <c r="D956" s="51"/>
      <c r="E956" s="49"/>
      <c r="F956" s="50"/>
      <c r="G956" s="26"/>
      <c r="H956" s="26"/>
      <c r="I956" s="26"/>
    </row>
    <row r="957" spans="1:9">
      <c r="A957" s="26"/>
      <c r="D957" s="51"/>
      <c r="E957" s="49"/>
      <c r="F957" s="50"/>
      <c r="G957" s="26"/>
      <c r="H957" s="26"/>
      <c r="I957" s="26"/>
    </row>
    <row r="958" spans="1:9">
      <c r="A958" s="26"/>
      <c r="D958" s="51"/>
      <c r="E958" s="49"/>
      <c r="F958" s="50"/>
      <c r="G958" s="26"/>
      <c r="H958" s="26"/>
      <c r="I958" s="26"/>
    </row>
    <row r="959" spans="1:9">
      <c r="A959" s="26"/>
      <c r="D959" s="51"/>
      <c r="E959" s="49"/>
      <c r="F959" s="50"/>
      <c r="G959" s="26"/>
      <c r="H959" s="26"/>
      <c r="I959" s="26"/>
    </row>
    <row r="960" spans="1:9">
      <c r="A960" s="26"/>
      <c r="D960" s="51"/>
      <c r="E960" s="49"/>
      <c r="F960" s="50"/>
      <c r="G960" s="26"/>
      <c r="H960" s="26"/>
      <c r="I960" s="26"/>
    </row>
    <row r="961" spans="1:9">
      <c r="A961" s="26"/>
      <c r="D961" s="51"/>
      <c r="E961" s="49"/>
      <c r="F961" s="50"/>
      <c r="G961" s="26"/>
      <c r="H961" s="26"/>
      <c r="I961" s="26"/>
    </row>
    <row r="962" spans="1:9">
      <c r="A962" s="26"/>
      <c r="D962" s="51"/>
      <c r="E962" s="49"/>
      <c r="F962" s="50"/>
      <c r="G962" s="26"/>
      <c r="H962" s="26"/>
      <c r="I962" s="26"/>
    </row>
    <row r="963" spans="1:9">
      <c r="A963" s="26"/>
      <c r="D963" s="51"/>
      <c r="E963" s="49"/>
      <c r="F963" s="50"/>
      <c r="G963" s="26"/>
      <c r="H963" s="26"/>
      <c r="I963" s="26"/>
    </row>
    <row r="964" spans="1:9">
      <c r="A964" s="26"/>
      <c r="D964" s="51"/>
      <c r="E964" s="49"/>
      <c r="F964" s="50"/>
      <c r="G964" s="26"/>
      <c r="H964" s="26"/>
      <c r="I964" s="26"/>
    </row>
    <row r="965" spans="1:9">
      <c r="A965" s="26"/>
      <c r="D965" s="51"/>
      <c r="E965" s="49"/>
      <c r="F965" s="50"/>
      <c r="G965" s="26"/>
      <c r="H965" s="26"/>
      <c r="I965" s="26"/>
    </row>
    <row r="966" spans="1:9">
      <c r="A966" s="26"/>
      <c r="D966" s="51"/>
      <c r="E966" s="49"/>
      <c r="F966" s="50"/>
      <c r="G966" s="26"/>
      <c r="H966" s="26"/>
      <c r="I966" s="26"/>
    </row>
    <row r="967" spans="1:9">
      <c r="A967" s="26"/>
      <c r="D967" s="51"/>
      <c r="E967" s="49"/>
      <c r="F967" s="50"/>
      <c r="G967" s="26"/>
      <c r="H967" s="26"/>
      <c r="I967" s="26"/>
    </row>
    <row r="968" spans="1:9">
      <c r="A968" s="26"/>
      <c r="D968" s="51"/>
      <c r="E968" s="49"/>
      <c r="F968" s="50"/>
      <c r="G968" s="26"/>
      <c r="H968" s="26"/>
      <c r="I968" s="26"/>
    </row>
    <row r="969" spans="1:9">
      <c r="A969" s="26"/>
      <c r="D969" s="51"/>
      <c r="E969" s="49"/>
      <c r="F969" s="50"/>
      <c r="G969" s="26"/>
      <c r="H969" s="26"/>
      <c r="I969" s="26"/>
    </row>
    <row r="970" spans="1:9">
      <c r="A970" s="26"/>
      <c r="D970" s="51"/>
      <c r="E970" s="49"/>
      <c r="F970" s="50"/>
      <c r="G970" s="26"/>
      <c r="H970" s="26"/>
      <c r="I970" s="26"/>
    </row>
    <row r="971" spans="1:9">
      <c r="A971" s="26"/>
      <c r="D971" s="51"/>
      <c r="E971" s="49"/>
      <c r="F971" s="50"/>
      <c r="G971" s="26"/>
      <c r="H971" s="26"/>
      <c r="I971" s="26"/>
    </row>
    <row r="972" spans="1:9">
      <c r="A972" s="26"/>
      <c r="D972" s="51"/>
      <c r="E972" s="49"/>
      <c r="F972" s="50"/>
      <c r="G972" s="26"/>
      <c r="H972" s="26"/>
      <c r="I972" s="26"/>
    </row>
    <row r="973" spans="1:9">
      <c r="A973" s="26"/>
      <c r="D973" s="51"/>
      <c r="E973" s="49"/>
      <c r="F973" s="50"/>
      <c r="G973" s="26"/>
      <c r="H973" s="26"/>
      <c r="I973" s="26"/>
    </row>
    <row r="974" spans="1:9">
      <c r="A974" s="26"/>
      <c r="D974" s="51"/>
      <c r="E974" s="49"/>
      <c r="F974" s="50"/>
      <c r="G974" s="26"/>
      <c r="H974" s="26"/>
      <c r="I974" s="26"/>
    </row>
    <row r="975" spans="1:9">
      <c r="A975" s="26"/>
      <c r="D975" s="51"/>
      <c r="E975" s="49"/>
      <c r="F975" s="50"/>
      <c r="G975" s="26"/>
      <c r="H975" s="26"/>
      <c r="I975" s="26"/>
    </row>
    <row r="976" spans="1:9">
      <c r="A976" s="26"/>
      <c r="D976" s="51"/>
      <c r="E976" s="49"/>
      <c r="F976" s="50"/>
      <c r="G976" s="26"/>
      <c r="H976" s="26"/>
      <c r="I976" s="26"/>
    </row>
    <row r="977" spans="1:9">
      <c r="A977" s="26"/>
      <c r="D977" s="51"/>
      <c r="E977" s="49"/>
      <c r="F977" s="50"/>
      <c r="G977" s="26"/>
      <c r="H977" s="26"/>
      <c r="I977" s="26"/>
    </row>
    <row r="978" spans="1:9">
      <c r="A978" s="26"/>
      <c r="D978" s="51"/>
      <c r="E978" s="49"/>
      <c r="F978" s="50"/>
      <c r="G978" s="26"/>
      <c r="H978" s="26"/>
      <c r="I978" s="26"/>
    </row>
    <row r="979" spans="1:9">
      <c r="A979" s="26"/>
      <c r="D979" s="51"/>
      <c r="E979" s="49"/>
      <c r="F979" s="50"/>
      <c r="G979" s="26"/>
      <c r="H979" s="26"/>
      <c r="I979" s="26"/>
    </row>
    <row r="980" spans="1:9">
      <c r="A980" s="26"/>
      <c r="D980" s="51"/>
      <c r="E980" s="49"/>
      <c r="F980" s="50"/>
      <c r="G980" s="26"/>
      <c r="H980" s="26"/>
      <c r="I980" s="26"/>
    </row>
    <row r="981" spans="1:9">
      <c r="A981" s="26"/>
      <c r="D981" s="51"/>
      <c r="E981" s="49"/>
      <c r="F981" s="50"/>
      <c r="G981" s="26"/>
      <c r="H981" s="26"/>
      <c r="I981" s="26"/>
    </row>
    <row r="982" spans="1:9">
      <c r="A982" s="26"/>
      <c r="D982" s="51"/>
      <c r="E982" s="49"/>
      <c r="F982" s="50"/>
      <c r="G982" s="26"/>
      <c r="H982" s="26"/>
      <c r="I982" s="26"/>
    </row>
    <row r="983" spans="1:9">
      <c r="A983" s="26"/>
      <c r="D983" s="51"/>
      <c r="E983" s="49"/>
      <c r="F983" s="50"/>
      <c r="G983" s="26"/>
      <c r="H983" s="26"/>
      <c r="I983" s="26"/>
    </row>
    <row r="984" spans="1:9">
      <c r="A984" s="26"/>
      <c r="D984" s="51"/>
      <c r="E984" s="49"/>
      <c r="F984" s="50"/>
      <c r="G984" s="26"/>
      <c r="H984" s="26"/>
      <c r="I984" s="26"/>
    </row>
    <row r="985" spans="1:9">
      <c r="A985" s="26"/>
      <c r="D985" s="51"/>
      <c r="E985" s="49"/>
      <c r="F985" s="50"/>
      <c r="G985" s="26"/>
      <c r="H985" s="26"/>
      <c r="I985" s="26"/>
    </row>
    <row r="986" spans="1:9">
      <c r="A986" s="26"/>
      <c r="D986" s="51"/>
      <c r="E986" s="49"/>
      <c r="F986" s="50"/>
      <c r="G986" s="26"/>
      <c r="H986" s="26"/>
      <c r="I986" s="26"/>
    </row>
    <row r="987" spans="1:9">
      <c r="A987" s="26"/>
      <c r="D987" s="51"/>
      <c r="E987" s="49"/>
      <c r="F987" s="50"/>
      <c r="G987" s="26"/>
      <c r="H987" s="26"/>
      <c r="I987" s="26"/>
    </row>
    <row r="988" spans="1:9">
      <c r="A988" s="26"/>
      <c r="D988" s="51"/>
      <c r="E988" s="49"/>
      <c r="F988" s="50"/>
      <c r="G988" s="26"/>
      <c r="H988" s="26"/>
      <c r="I988" s="26"/>
    </row>
    <row r="989" spans="1:9">
      <c r="A989" s="26"/>
      <c r="D989" s="51"/>
      <c r="E989" s="49"/>
      <c r="F989" s="50"/>
      <c r="G989" s="26"/>
      <c r="H989" s="26"/>
      <c r="I989" s="26"/>
    </row>
    <row r="990" spans="1:9">
      <c r="A990" s="26"/>
      <c r="D990" s="51"/>
      <c r="E990" s="49"/>
      <c r="F990" s="50"/>
      <c r="G990" s="26"/>
      <c r="H990" s="26"/>
      <c r="I990" s="26"/>
    </row>
    <row r="991" spans="1:9">
      <c r="A991" s="26"/>
      <c r="D991" s="51"/>
      <c r="E991" s="49"/>
      <c r="F991" s="50"/>
      <c r="G991" s="26"/>
      <c r="H991" s="26"/>
      <c r="I991" s="26"/>
    </row>
    <row r="992" spans="1:9">
      <c r="A992" s="26"/>
      <c r="D992" s="51"/>
      <c r="E992" s="49"/>
      <c r="F992" s="50"/>
      <c r="G992" s="26"/>
      <c r="H992" s="26"/>
      <c r="I992" s="26"/>
    </row>
    <row r="993" spans="1:9">
      <c r="A993" s="26"/>
      <c r="D993" s="51"/>
      <c r="E993" s="49"/>
      <c r="F993" s="50"/>
      <c r="G993" s="26"/>
      <c r="H993" s="26"/>
      <c r="I993" s="26"/>
    </row>
    <row r="994" spans="1:9">
      <c r="A994" s="26"/>
      <c r="D994" s="51"/>
      <c r="E994" s="49"/>
      <c r="F994" s="50"/>
      <c r="G994" s="26"/>
      <c r="H994" s="26"/>
      <c r="I994" s="26"/>
    </row>
    <row r="995" spans="1:9">
      <c r="A995" s="26"/>
      <c r="D995" s="51"/>
      <c r="E995" s="49"/>
      <c r="F995" s="50"/>
      <c r="G995" s="26"/>
      <c r="H995" s="26"/>
      <c r="I995" s="26"/>
    </row>
    <row r="996" spans="1:9">
      <c r="A996" s="26"/>
      <c r="D996" s="51"/>
      <c r="E996" s="49"/>
      <c r="F996" s="50"/>
      <c r="G996" s="26"/>
      <c r="H996" s="26"/>
      <c r="I996" s="26"/>
    </row>
    <row r="997" spans="1:9">
      <c r="A997" s="26"/>
      <c r="D997" s="51"/>
      <c r="E997" s="49"/>
      <c r="F997" s="50"/>
      <c r="G997" s="26"/>
      <c r="H997" s="26"/>
      <c r="I997" s="26"/>
    </row>
    <row r="998" spans="1:9">
      <c r="A998" s="26"/>
      <c r="D998" s="51"/>
      <c r="E998" s="49"/>
      <c r="F998" s="50"/>
      <c r="G998" s="26"/>
      <c r="H998" s="26"/>
      <c r="I998" s="26"/>
    </row>
    <row r="999" spans="1:9">
      <c r="A999" s="26"/>
      <c r="D999" s="51"/>
      <c r="E999" s="49"/>
      <c r="F999" s="50"/>
      <c r="G999" s="26"/>
      <c r="H999" s="26"/>
      <c r="I999" s="26"/>
    </row>
    <row r="1000" spans="1:9">
      <c r="A1000" s="26"/>
      <c r="D1000" s="51"/>
      <c r="E1000" s="49"/>
      <c r="F1000" s="50"/>
      <c r="G1000" s="26"/>
      <c r="H1000" s="26"/>
      <c r="I1000" s="26"/>
    </row>
    <row r="1001" spans="1:9">
      <c r="A1001" s="26"/>
      <c r="D1001" s="51"/>
      <c r="E1001" s="49"/>
      <c r="F1001" s="50"/>
      <c r="G1001" s="26"/>
      <c r="H1001" s="26"/>
      <c r="I1001" s="26"/>
    </row>
    <row r="1002" spans="1:9">
      <c r="A1002" s="26"/>
      <c r="D1002" s="51"/>
      <c r="E1002" s="49"/>
      <c r="F1002" s="50"/>
      <c r="G1002" s="26"/>
      <c r="H1002" s="26"/>
      <c r="I1002" s="26"/>
    </row>
    <row r="1003" spans="1:9">
      <c r="A1003" s="26"/>
      <c r="D1003" s="51"/>
      <c r="E1003" s="49"/>
      <c r="F1003" s="50"/>
      <c r="G1003" s="26"/>
      <c r="H1003" s="26"/>
      <c r="I1003" s="26"/>
    </row>
    <row r="1004" spans="1:9">
      <c r="A1004" s="26"/>
      <c r="D1004" s="51"/>
      <c r="E1004" s="49"/>
      <c r="F1004" s="50"/>
      <c r="G1004" s="26"/>
      <c r="H1004" s="26"/>
      <c r="I1004" s="26"/>
    </row>
    <row r="1005" spans="1:9">
      <c r="A1005" s="26"/>
      <c r="D1005" s="51"/>
      <c r="E1005" s="49"/>
      <c r="F1005" s="50"/>
      <c r="G1005" s="26"/>
      <c r="H1005" s="26"/>
      <c r="I1005" s="26"/>
    </row>
    <row r="1006" spans="1:9">
      <c r="A1006" s="26"/>
      <c r="D1006" s="51"/>
      <c r="E1006" s="49"/>
      <c r="F1006" s="50"/>
      <c r="G1006" s="26"/>
      <c r="H1006" s="26"/>
      <c r="I1006" s="26"/>
    </row>
    <row r="1007" spans="1:9">
      <c r="A1007" s="26"/>
      <c r="D1007" s="51"/>
      <c r="E1007" s="49"/>
      <c r="F1007" s="50"/>
      <c r="G1007" s="26"/>
      <c r="H1007" s="26"/>
      <c r="I1007" s="26"/>
    </row>
    <row r="1008" spans="1:9">
      <c r="A1008" s="26"/>
      <c r="D1008" s="51"/>
      <c r="E1008" s="49"/>
      <c r="F1008" s="50"/>
      <c r="G1008" s="26"/>
      <c r="H1008" s="26"/>
      <c r="I1008" s="26"/>
    </row>
    <row r="1009" spans="1:9">
      <c r="A1009" s="26"/>
      <c r="D1009" s="51"/>
      <c r="E1009" s="49"/>
      <c r="F1009" s="50"/>
      <c r="G1009" s="26"/>
      <c r="H1009" s="26"/>
      <c r="I1009" s="26"/>
    </row>
    <row r="1010" spans="1:9">
      <c r="A1010" s="26"/>
      <c r="D1010" s="51"/>
      <c r="E1010" s="49"/>
      <c r="F1010" s="50"/>
      <c r="G1010" s="26"/>
      <c r="H1010" s="26"/>
      <c r="I1010" s="26"/>
    </row>
    <row r="1011" spans="1:9">
      <c r="A1011" s="26"/>
      <c r="D1011" s="51"/>
      <c r="E1011" s="49"/>
      <c r="F1011" s="50"/>
      <c r="G1011" s="26"/>
      <c r="H1011" s="26"/>
      <c r="I1011" s="26"/>
    </row>
    <row r="1012" spans="1:9">
      <c r="A1012" s="26"/>
      <c r="D1012" s="51"/>
      <c r="E1012" s="49"/>
      <c r="F1012" s="50"/>
      <c r="G1012" s="26"/>
      <c r="H1012" s="26"/>
      <c r="I1012" s="26"/>
    </row>
    <row r="1013" spans="1:9">
      <c r="A1013" s="26"/>
      <c r="D1013" s="51"/>
      <c r="E1013" s="49"/>
      <c r="F1013" s="50"/>
      <c r="G1013" s="26"/>
      <c r="H1013" s="26"/>
      <c r="I1013" s="26"/>
    </row>
    <row r="1014" spans="1:9">
      <c r="A1014" s="26"/>
      <c r="D1014" s="51"/>
      <c r="E1014" s="49"/>
      <c r="F1014" s="50"/>
      <c r="G1014" s="26"/>
      <c r="H1014" s="26"/>
      <c r="I1014" s="26"/>
    </row>
    <row r="1015" spans="1:9">
      <c r="A1015" s="26"/>
      <c r="D1015" s="51"/>
      <c r="E1015" s="49"/>
      <c r="F1015" s="50"/>
      <c r="G1015" s="26"/>
      <c r="H1015" s="26"/>
      <c r="I1015" s="26"/>
    </row>
    <row r="1016" spans="1:9">
      <c r="A1016" s="26"/>
      <c r="D1016" s="51"/>
      <c r="E1016" s="49"/>
      <c r="F1016" s="50"/>
      <c r="G1016" s="26"/>
      <c r="H1016" s="26"/>
      <c r="I1016" s="26"/>
    </row>
    <row r="1017" spans="1:9">
      <c r="A1017" s="26"/>
      <c r="D1017" s="51"/>
      <c r="E1017" s="49"/>
      <c r="F1017" s="50"/>
      <c r="G1017" s="26"/>
      <c r="H1017" s="26"/>
      <c r="I1017" s="26"/>
    </row>
    <row r="1018" spans="1:9">
      <c r="A1018" s="26"/>
      <c r="D1018" s="51"/>
      <c r="E1018" s="49"/>
      <c r="F1018" s="50"/>
      <c r="G1018" s="26"/>
      <c r="H1018" s="26"/>
      <c r="I1018" s="26"/>
    </row>
    <row r="1019" spans="1:9">
      <c r="A1019" s="26"/>
      <c r="D1019" s="51"/>
      <c r="E1019" s="49"/>
      <c r="F1019" s="50"/>
      <c r="G1019" s="26"/>
      <c r="H1019" s="26"/>
      <c r="I1019" s="26"/>
    </row>
    <row r="1020" spans="1:9">
      <c r="A1020" s="26"/>
      <c r="D1020" s="51"/>
      <c r="E1020" s="49"/>
      <c r="F1020" s="50"/>
      <c r="G1020" s="26"/>
      <c r="H1020" s="26"/>
      <c r="I1020" s="26"/>
    </row>
    <row r="1021" spans="1:9">
      <c r="A1021" s="26"/>
      <c r="D1021" s="51"/>
      <c r="E1021" s="49"/>
      <c r="F1021" s="50"/>
      <c r="G1021" s="26"/>
      <c r="H1021" s="26"/>
      <c r="I1021" s="26"/>
    </row>
    <row r="1022" spans="1:9">
      <c r="A1022" s="26"/>
      <c r="D1022" s="51"/>
      <c r="E1022" s="49"/>
      <c r="F1022" s="50"/>
      <c r="G1022" s="26"/>
      <c r="H1022" s="26"/>
      <c r="I1022" s="26"/>
    </row>
    <row r="1023" spans="1:9">
      <c r="A1023" s="26"/>
      <c r="D1023" s="51"/>
      <c r="E1023" s="49"/>
      <c r="F1023" s="50"/>
      <c r="G1023" s="26"/>
      <c r="H1023" s="26"/>
      <c r="I1023" s="26"/>
    </row>
    <row r="1024" spans="1:9">
      <c r="A1024" s="26"/>
      <c r="D1024" s="51"/>
      <c r="E1024" s="49"/>
      <c r="F1024" s="50"/>
      <c r="G1024" s="26"/>
      <c r="H1024" s="26"/>
      <c r="I1024" s="26"/>
    </row>
    <row r="1025" spans="1:9">
      <c r="A1025" s="26"/>
      <c r="D1025" s="51"/>
      <c r="E1025" s="49"/>
      <c r="F1025" s="50"/>
      <c r="G1025" s="26"/>
      <c r="H1025" s="26"/>
      <c r="I1025" s="26"/>
    </row>
    <row r="1026" spans="1:9">
      <c r="A1026" s="26"/>
      <c r="D1026" s="51"/>
      <c r="E1026" s="49"/>
      <c r="F1026" s="50"/>
      <c r="G1026" s="26"/>
      <c r="H1026" s="26"/>
      <c r="I1026" s="26"/>
    </row>
    <row r="1027" spans="1:9">
      <c r="A1027" s="26"/>
      <c r="D1027" s="51"/>
      <c r="E1027" s="49"/>
      <c r="F1027" s="50"/>
      <c r="G1027" s="26"/>
      <c r="H1027" s="26"/>
      <c r="I1027" s="26"/>
    </row>
    <row r="1028" spans="1:9">
      <c r="A1028" s="26"/>
      <c r="D1028" s="51"/>
      <c r="E1028" s="49"/>
      <c r="F1028" s="50"/>
      <c r="G1028" s="26"/>
      <c r="H1028" s="26"/>
      <c r="I1028" s="26"/>
    </row>
    <row r="1029" spans="1:9">
      <c r="A1029" s="26"/>
      <c r="D1029" s="51"/>
      <c r="E1029" s="49"/>
      <c r="F1029" s="50"/>
      <c r="G1029" s="26"/>
      <c r="H1029" s="26"/>
      <c r="I1029" s="26"/>
    </row>
    <row r="1030" spans="1:9">
      <c r="A1030" s="26"/>
      <c r="D1030" s="51"/>
      <c r="E1030" s="49"/>
      <c r="F1030" s="50"/>
      <c r="G1030" s="26"/>
      <c r="H1030" s="26"/>
      <c r="I1030" s="26"/>
    </row>
    <row r="1031" spans="1:9">
      <c r="A1031" s="26"/>
      <c r="D1031" s="51"/>
      <c r="E1031" s="49"/>
      <c r="F1031" s="50"/>
      <c r="G1031" s="26"/>
      <c r="H1031" s="26"/>
      <c r="I1031" s="26"/>
    </row>
    <row r="1032" spans="1:9">
      <c r="A1032" s="26"/>
      <c r="D1032" s="51"/>
      <c r="E1032" s="49"/>
      <c r="F1032" s="50"/>
      <c r="G1032" s="26"/>
      <c r="H1032" s="26"/>
      <c r="I1032" s="26"/>
    </row>
    <row r="1033" spans="1:9">
      <c r="A1033" s="26"/>
      <c r="D1033" s="51"/>
      <c r="E1033" s="49"/>
      <c r="F1033" s="50"/>
      <c r="G1033" s="26"/>
      <c r="H1033" s="26"/>
      <c r="I1033" s="26"/>
    </row>
    <row r="1034" spans="1:9">
      <c r="A1034" s="26"/>
      <c r="D1034" s="51"/>
      <c r="E1034" s="49"/>
      <c r="F1034" s="50"/>
      <c r="G1034" s="26"/>
      <c r="H1034" s="26"/>
      <c r="I1034" s="26"/>
    </row>
    <row r="1035" spans="1:9">
      <c r="A1035" s="26"/>
      <c r="D1035" s="51"/>
      <c r="E1035" s="49"/>
      <c r="F1035" s="50"/>
      <c r="G1035" s="26"/>
      <c r="H1035" s="26"/>
      <c r="I1035" s="26"/>
    </row>
    <row r="1036" spans="1:9">
      <c r="A1036" s="26"/>
      <c r="D1036" s="51"/>
      <c r="E1036" s="49"/>
      <c r="F1036" s="50"/>
      <c r="G1036" s="26"/>
      <c r="H1036" s="26"/>
      <c r="I1036" s="26"/>
    </row>
    <row r="1037" spans="1:9">
      <c r="A1037" s="26"/>
      <c r="D1037" s="51"/>
      <c r="E1037" s="49"/>
      <c r="F1037" s="50"/>
      <c r="G1037" s="26"/>
      <c r="H1037" s="26"/>
      <c r="I1037" s="26"/>
    </row>
    <row r="1038" spans="1:9">
      <c r="A1038" s="26"/>
      <c r="D1038" s="51"/>
      <c r="E1038" s="49"/>
      <c r="F1038" s="50"/>
      <c r="G1038" s="26"/>
      <c r="H1038" s="26"/>
      <c r="I1038" s="26"/>
    </row>
    <row r="1039" spans="1:9">
      <c r="A1039" s="26"/>
      <c r="D1039" s="51"/>
      <c r="E1039" s="49"/>
      <c r="F1039" s="50"/>
      <c r="G1039" s="26"/>
      <c r="H1039" s="26"/>
      <c r="I1039" s="26"/>
    </row>
    <row r="1040" spans="1:9">
      <c r="A1040" s="26"/>
      <c r="D1040" s="51"/>
      <c r="E1040" s="49"/>
      <c r="F1040" s="50"/>
      <c r="G1040" s="26"/>
      <c r="H1040" s="26"/>
      <c r="I1040" s="26"/>
    </row>
    <row r="1041" spans="1:9">
      <c r="A1041" s="26"/>
      <c r="D1041" s="51"/>
      <c r="E1041" s="49"/>
      <c r="F1041" s="50"/>
      <c r="G1041" s="26"/>
      <c r="H1041" s="26"/>
      <c r="I1041" s="26"/>
    </row>
    <row r="1042" spans="1:9">
      <c r="A1042" s="26"/>
      <c r="D1042" s="51"/>
      <c r="E1042" s="49"/>
      <c r="F1042" s="50"/>
      <c r="G1042" s="26"/>
      <c r="H1042" s="26"/>
      <c r="I1042" s="26"/>
    </row>
    <row r="1043" spans="1:9">
      <c r="A1043" s="26"/>
      <c r="D1043" s="51"/>
      <c r="E1043" s="49"/>
      <c r="F1043" s="50"/>
      <c r="G1043" s="26"/>
      <c r="H1043" s="26"/>
      <c r="I1043" s="26"/>
    </row>
    <row r="1044" spans="1:9">
      <c r="A1044" s="26"/>
      <c r="D1044" s="51"/>
      <c r="E1044" s="49"/>
      <c r="F1044" s="50"/>
      <c r="G1044" s="26"/>
      <c r="H1044" s="26"/>
      <c r="I1044" s="26"/>
    </row>
    <row r="1045" spans="1:9">
      <c r="A1045" s="26"/>
      <c r="D1045" s="51"/>
      <c r="E1045" s="49"/>
      <c r="F1045" s="50"/>
      <c r="G1045" s="26"/>
      <c r="H1045" s="26"/>
      <c r="I1045" s="26"/>
    </row>
    <row r="1046" spans="1:9">
      <c r="A1046" s="26"/>
      <c r="D1046" s="51"/>
      <c r="E1046" s="49"/>
      <c r="F1046" s="50"/>
      <c r="G1046" s="26"/>
      <c r="H1046" s="26"/>
      <c r="I1046" s="26"/>
    </row>
    <row r="1047" spans="1:9">
      <c r="A1047" s="26"/>
      <c r="D1047" s="51"/>
      <c r="E1047" s="49"/>
      <c r="F1047" s="50"/>
      <c r="G1047" s="26"/>
      <c r="H1047" s="26"/>
      <c r="I1047" s="26"/>
    </row>
    <row r="1048" spans="1:9">
      <c r="A1048" s="26"/>
      <c r="D1048" s="51"/>
      <c r="E1048" s="49"/>
      <c r="F1048" s="50"/>
      <c r="G1048" s="26"/>
      <c r="H1048" s="26"/>
      <c r="I1048" s="26"/>
    </row>
    <row r="1049" spans="1:9">
      <c r="A1049" s="26"/>
      <c r="D1049" s="51"/>
      <c r="E1049" s="49"/>
      <c r="F1049" s="50"/>
      <c r="G1049" s="26"/>
      <c r="H1049" s="26"/>
      <c r="I1049" s="26"/>
    </row>
    <row r="1050" spans="1:9">
      <c r="A1050" s="26"/>
      <c r="D1050" s="51"/>
      <c r="E1050" s="49"/>
      <c r="F1050" s="50"/>
      <c r="G1050" s="26"/>
      <c r="H1050" s="26"/>
      <c r="I1050" s="26"/>
    </row>
    <row r="1051" spans="1:9">
      <c r="A1051" s="26"/>
      <c r="D1051" s="51"/>
      <c r="E1051" s="49"/>
      <c r="F1051" s="50"/>
      <c r="G1051" s="26"/>
      <c r="H1051" s="26"/>
      <c r="I1051" s="26"/>
    </row>
    <row r="1052" spans="1:9">
      <c r="A1052" s="26"/>
      <c r="D1052" s="51"/>
      <c r="E1052" s="49"/>
      <c r="F1052" s="50"/>
      <c r="G1052" s="26"/>
      <c r="H1052" s="26"/>
      <c r="I1052" s="26"/>
    </row>
    <row r="1053" spans="1:9">
      <c r="A1053" s="26"/>
      <c r="D1053" s="51"/>
      <c r="E1053" s="49"/>
      <c r="F1053" s="50"/>
      <c r="G1053" s="26"/>
      <c r="H1053" s="26"/>
      <c r="I1053" s="26"/>
    </row>
    <row r="1054" spans="1:9">
      <c r="A1054" s="26"/>
      <c r="D1054" s="51"/>
      <c r="E1054" s="49"/>
      <c r="F1054" s="50"/>
      <c r="G1054" s="26"/>
      <c r="H1054" s="26"/>
      <c r="I1054" s="26"/>
    </row>
    <row r="1055" spans="1:9">
      <c r="A1055" s="26"/>
      <c r="D1055" s="51"/>
      <c r="E1055" s="49"/>
      <c r="F1055" s="50"/>
      <c r="G1055" s="26"/>
      <c r="H1055" s="26"/>
      <c r="I1055" s="26"/>
    </row>
    <row r="1056" spans="1:9">
      <c r="A1056" s="26"/>
      <c r="D1056" s="51"/>
      <c r="E1056" s="49"/>
      <c r="F1056" s="50"/>
      <c r="G1056" s="26"/>
      <c r="H1056" s="26"/>
      <c r="I1056" s="26"/>
    </row>
    <row r="1057" spans="1:9">
      <c r="A1057" s="26"/>
      <c r="D1057" s="51"/>
      <c r="E1057" s="49"/>
      <c r="F1057" s="50"/>
      <c r="G1057" s="26"/>
      <c r="H1057" s="26"/>
      <c r="I1057" s="26"/>
    </row>
    <row r="1058" spans="1:9">
      <c r="A1058" s="26"/>
      <c r="D1058" s="51"/>
      <c r="E1058" s="49"/>
      <c r="F1058" s="50"/>
      <c r="G1058" s="26"/>
      <c r="H1058" s="26"/>
      <c r="I1058" s="26"/>
    </row>
    <row r="1059" spans="1:9">
      <c r="A1059" s="26"/>
      <c r="D1059" s="51"/>
      <c r="E1059" s="49"/>
      <c r="F1059" s="50"/>
      <c r="G1059" s="26"/>
      <c r="H1059" s="26"/>
      <c r="I1059" s="26"/>
    </row>
    <row r="1060" spans="1:9">
      <c r="A1060" s="26"/>
      <c r="D1060" s="51"/>
      <c r="E1060" s="49"/>
      <c r="F1060" s="50"/>
      <c r="G1060" s="26"/>
      <c r="H1060" s="26"/>
      <c r="I1060" s="26"/>
    </row>
    <row r="1061" spans="1:9">
      <c r="A1061" s="26"/>
      <c r="D1061" s="51"/>
      <c r="E1061" s="49"/>
      <c r="F1061" s="50"/>
      <c r="G1061" s="26"/>
      <c r="H1061" s="26"/>
      <c r="I1061" s="26"/>
    </row>
    <row r="1062" spans="1:9">
      <c r="A1062" s="26"/>
      <c r="D1062" s="51"/>
      <c r="E1062" s="49"/>
      <c r="F1062" s="50"/>
      <c r="G1062" s="26"/>
      <c r="H1062" s="26"/>
      <c r="I1062" s="26"/>
    </row>
    <row r="1063" spans="1:9">
      <c r="A1063" s="26"/>
      <c r="D1063" s="51"/>
      <c r="E1063" s="49"/>
      <c r="F1063" s="50"/>
      <c r="G1063" s="26"/>
      <c r="H1063" s="26"/>
      <c r="I1063" s="26"/>
    </row>
    <row r="1064" spans="1:9">
      <c r="A1064" s="26"/>
      <c r="D1064" s="51"/>
      <c r="E1064" s="49"/>
      <c r="F1064" s="50"/>
      <c r="G1064" s="26"/>
      <c r="H1064" s="26"/>
      <c r="I1064" s="26"/>
    </row>
    <row r="1065" spans="1:9">
      <c r="A1065" s="26"/>
      <c r="D1065" s="51"/>
      <c r="E1065" s="49"/>
      <c r="F1065" s="50"/>
      <c r="G1065" s="26"/>
      <c r="H1065" s="26"/>
      <c r="I1065" s="26"/>
    </row>
    <row r="1066" spans="1:9">
      <c r="A1066" s="26"/>
      <c r="D1066" s="51"/>
      <c r="E1066" s="49"/>
      <c r="F1066" s="50"/>
      <c r="G1066" s="26"/>
      <c r="H1066" s="26"/>
      <c r="I1066" s="26"/>
    </row>
    <row r="1067" spans="1:9">
      <c r="A1067" s="26"/>
      <c r="D1067" s="51"/>
      <c r="E1067" s="49"/>
      <c r="F1067" s="50"/>
      <c r="G1067" s="26"/>
      <c r="H1067" s="26"/>
      <c r="I1067" s="26"/>
    </row>
    <row r="1068" spans="1:9">
      <c r="A1068" s="26"/>
      <c r="D1068" s="51"/>
      <c r="E1068" s="49"/>
      <c r="F1068" s="50"/>
      <c r="G1068" s="26"/>
      <c r="H1068" s="26"/>
      <c r="I1068" s="26"/>
    </row>
    <row r="1069" spans="1:9">
      <c r="A1069" s="26"/>
      <c r="D1069" s="51"/>
      <c r="E1069" s="49"/>
      <c r="F1069" s="50"/>
      <c r="G1069" s="26"/>
      <c r="H1069" s="26"/>
      <c r="I1069" s="26"/>
    </row>
    <row r="1070" spans="1:9">
      <c r="A1070" s="26"/>
      <c r="D1070" s="51"/>
      <c r="E1070" s="49"/>
      <c r="F1070" s="50"/>
      <c r="G1070" s="26"/>
      <c r="H1070" s="26"/>
      <c r="I1070" s="26"/>
    </row>
    <row r="1071" spans="1:9">
      <c r="A1071" s="26"/>
      <c r="D1071" s="51"/>
      <c r="E1071" s="49"/>
      <c r="F1071" s="50"/>
      <c r="G1071" s="26"/>
      <c r="H1071" s="26"/>
      <c r="I1071" s="26"/>
    </row>
    <row r="1072" spans="1:9">
      <c r="A1072" s="26"/>
      <c r="D1072" s="51"/>
      <c r="E1072" s="49"/>
      <c r="F1072" s="50"/>
      <c r="G1072" s="26"/>
      <c r="H1072" s="26"/>
      <c r="I1072" s="26"/>
    </row>
    <row r="1073" spans="1:9">
      <c r="A1073" s="26"/>
      <c r="D1073" s="51"/>
      <c r="E1073" s="49"/>
      <c r="F1073" s="50"/>
      <c r="G1073" s="26"/>
      <c r="H1073" s="26"/>
      <c r="I1073" s="26"/>
    </row>
    <row r="1074" spans="1:9">
      <c r="A1074" s="26"/>
      <c r="D1074" s="51"/>
      <c r="E1074" s="49"/>
      <c r="F1074" s="50"/>
      <c r="G1074" s="26"/>
      <c r="H1074" s="26"/>
      <c r="I1074" s="26"/>
    </row>
    <row r="1075" spans="1:9">
      <c r="A1075" s="26"/>
      <c r="D1075" s="51"/>
      <c r="E1075" s="49"/>
      <c r="F1075" s="50"/>
      <c r="G1075" s="26"/>
      <c r="H1075" s="26"/>
      <c r="I1075" s="26"/>
    </row>
    <row r="1076" spans="1:9">
      <c r="A1076" s="26"/>
      <c r="D1076" s="51"/>
      <c r="E1076" s="49"/>
      <c r="F1076" s="50"/>
      <c r="G1076" s="26"/>
      <c r="H1076" s="26"/>
      <c r="I1076" s="26"/>
    </row>
    <row r="1077" spans="1:9">
      <c r="A1077" s="26"/>
      <c r="D1077" s="51"/>
      <c r="E1077" s="49"/>
      <c r="F1077" s="50"/>
      <c r="G1077" s="26"/>
      <c r="H1077" s="26"/>
      <c r="I1077" s="26"/>
    </row>
    <row r="1078" spans="1:9">
      <c r="A1078" s="26"/>
      <c r="D1078" s="51"/>
      <c r="E1078" s="49"/>
      <c r="F1078" s="50"/>
      <c r="G1078" s="26"/>
      <c r="H1078" s="26"/>
      <c r="I1078" s="26"/>
    </row>
    <row r="1079" spans="1:9">
      <c r="A1079" s="26"/>
      <c r="D1079" s="51"/>
      <c r="E1079" s="49"/>
      <c r="F1079" s="50"/>
      <c r="G1079" s="26"/>
      <c r="H1079" s="26"/>
      <c r="I1079" s="26"/>
    </row>
    <row r="1080" spans="1:9">
      <c r="A1080" s="26"/>
      <c r="D1080" s="51"/>
      <c r="E1080" s="49"/>
      <c r="F1080" s="50"/>
      <c r="G1080" s="26"/>
      <c r="H1080" s="26"/>
      <c r="I1080" s="26"/>
    </row>
    <row r="1081" spans="1:9">
      <c r="A1081" s="26"/>
      <c r="D1081" s="51"/>
      <c r="E1081" s="49"/>
      <c r="F1081" s="50"/>
      <c r="G1081" s="26"/>
      <c r="H1081" s="26"/>
      <c r="I1081" s="26"/>
    </row>
    <row r="1082" spans="1:9">
      <c r="A1082" s="26"/>
      <c r="D1082" s="51"/>
      <c r="E1082" s="49"/>
      <c r="F1082" s="50"/>
      <c r="G1082" s="26"/>
      <c r="H1082" s="26"/>
      <c r="I1082" s="26"/>
    </row>
    <row r="1083" spans="1:9">
      <c r="A1083" s="26"/>
      <c r="D1083" s="51"/>
      <c r="E1083" s="49"/>
      <c r="F1083" s="50"/>
      <c r="G1083" s="26"/>
      <c r="H1083" s="26"/>
      <c r="I1083" s="26"/>
    </row>
    <row r="1084" spans="1:9">
      <c r="A1084" s="26"/>
      <c r="D1084" s="51"/>
      <c r="E1084" s="49"/>
      <c r="F1084" s="50"/>
      <c r="G1084" s="26"/>
      <c r="H1084" s="26"/>
      <c r="I1084" s="26"/>
    </row>
    <row r="1085" spans="1:9">
      <c r="A1085" s="26"/>
      <c r="D1085" s="51"/>
      <c r="E1085" s="49"/>
      <c r="F1085" s="50"/>
      <c r="G1085" s="26"/>
      <c r="H1085" s="26"/>
      <c r="I1085" s="26"/>
    </row>
    <row r="1086" spans="1:9">
      <c r="A1086" s="26"/>
      <c r="D1086" s="51"/>
      <c r="E1086" s="49"/>
      <c r="F1086" s="50"/>
      <c r="G1086" s="26"/>
      <c r="H1086" s="26"/>
      <c r="I1086" s="26"/>
    </row>
    <row r="1087" spans="1:9">
      <c r="A1087" s="26"/>
      <c r="D1087" s="51"/>
      <c r="E1087" s="49"/>
      <c r="F1087" s="50"/>
      <c r="G1087" s="26"/>
      <c r="H1087" s="26"/>
      <c r="I1087" s="26"/>
    </row>
    <row r="1088" spans="1:9">
      <c r="A1088" s="26"/>
      <c r="D1088" s="51"/>
      <c r="E1088" s="49"/>
      <c r="F1088" s="50"/>
      <c r="G1088" s="26"/>
      <c r="H1088" s="26"/>
      <c r="I1088" s="26"/>
    </row>
    <row r="1089" spans="1:9">
      <c r="A1089" s="26"/>
      <c r="D1089" s="51"/>
      <c r="E1089" s="49"/>
      <c r="F1089" s="50"/>
      <c r="G1089" s="26"/>
      <c r="H1089" s="26"/>
      <c r="I1089" s="26"/>
    </row>
    <row r="1090" spans="1:9">
      <c r="A1090" s="26"/>
      <c r="D1090" s="51"/>
      <c r="E1090" s="49"/>
      <c r="F1090" s="50"/>
      <c r="G1090" s="26"/>
      <c r="H1090" s="26"/>
      <c r="I1090" s="26"/>
    </row>
    <row r="1091" spans="1:9">
      <c r="A1091" s="26"/>
      <c r="D1091" s="51"/>
      <c r="E1091" s="49"/>
      <c r="F1091" s="50"/>
      <c r="G1091" s="26"/>
      <c r="H1091" s="26"/>
      <c r="I1091" s="26"/>
    </row>
    <row r="1092" spans="1:9">
      <c r="A1092" s="26"/>
      <c r="D1092" s="51"/>
      <c r="E1092" s="49"/>
      <c r="F1092" s="50"/>
      <c r="G1092" s="26"/>
      <c r="H1092" s="26"/>
      <c r="I1092" s="26"/>
    </row>
    <row r="1093" spans="1:9">
      <c r="A1093" s="26"/>
      <c r="D1093" s="51"/>
      <c r="E1093" s="49"/>
      <c r="F1093" s="50"/>
      <c r="G1093" s="26"/>
      <c r="H1093" s="26"/>
      <c r="I1093" s="26"/>
    </row>
    <row r="1094" spans="1:9">
      <c r="A1094" s="26"/>
      <c r="D1094" s="51"/>
      <c r="E1094" s="49"/>
      <c r="F1094" s="50"/>
      <c r="G1094" s="26"/>
      <c r="H1094" s="26"/>
      <c r="I1094" s="26"/>
    </row>
    <row r="1095" spans="1:9">
      <c r="A1095" s="26"/>
      <c r="D1095" s="51"/>
      <c r="E1095" s="49"/>
      <c r="F1095" s="50"/>
      <c r="G1095" s="26"/>
      <c r="H1095" s="26"/>
      <c r="I1095" s="26"/>
    </row>
    <row r="1096" spans="1:9">
      <c r="A1096" s="26"/>
      <c r="D1096" s="51"/>
      <c r="E1096" s="49"/>
      <c r="F1096" s="50"/>
      <c r="G1096" s="26"/>
      <c r="H1096" s="26"/>
      <c r="I1096" s="26"/>
    </row>
    <row r="1097" spans="1:9">
      <c r="A1097" s="26"/>
      <c r="D1097" s="51"/>
      <c r="E1097" s="49"/>
      <c r="F1097" s="50"/>
      <c r="G1097" s="26"/>
      <c r="H1097" s="26"/>
      <c r="I1097" s="26"/>
    </row>
    <row r="1098" spans="1:9">
      <c r="A1098" s="26"/>
      <c r="D1098" s="51"/>
      <c r="E1098" s="49"/>
      <c r="F1098" s="50"/>
      <c r="G1098" s="26"/>
      <c r="H1098" s="26"/>
      <c r="I1098" s="26"/>
    </row>
    <row r="1099" spans="1:9">
      <c r="A1099" s="26"/>
      <c r="D1099" s="51"/>
      <c r="E1099" s="49"/>
      <c r="F1099" s="50"/>
      <c r="G1099" s="26"/>
      <c r="H1099" s="26"/>
      <c r="I1099" s="26"/>
    </row>
    <row r="1100" spans="1:9">
      <c r="A1100" s="26"/>
      <c r="D1100" s="51"/>
      <c r="E1100" s="49"/>
      <c r="F1100" s="50"/>
      <c r="G1100" s="26"/>
      <c r="H1100" s="26"/>
      <c r="I1100" s="26"/>
    </row>
    <row r="1101" spans="1:9">
      <c r="A1101" s="26"/>
      <c r="D1101" s="51"/>
      <c r="E1101" s="49"/>
      <c r="F1101" s="50"/>
      <c r="G1101" s="26"/>
      <c r="H1101" s="26"/>
      <c r="I1101" s="26"/>
    </row>
    <row r="1102" spans="1:9">
      <c r="A1102" s="26"/>
      <c r="D1102" s="51"/>
      <c r="E1102" s="49"/>
      <c r="F1102" s="50"/>
      <c r="G1102" s="26"/>
      <c r="H1102" s="26"/>
      <c r="I1102" s="26"/>
    </row>
    <row r="1103" spans="1:9">
      <c r="A1103" s="26"/>
      <c r="D1103" s="51"/>
      <c r="E1103" s="49"/>
      <c r="F1103" s="50"/>
      <c r="G1103" s="26"/>
      <c r="H1103" s="26"/>
      <c r="I1103" s="26"/>
    </row>
    <row r="1104" spans="1:9">
      <c r="A1104" s="26"/>
      <c r="D1104" s="51"/>
      <c r="E1104" s="49"/>
      <c r="F1104" s="50"/>
      <c r="G1104" s="26"/>
      <c r="H1104" s="26"/>
      <c r="I1104" s="26"/>
    </row>
    <row r="1105" spans="1:9">
      <c r="A1105" s="26"/>
      <c r="D1105" s="51"/>
      <c r="E1105" s="49"/>
      <c r="F1105" s="50"/>
      <c r="G1105" s="26"/>
      <c r="H1105" s="26"/>
      <c r="I1105" s="26"/>
    </row>
    <row r="1106" spans="1:9">
      <c r="A1106" s="26"/>
      <c r="D1106" s="51"/>
      <c r="E1106" s="49"/>
      <c r="F1106" s="50"/>
      <c r="G1106" s="26"/>
      <c r="H1106" s="26"/>
      <c r="I1106" s="26"/>
    </row>
    <row r="1107" spans="1:9">
      <c r="A1107" s="26"/>
      <c r="D1107" s="51"/>
      <c r="E1107" s="49"/>
      <c r="F1107" s="50"/>
      <c r="G1107" s="26"/>
      <c r="H1107" s="26"/>
      <c r="I1107" s="26"/>
    </row>
    <row r="1108" spans="1:9">
      <c r="A1108" s="26"/>
      <c r="D1108" s="51"/>
      <c r="E1108" s="49"/>
      <c r="F1108" s="50"/>
      <c r="G1108" s="26"/>
      <c r="H1108" s="26"/>
      <c r="I1108" s="26"/>
    </row>
    <row r="1109" spans="1:9">
      <c r="A1109" s="26"/>
      <c r="D1109" s="51"/>
      <c r="E1109" s="49"/>
      <c r="F1109" s="50"/>
      <c r="G1109" s="26"/>
      <c r="H1109" s="26"/>
      <c r="I1109" s="26"/>
    </row>
    <row r="1110" spans="1:9">
      <c r="A1110" s="26"/>
      <c r="D1110" s="51"/>
      <c r="E1110" s="49"/>
      <c r="F1110" s="50"/>
      <c r="G1110" s="26"/>
      <c r="H1110" s="26"/>
      <c r="I1110" s="26"/>
    </row>
    <row r="1111" spans="1:9">
      <c r="A1111" s="26"/>
      <c r="D1111" s="51"/>
      <c r="E1111" s="49"/>
      <c r="F1111" s="50"/>
      <c r="G1111" s="26"/>
      <c r="H1111" s="26"/>
      <c r="I1111" s="26"/>
    </row>
    <row r="1112" spans="1:9">
      <c r="A1112" s="26"/>
      <c r="D1112" s="51"/>
      <c r="E1112" s="49"/>
      <c r="F1112" s="50"/>
      <c r="G1112" s="26"/>
      <c r="H1112" s="26"/>
      <c r="I1112" s="26"/>
    </row>
    <row r="1113" spans="1:9">
      <c r="A1113" s="26"/>
      <c r="D1113" s="51"/>
      <c r="E1113" s="49"/>
      <c r="F1113" s="50"/>
      <c r="G1113" s="26"/>
      <c r="H1113" s="26"/>
      <c r="I1113" s="26"/>
    </row>
    <row r="1114" spans="1:9">
      <c r="A1114" s="26"/>
      <c r="D1114" s="51"/>
      <c r="E1114" s="49"/>
      <c r="F1114" s="50"/>
      <c r="G1114" s="26"/>
      <c r="H1114" s="26"/>
      <c r="I1114" s="26"/>
    </row>
    <row r="1115" spans="1:9">
      <c r="A1115" s="26"/>
      <c r="D1115" s="51"/>
      <c r="E1115" s="49"/>
      <c r="F1115" s="50"/>
      <c r="G1115" s="26"/>
      <c r="H1115" s="26"/>
      <c r="I1115" s="26"/>
    </row>
    <row r="1116" spans="1:9">
      <c r="A1116" s="26"/>
      <c r="D1116" s="51"/>
      <c r="E1116" s="49"/>
      <c r="F1116" s="50"/>
      <c r="G1116" s="26"/>
      <c r="H1116" s="26"/>
      <c r="I1116" s="26"/>
    </row>
    <row r="1117" spans="1:9">
      <c r="A1117" s="26"/>
      <c r="D1117" s="51"/>
      <c r="E1117" s="49"/>
      <c r="F1117" s="50"/>
      <c r="G1117" s="26"/>
      <c r="H1117" s="26"/>
      <c r="I1117" s="26"/>
    </row>
  </sheetData>
  <autoFilter ref="A1:AJ1117" xr:uid="{00000000-0009-0000-0000-000004000000}"/>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G962"/>
  <sheetViews>
    <sheetView workbookViewId="0">
      <pane ySplit="1" topLeftCell="B3" activePane="bottomLeft" state="frozen"/>
      <selection pane="bottomLeft" activeCell="B3" sqref="B3"/>
    </sheetView>
  </sheetViews>
  <sheetFormatPr defaultColWidth="12.5703125" defaultRowHeight="15.75" customHeight="1"/>
  <cols>
    <col min="1" max="2" width="18.140625" customWidth="1"/>
    <col min="3" max="3" width="18.28515625" customWidth="1"/>
    <col min="4" max="4" width="17.85546875" customWidth="1"/>
    <col min="6" max="6" width="21.28515625" customWidth="1"/>
    <col min="7" max="7" width="22.5703125" customWidth="1"/>
    <col min="10" max="10" width="11.42578125" customWidth="1"/>
    <col min="11" max="11" width="14.42578125" customWidth="1"/>
    <col min="12" max="12" width="14.7109375" customWidth="1"/>
    <col min="14" max="14" width="14.140625" customWidth="1"/>
    <col min="15" max="15" width="83.7109375" customWidth="1"/>
  </cols>
  <sheetData>
    <row r="1" spans="1:33">
      <c r="A1" s="7"/>
      <c r="B1" s="7" t="s">
        <v>1696</v>
      </c>
      <c r="C1" s="8" t="s">
        <v>1813</v>
      </c>
      <c r="D1" s="9" t="s">
        <v>1698</v>
      </c>
      <c r="E1" s="10" t="s">
        <v>1699</v>
      </c>
      <c r="F1" s="2" t="s">
        <v>1814</v>
      </c>
      <c r="G1" s="2" t="s">
        <v>1815</v>
      </c>
      <c r="H1" s="14"/>
      <c r="I1" s="14" t="s">
        <v>1705</v>
      </c>
      <c r="J1" s="16" t="s">
        <v>1709</v>
      </c>
      <c r="K1" s="16" t="s">
        <v>1706</v>
      </c>
      <c r="L1" s="16" t="s">
        <v>1707</v>
      </c>
      <c r="M1" s="16" t="s">
        <v>1708</v>
      </c>
      <c r="N1" s="13" t="s">
        <v>1704</v>
      </c>
      <c r="O1" s="17" t="s">
        <v>12</v>
      </c>
      <c r="P1" s="18"/>
      <c r="Q1" s="18"/>
      <c r="R1" s="18"/>
      <c r="S1" s="18"/>
      <c r="T1" s="18"/>
      <c r="U1" s="18"/>
      <c r="V1" s="18"/>
      <c r="W1" s="18"/>
      <c r="X1" s="18"/>
      <c r="Y1" s="18"/>
      <c r="Z1" s="18"/>
      <c r="AA1" s="18"/>
      <c r="AB1" s="18"/>
      <c r="AC1" s="18"/>
      <c r="AD1" s="18"/>
      <c r="AE1" s="18"/>
      <c r="AF1" s="18"/>
      <c r="AG1" s="18"/>
    </row>
    <row r="2" spans="1:33">
      <c r="A2" s="26"/>
      <c r="B2" s="26" t="s">
        <v>1816</v>
      </c>
      <c r="C2" s="51" t="s">
        <v>99</v>
      </c>
      <c r="D2" s="49" t="s">
        <v>1817</v>
      </c>
      <c r="E2" s="50" t="s">
        <v>1817</v>
      </c>
      <c r="F2" s="26" t="s">
        <v>351</v>
      </c>
      <c r="G2" s="53" t="s">
        <v>1818</v>
      </c>
      <c r="J2" s="1" t="s">
        <v>1725</v>
      </c>
      <c r="K2" s="1" t="s">
        <v>1819</v>
      </c>
      <c r="L2" s="1" t="s">
        <v>1820</v>
      </c>
      <c r="O2" s="1" t="s">
        <v>1821</v>
      </c>
    </row>
    <row r="3" spans="1:33">
      <c r="A3" s="26"/>
      <c r="B3" s="26" t="s">
        <v>1822</v>
      </c>
      <c r="C3" s="51" t="s">
        <v>99</v>
      </c>
      <c r="D3" s="49" t="s">
        <v>1817</v>
      </c>
      <c r="E3" s="50" t="s">
        <v>1817</v>
      </c>
      <c r="F3" s="26" t="s">
        <v>1823</v>
      </c>
      <c r="G3" s="53" t="s">
        <v>1818</v>
      </c>
    </row>
    <row r="4" spans="1:33">
      <c r="A4" s="26"/>
      <c r="B4" s="26" t="s">
        <v>1824</v>
      </c>
      <c r="C4" s="51" t="s">
        <v>29</v>
      </c>
      <c r="D4" s="49" t="s">
        <v>1825</v>
      </c>
      <c r="E4" s="50"/>
      <c r="F4" s="26" t="s">
        <v>71</v>
      </c>
      <c r="G4" s="53" t="s">
        <v>31</v>
      </c>
    </row>
    <row r="5" spans="1:33">
      <c r="A5" s="26"/>
      <c r="B5" s="26" t="s">
        <v>1826</v>
      </c>
      <c r="C5" s="51"/>
      <c r="D5" s="49"/>
      <c r="E5" s="50"/>
      <c r="F5" s="26" t="s">
        <v>79</v>
      </c>
      <c r="G5" s="26"/>
    </row>
    <row r="6" spans="1:33">
      <c r="A6" s="26"/>
      <c r="B6" s="26"/>
      <c r="C6" s="51"/>
      <c r="D6" s="49"/>
      <c r="E6" s="50"/>
      <c r="F6" s="26" t="s">
        <v>1827</v>
      </c>
      <c r="G6" s="26" t="s">
        <v>80</v>
      </c>
    </row>
    <row r="7" spans="1:33">
      <c r="A7" s="26"/>
      <c r="B7" s="26" t="s">
        <v>1828</v>
      </c>
      <c r="C7" s="51" t="s">
        <v>1725</v>
      </c>
      <c r="D7" s="49"/>
      <c r="E7" s="50"/>
      <c r="F7" s="26"/>
      <c r="G7" s="26" t="s">
        <v>1829</v>
      </c>
    </row>
    <row r="8" spans="1:33">
      <c r="A8" s="26"/>
      <c r="B8" s="26" t="s">
        <v>1830</v>
      </c>
      <c r="C8" s="51"/>
      <c r="D8" s="49"/>
      <c r="E8" s="50"/>
      <c r="F8" s="26"/>
      <c r="G8" s="26" t="s">
        <v>347</v>
      </c>
    </row>
    <row r="9" spans="1:33">
      <c r="A9" s="26"/>
      <c r="B9" s="26"/>
      <c r="C9" s="51"/>
      <c r="D9" s="49"/>
      <c r="E9" s="50"/>
      <c r="F9" s="26" t="s">
        <v>1831</v>
      </c>
      <c r="G9" s="26"/>
    </row>
    <row r="10" spans="1:33">
      <c r="A10" s="26"/>
      <c r="B10" s="26"/>
      <c r="C10" s="51" t="s">
        <v>1832</v>
      </c>
      <c r="D10" s="49"/>
      <c r="E10" s="50"/>
      <c r="F10" s="26" t="s">
        <v>1831</v>
      </c>
      <c r="G10" s="26"/>
    </row>
    <row r="11" spans="1:33">
      <c r="A11" s="26"/>
      <c r="B11" s="26"/>
      <c r="C11" s="51" t="s">
        <v>98</v>
      </c>
      <c r="D11" s="49"/>
      <c r="E11" s="50"/>
      <c r="F11" s="26"/>
      <c r="G11" s="26"/>
    </row>
    <row r="12" spans="1:33">
      <c r="A12" s="26"/>
      <c r="B12" s="26"/>
      <c r="C12" s="46"/>
      <c r="D12" s="47"/>
      <c r="E12" s="54"/>
      <c r="F12" s="35"/>
      <c r="G12" s="35" t="s">
        <v>1833</v>
      </c>
    </row>
    <row r="13" spans="1:33">
      <c r="A13" s="26"/>
      <c r="B13" s="26"/>
      <c r="C13" s="46"/>
      <c r="D13" s="47" t="s">
        <v>98</v>
      </c>
      <c r="E13" s="54"/>
      <c r="F13" s="35"/>
      <c r="G13" s="35" t="s">
        <v>1833</v>
      </c>
    </row>
    <row r="14" spans="1:33">
      <c r="A14" s="26"/>
      <c r="B14" s="26"/>
      <c r="C14" s="46"/>
      <c r="D14" s="47" t="s">
        <v>1832</v>
      </c>
      <c r="E14" s="54"/>
      <c r="F14" s="35"/>
      <c r="G14" s="35" t="s">
        <v>1833</v>
      </c>
    </row>
    <row r="15" spans="1:33">
      <c r="A15" s="26"/>
      <c r="B15" s="26"/>
      <c r="C15" s="51"/>
      <c r="D15" s="49"/>
      <c r="E15" s="50"/>
      <c r="F15" s="26"/>
      <c r="G15" s="26"/>
    </row>
    <row r="16" spans="1:33">
      <c r="A16" s="26"/>
      <c r="B16" s="26"/>
      <c r="C16" s="51"/>
      <c r="D16" s="49"/>
      <c r="E16" s="50"/>
      <c r="F16" s="26"/>
      <c r="G16" s="26"/>
    </row>
    <row r="17" spans="1:8">
      <c r="A17" s="20" t="s">
        <v>1710</v>
      </c>
      <c r="B17" s="55"/>
      <c r="C17" s="46"/>
      <c r="D17" s="49"/>
      <c r="E17" s="50"/>
      <c r="F17" s="26"/>
      <c r="G17" s="26"/>
    </row>
    <row r="18" spans="1:8">
      <c r="A18" s="21" t="s">
        <v>1711</v>
      </c>
      <c r="B18" s="21" t="s">
        <v>1712</v>
      </c>
      <c r="C18" s="45" t="s">
        <v>1714</v>
      </c>
      <c r="D18" s="23" t="s">
        <v>1834</v>
      </c>
      <c r="E18" s="24" t="s">
        <v>1835</v>
      </c>
      <c r="F18" s="25" t="s">
        <v>1836</v>
      </c>
      <c r="G18" s="25" t="s">
        <v>388</v>
      </c>
      <c r="H18" s="28"/>
    </row>
    <row r="19" spans="1:8">
      <c r="A19" s="21" t="s">
        <v>1715</v>
      </c>
      <c r="B19" s="21" t="s">
        <v>1716</v>
      </c>
      <c r="C19" s="29" t="s">
        <v>1717</v>
      </c>
      <c r="D19" s="23" t="s">
        <v>23</v>
      </c>
      <c r="E19" s="24" t="s">
        <v>356</v>
      </c>
      <c r="F19" s="25" t="s">
        <v>415</v>
      </c>
      <c r="G19" s="25" t="s">
        <v>1837</v>
      </c>
      <c r="H19" s="28"/>
    </row>
    <row r="20" spans="1:8">
      <c r="A20" s="21" t="s">
        <v>1720</v>
      </c>
      <c r="B20" s="21" t="s">
        <v>603</v>
      </c>
      <c r="C20" s="29" t="s">
        <v>1838</v>
      </c>
      <c r="D20" s="23" t="s">
        <v>23</v>
      </c>
      <c r="E20" s="24" t="s">
        <v>356</v>
      </c>
      <c r="F20" s="25" t="s">
        <v>415</v>
      </c>
      <c r="G20" s="25" t="s">
        <v>1837</v>
      </c>
      <c r="H20" s="28"/>
    </row>
    <row r="21" spans="1:8">
      <c r="A21" s="21" t="s">
        <v>1722</v>
      </c>
      <c r="B21" s="21" t="s">
        <v>479</v>
      </c>
      <c r="C21" s="29" t="s">
        <v>1714</v>
      </c>
      <c r="D21" s="23" t="s">
        <v>367</v>
      </c>
      <c r="E21" s="24" t="s">
        <v>350</v>
      </c>
      <c r="F21" s="25" t="s">
        <v>396</v>
      </c>
      <c r="G21" s="25" t="s">
        <v>1839</v>
      </c>
      <c r="H21" s="28"/>
    </row>
    <row r="22" spans="1:8">
      <c r="A22" s="21" t="s">
        <v>1723</v>
      </c>
      <c r="B22" s="21" t="s">
        <v>1724</v>
      </c>
      <c r="C22" s="29"/>
      <c r="D22" s="23"/>
      <c r="E22" s="24"/>
      <c r="F22" s="25"/>
      <c r="G22" s="25"/>
      <c r="H22" s="28"/>
    </row>
    <row r="23" spans="1:8">
      <c r="A23" s="21" t="s">
        <v>1726</v>
      </c>
      <c r="B23" s="21" t="s">
        <v>488</v>
      </c>
      <c r="C23" s="29"/>
      <c r="D23" s="23"/>
      <c r="E23" s="24"/>
      <c r="F23" s="25"/>
      <c r="G23" s="25"/>
      <c r="H23" s="28"/>
    </row>
    <row r="24" spans="1:8">
      <c r="A24" s="21" t="s">
        <v>1729</v>
      </c>
      <c r="B24" s="21" t="s">
        <v>495</v>
      </c>
      <c r="C24" s="29"/>
      <c r="D24" s="23"/>
      <c r="E24" s="24"/>
      <c r="F24" s="25"/>
      <c r="G24" s="25"/>
      <c r="H24" s="28"/>
    </row>
    <row r="25" spans="1:8">
      <c r="A25" s="21" t="s">
        <v>1731</v>
      </c>
      <c r="B25" s="21" t="s">
        <v>1732</v>
      </c>
      <c r="C25" s="29"/>
      <c r="D25" s="23"/>
      <c r="E25" s="24"/>
      <c r="F25" s="25"/>
      <c r="G25" s="25"/>
      <c r="H25" s="28"/>
    </row>
    <row r="26" spans="1:8">
      <c r="A26" s="21" t="s">
        <v>1733</v>
      </c>
      <c r="B26" s="21" t="s">
        <v>455</v>
      </c>
      <c r="C26" s="29"/>
      <c r="D26" s="23"/>
      <c r="E26" s="24"/>
      <c r="F26" s="25"/>
      <c r="G26" s="25"/>
      <c r="H26" s="28"/>
    </row>
    <row r="27" spans="1:8">
      <c r="A27" s="21" t="s">
        <v>1734</v>
      </c>
      <c r="B27" s="21" t="s">
        <v>500</v>
      </c>
      <c r="C27" s="29"/>
      <c r="D27" s="23"/>
      <c r="E27" s="24"/>
      <c r="F27" s="25"/>
      <c r="G27" s="25"/>
      <c r="H27" s="28"/>
    </row>
    <row r="28" spans="1:8">
      <c r="A28" s="21" t="s">
        <v>1287</v>
      </c>
      <c r="B28" s="21" t="s">
        <v>1735</v>
      </c>
      <c r="C28" s="29"/>
      <c r="D28" s="23"/>
      <c r="E28" s="24"/>
      <c r="F28" s="25"/>
      <c r="G28" s="25"/>
      <c r="H28" s="28"/>
    </row>
    <row r="29" spans="1:8">
      <c r="A29" s="21" t="s">
        <v>504</v>
      </c>
      <c r="B29" s="21" t="s">
        <v>505</v>
      </c>
      <c r="C29" s="29"/>
      <c r="D29" s="23"/>
      <c r="E29" s="24"/>
      <c r="F29" s="25"/>
      <c r="G29" s="25"/>
      <c r="H29" s="28"/>
    </row>
    <row r="30" spans="1:8">
      <c r="A30" s="21" t="s">
        <v>510</v>
      </c>
      <c r="B30" s="21" t="s">
        <v>1736</v>
      </c>
      <c r="C30" s="29"/>
      <c r="D30" s="23"/>
      <c r="E30" s="24"/>
      <c r="F30" s="25"/>
      <c r="G30" s="25"/>
      <c r="H30" s="28"/>
    </row>
    <row r="31" spans="1:8">
      <c r="A31" s="21" t="s">
        <v>1737</v>
      </c>
      <c r="B31" s="21" t="s">
        <v>516</v>
      </c>
      <c r="C31" s="29"/>
      <c r="D31" s="23"/>
      <c r="E31" s="24"/>
      <c r="F31" s="25"/>
      <c r="G31" s="25"/>
      <c r="H31" s="28"/>
    </row>
    <row r="32" spans="1:8">
      <c r="A32" s="21" t="s">
        <v>1739</v>
      </c>
      <c r="B32" s="21" t="s">
        <v>1740</v>
      </c>
      <c r="C32" s="29"/>
      <c r="D32" s="23"/>
      <c r="E32" s="24"/>
      <c r="F32" s="25"/>
      <c r="G32" s="25"/>
      <c r="H32" s="28"/>
    </row>
    <row r="33" spans="1:8">
      <c r="A33" s="21" t="s">
        <v>1741</v>
      </c>
      <c r="B33" s="21" t="s">
        <v>1742</v>
      </c>
      <c r="C33" s="29"/>
      <c r="D33" s="23"/>
      <c r="E33" s="24"/>
      <c r="F33" s="25"/>
      <c r="G33" s="25"/>
      <c r="H33" s="28"/>
    </row>
    <row r="34" spans="1:8">
      <c r="A34" s="21" t="s">
        <v>524</v>
      </c>
      <c r="B34" s="21" t="s">
        <v>1743</v>
      </c>
      <c r="C34" s="29"/>
      <c r="D34" s="23"/>
      <c r="E34" s="24"/>
      <c r="F34" s="25"/>
      <c r="G34" s="25"/>
      <c r="H34" s="28"/>
    </row>
    <row r="35" spans="1:8">
      <c r="A35" s="21" t="s">
        <v>529</v>
      </c>
      <c r="B35" s="21" t="s">
        <v>1744</v>
      </c>
      <c r="C35" s="29"/>
      <c r="D35" s="23"/>
      <c r="E35" s="24"/>
      <c r="F35" s="25"/>
      <c r="G35" s="25"/>
      <c r="H35" s="28"/>
    </row>
    <row r="36" spans="1:8">
      <c r="A36" s="21" t="s">
        <v>535</v>
      </c>
      <c r="B36" s="21" t="s">
        <v>536</v>
      </c>
      <c r="C36" s="29"/>
      <c r="D36" s="23"/>
      <c r="E36" s="24"/>
      <c r="F36" s="25"/>
      <c r="G36" s="25"/>
      <c r="H36" s="28"/>
    </row>
    <row r="37" spans="1:8">
      <c r="A37" s="21" t="s">
        <v>539</v>
      </c>
      <c r="B37" s="21" t="s">
        <v>540</v>
      </c>
      <c r="C37" s="29"/>
      <c r="D37" s="23"/>
      <c r="E37" s="24"/>
      <c r="F37" s="25"/>
      <c r="G37" s="25"/>
      <c r="H37" s="28"/>
    </row>
    <row r="38" spans="1:8">
      <c r="A38" s="21" t="s">
        <v>470</v>
      </c>
      <c r="B38" s="21" t="s">
        <v>471</v>
      </c>
      <c r="C38" s="29"/>
      <c r="D38" s="23"/>
      <c r="E38" s="24"/>
      <c r="F38" s="25"/>
      <c r="G38" s="25"/>
      <c r="H38" s="28"/>
    </row>
    <row r="39" spans="1:8">
      <c r="A39" s="21" t="s">
        <v>1745</v>
      </c>
      <c r="B39" s="21" t="s">
        <v>1746</v>
      </c>
      <c r="C39" s="29" t="s">
        <v>1840</v>
      </c>
      <c r="D39" s="23" t="s">
        <v>1834</v>
      </c>
      <c r="E39" s="24" t="s">
        <v>350</v>
      </c>
      <c r="F39" s="25" t="s">
        <v>381</v>
      </c>
      <c r="G39" s="25" t="s">
        <v>1841</v>
      </c>
      <c r="H39" s="28"/>
    </row>
    <row r="40" spans="1:8">
      <c r="A40" s="21" t="s">
        <v>1748</v>
      </c>
      <c r="B40" s="21" t="s">
        <v>549</v>
      </c>
      <c r="C40" s="29" t="s">
        <v>1840</v>
      </c>
      <c r="D40" s="23" t="s">
        <v>1842</v>
      </c>
      <c r="E40" s="24" t="s">
        <v>350</v>
      </c>
      <c r="F40" s="25" t="s">
        <v>406</v>
      </c>
      <c r="G40" s="25" t="s">
        <v>1841</v>
      </c>
      <c r="H40" s="28"/>
    </row>
    <row r="41" spans="1:8">
      <c r="A41" s="21" t="s">
        <v>553</v>
      </c>
      <c r="B41" s="21" t="s">
        <v>554</v>
      </c>
      <c r="C41" s="29" t="s">
        <v>1840</v>
      </c>
      <c r="D41" s="23" t="s">
        <v>1834</v>
      </c>
      <c r="E41" s="24" t="s">
        <v>350</v>
      </c>
      <c r="F41" s="25" t="s">
        <v>91</v>
      </c>
      <c r="G41" s="25" t="s">
        <v>1839</v>
      </c>
      <c r="H41" s="28"/>
    </row>
    <row r="42" spans="1:8">
      <c r="A42" s="21" t="s">
        <v>1749</v>
      </c>
      <c r="B42" s="21" t="s">
        <v>568</v>
      </c>
      <c r="C42" s="29" t="s">
        <v>1840</v>
      </c>
      <c r="D42" s="23" t="s">
        <v>1834</v>
      </c>
      <c r="E42" s="24" t="s">
        <v>350</v>
      </c>
      <c r="F42" s="25" t="s">
        <v>381</v>
      </c>
      <c r="G42" s="25" t="s">
        <v>1841</v>
      </c>
      <c r="H42" s="28"/>
    </row>
    <row r="43" spans="1:8">
      <c r="A43" s="21" t="s">
        <v>647</v>
      </c>
      <c r="B43" s="21" t="s">
        <v>1750</v>
      </c>
      <c r="C43" s="29" t="s">
        <v>1840</v>
      </c>
      <c r="D43" s="23" t="s">
        <v>1842</v>
      </c>
      <c r="E43" s="24" t="s">
        <v>350</v>
      </c>
      <c r="F43" s="25" t="s">
        <v>381</v>
      </c>
      <c r="G43" s="25" t="s">
        <v>1841</v>
      </c>
      <c r="H43" s="28"/>
    </row>
    <row r="44" spans="1:8">
      <c r="A44" s="21" t="s">
        <v>1843</v>
      </c>
      <c r="B44" s="21" t="s">
        <v>1844</v>
      </c>
      <c r="C44" s="29"/>
      <c r="D44" s="23"/>
      <c r="E44" s="24"/>
      <c r="F44" s="25"/>
      <c r="G44" s="25"/>
      <c r="H44" s="28"/>
    </row>
    <row r="45" spans="1:8">
      <c r="A45" s="21" t="s">
        <v>558</v>
      </c>
      <c r="B45" s="21" t="s">
        <v>559</v>
      </c>
      <c r="C45" s="29"/>
      <c r="D45" s="23"/>
      <c r="E45" s="24"/>
      <c r="F45" s="25"/>
      <c r="G45" s="25"/>
      <c r="H45" s="28"/>
    </row>
    <row r="46" spans="1:8">
      <c r="A46" s="21" t="s">
        <v>1751</v>
      </c>
      <c r="B46" s="21" t="s">
        <v>564</v>
      </c>
      <c r="C46" s="29"/>
      <c r="D46" s="23"/>
      <c r="E46" s="24"/>
      <c r="F46" s="25"/>
      <c r="G46" s="25"/>
      <c r="H46" s="28"/>
    </row>
    <row r="47" spans="1:8">
      <c r="A47" s="21" t="s">
        <v>1752</v>
      </c>
      <c r="B47" s="21" t="s">
        <v>573</v>
      </c>
      <c r="C47" s="29"/>
      <c r="D47" s="23"/>
      <c r="E47" s="24"/>
      <c r="F47" s="25"/>
      <c r="G47" s="25"/>
      <c r="H47" s="28"/>
    </row>
    <row r="48" spans="1:8">
      <c r="A48" s="21" t="s">
        <v>577</v>
      </c>
      <c r="B48" s="21" t="s">
        <v>578</v>
      </c>
      <c r="C48" s="29"/>
      <c r="D48" s="23"/>
      <c r="E48" s="24"/>
      <c r="F48" s="25"/>
      <c r="G48" s="25"/>
      <c r="H48" s="28"/>
    </row>
    <row r="49" spans="1:8">
      <c r="A49" s="21" t="s">
        <v>582</v>
      </c>
      <c r="B49" s="21" t="s">
        <v>583</v>
      </c>
      <c r="C49" s="29"/>
      <c r="D49" s="23"/>
      <c r="E49" s="24"/>
      <c r="F49" s="25"/>
      <c r="G49" s="25"/>
      <c r="H49" s="28"/>
    </row>
    <row r="50" spans="1:8">
      <c r="A50" s="21" t="s">
        <v>586</v>
      </c>
      <c r="B50" s="21" t="s">
        <v>587</v>
      </c>
      <c r="C50" s="29"/>
      <c r="D50" s="23"/>
      <c r="E50" s="24"/>
      <c r="F50" s="25"/>
      <c r="G50" s="25"/>
      <c r="H50" s="28"/>
    </row>
    <row r="51" spans="1:8">
      <c r="A51" s="21" t="s">
        <v>590</v>
      </c>
      <c r="B51" s="21" t="s">
        <v>591</v>
      </c>
      <c r="C51" s="29"/>
      <c r="D51" s="23"/>
      <c r="E51" s="24"/>
      <c r="F51" s="25"/>
      <c r="G51" s="25"/>
      <c r="H51" s="28"/>
    </row>
    <row r="52" spans="1:8">
      <c r="A52" s="21" t="s">
        <v>667</v>
      </c>
      <c r="B52" s="21" t="s">
        <v>668</v>
      </c>
      <c r="C52" s="29"/>
      <c r="D52" s="23"/>
      <c r="E52" s="24"/>
      <c r="F52" s="25"/>
      <c r="G52" s="25"/>
      <c r="H52" s="28"/>
    </row>
    <row r="53" spans="1:8">
      <c r="A53" s="21" t="s">
        <v>593</v>
      </c>
      <c r="B53" s="21" t="s">
        <v>594</v>
      </c>
      <c r="C53" s="29"/>
      <c r="D53" s="23"/>
      <c r="E53" s="24"/>
      <c r="F53" s="25"/>
      <c r="G53" s="25"/>
      <c r="H53" s="28"/>
    </row>
    <row r="54" spans="1:8">
      <c r="A54" s="21" t="s">
        <v>464</v>
      </c>
      <c r="B54" s="21" t="s">
        <v>465</v>
      </c>
      <c r="C54" s="29"/>
      <c r="D54" s="23"/>
      <c r="E54" s="24"/>
      <c r="F54" s="25"/>
      <c r="G54" s="25"/>
      <c r="H54" s="28"/>
    </row>
    <row r="55" spans="1:8">
      <c r="A55" s="21" t="s">
        <v>1754</v>
      </c>
      <c r="B55" s="21" t="s">
        <v>632</v>
      </c>
      <c r="C55" s="29"/>
      <c r="D55" s="23"/>
      <c r="E55" s="24"/>
      <c r="F55" s="25"/>
      <c r="G55" s="25"/>
      <c r="H55" s="28"/>
    </row>
    <row r="56" spans="1:8">
      <c r="A56" s="21" t="s">
        <v>641</v>
      </c>
      <c r="B56" s="21" t="s">
        <v>642</v>
      </c>
      <c r="C56" s="29"/>
      <c r="D56" s="23"/>
      <c r="E56" s="24"/>
      <c r="F56" s="25"/>
      <c r="G56" s="25"/>
      <c r="H56" s="28"/>
    </row>
    <row r="57" spans="1:8">
      <c r="A57" s="21" t="s">
        <v>709</v>
      </c>
      <c r="B57" s="21" t="s">
        <v>710</v>
      </c>
      <c r="C57" s="29"/>
      <c r="D57" s="23"/>
      <c r="E57" s="24"/>
      <c r="F57" s="25"/>
      <c r="G57" s="25"/>
      <c r="H57" s="28"/>
    </row>
    <row r="58" spans="1:8">
      <c r="A58" s="21" t="s">
        <v>1756</v>
      </c>
      <c r="B58" s="21" t="s">
        <v>1757</v>
      </c>
      <c r="C58" s="29"/>
      <c r="D58" s="23"/>
      <c r="E58" s="24"/>
      <c r="F58" s="25"/>
      <c r="G58" s="25"/>
      <c r="H58" s="28"/>
    </row>
    <row r="59" spans="1:8">
      <c r="A59" s="21" t="s">
        <v>611</v>
      </c>
      <c r="B59" s="21" t="s">
        <v>612</v>
      </c>
      <c r="C59" s="29"/>
      <c r="D59" s="23"/>
      <c r="E59" s="24"/>
      <c r="F59" s="25"/>
      <c r="G59" s="25"/>
      <c r="H59" s="28"/>
    </row>
    <row r="60" spans="1:8">
      <c r="A60" s="21" t="s">
        <v>615</v>
      </c>
      <c r="B60" s="21" t="s">
        <v>1759</v>
      </c>
      <c r="C60" s="29"/>
      <c r="D60" s="23"/>
      <c r="E60" s="24"/>
      <c r="F60" s="25"/>
      <c r="G60" s="25"/>
      <c r="H60" s="28"/>
    </row>
    <row r="61" spans="1:8">
      <c r="A61" s="21" t="s">
        <v>619</v>
      </c>
      <c r="B61" s="21" t="s">
        <v>620</v>
      </c>
      <c r="C61" s="29"/>
      <c r="D61" s="23"/>
      <c r="E61" s="24"/>
      <c r="F61" s="25"/>
      <c r="G61" s="25"/>
      <c r="H61" s="28"/>
    </row>
    <row r="62" spans="1:8">
      <c r="A62" s="21" t="s">
        <v>623</v>
      </c>
      <c r="B62" s="21" t="s">
        <v>624</v>
      </c>
      <c r="C62" s="29"/>
      <c r="D62" s="23"/>
      <c r="E62" s="24"/>
      <c r="F62" s="25"/>
      <c r="G62" s="25"/>
      <c r="H62" s="28"/>
    </row>
    <row r="63" spans="1:8">
      <c r="A63" s="21" t="s">
        <v>627</v>
      </c>
      <c r="B63" s="21" t="s">
        <v>628</v>
      </c>
      <c r="C63" s="29"/>
      <c r="D63" s="23"/>
      <c r="E63" s="24"/>
      <c r="F63" s="25"/>
      <c r="G63" s="25"/>
      <c r="H63" s="28"/>
    </row>
    <row r="64" spans="1:8">
      <c r="A64" s="21" t="s">
        <v>684</v>
      </c>
      <c r="B64" s="21" t="s">
        <v>685</v>
      </c>
      <c r="C64" s="29"/>
      <c r="D64" s="23"/>
      <c r="E64" s="24"/>
      <c r="F64" s="25"/>
      <c r="G64" s="25"/>
      <c r="H64" s="28"/>
    </row>
    <row r="65" spans="1:33">
      <c r="A65" s="21" t="s">
        <v>688</v>
      </c>
      <c r="B65" s="21" t="s">
        <v>689</v>
      </c>
      <c r="C65" s="29"/>
      <c r="D65" s="23"/>
      <c r="E65" s="24"/>
      <c r="F65" s="25"/>
      <c r="G65" s="25"/>
      <c r="H65" s="28"/>
    </row>
    <row r="66" spans="1:33">
      <c r="A66" s="21" t="s">
        <v>652</v>
      </c>
      <c r="B66" s="21" t="s">
        <v>1760</v>
      </c>
      <c r="C66" s="29"/>
      <c r="D66" s="23"/>
      <c r="E66" s="24"/>
      <c r="F66" s="25"/>
      <c r="G66" s="25"/>
      <c r="H66" s="28"/>
    </row>
    <row r="67" spans="1:33">
      <c r="A67" s="21" t="s">
        <v>672</v>
      </c>
      <c r="B67" s="21" t="s">
        <v>673</v>
      </c>
      <c r="C67" s="29"/>
      <c r="D67" s="23" t="s">
        <v>1845</v>
      </c>
      <c r="E67" s="24" t="s">
        <v>1835</v>
      </c>
      <c r="F67" s="25" t="s">
        <v>80</v>
      </c>
      <c r="G67" s="25" t="s">
        <v>1839</v>
      </c>
      <c r="H67" s="28"/>
    </row>
    <row r="68" spans="1:33">
      <c r="A68" s="21" t="s">
        <v>676</v>
      </c>
      <c r="B68" s="21" t="s">
        <v>1761</v>
      </c>
      <c r="C68" s="29"/>
      <c r="D68" s="23" t="s">
        <v>1845</v>
      </c>
      <c r="E68" s="24" t="s">
        <v>1835</v>
      </c>
      <c r="F68" s="25" t="s">
        <v>80</v>
      </c>
      <c r="G68" s="25" t="s">
        <v>1839</v>
      </c>
      <c r="H68" s="28"/>
    </row>
    <row r="69" spans="1:33">
      <c r="A69" s="21" t="s">
        <v>679</v>
      </c>
      <c r="B69" s="21" t="s">
        <v>680</v>
      </c>
      <c r="C69" s="29"/>
      <c r="D69" s="23" t="s">
        <v>1845</v>
      </c>
      <c r="E69" s="24" t="s">
        <v>1835</v>
      </c>
      <c r="F69" s="25" t="s">
        <v>80</v>
      </c>
      <c r="G69" s="25" t="s">
        <v>1839</v>
      </c>
      <c r="H69" s="28"/>
    </row>
    <row r="70" spans="1:33">
      <c r="A70" s="21" t="s">
        <v>692</v>
      </c>
      <c r="B70" s="21" t="s">
        <v>1762</v>
      </c>
      <c r="C70" s="29"/>
      <c r="D70" s="23" t="s">
        <v>1845</v>
      </c>
      <c r="E70" s="24" t="s">
        <v>1835</v>
      </c>
      <c r="F70" s="25" t="s">
        <v>1846</v>
      </c>
      <c r="G70" s="25" t="s">
        <v>1839</v>
      </c>
      <c r="H70" s="28"/>
    </row>
    <row r="71" spans="1:33">
      <c r="A71" s="21" t="s">
        <v>697</v>
      </c>
      <c r="B71" s="21" t="s">
        <v>698</v>
      </c>
      <c r="C71" s="29"/>
      <c r="D71" s="23" t="s">
        <v>1845</v>
      </c>
      <c r="E71" s="24" t="s">
        <v>1835</v>
      </c>
      <c r="F71" s="25" t="s">
        <v>80</v>
      </c>
      <c r="G71" s="25" t="s">
        <v>1839</v>
      </c>
      <c r="H71" s="28"/>
    </row>
    <row r="72" spans="1:33">
      <c r="A72" s="21" t="s">
        <v>705</v>
      </c>
      <c r="B72" s="21" t="s">
        <v>706</v>
      </c>
      <c r="C72" s="29"/>
      <c r="D72" s="23"/>
      <c r="E72" s="24"/>
      <c r="F72" s="25"/>
      <c r="G72" s="25"/>
      <c r="H72" s="28"/>
    </row>
    <row r="73" spans="1:33">
      <c r="A73" s="21" t="s">
        <v>701</v>
      </c>
      <c r="B73" s="21" t="s">
        <v>702</v>
      </c>
      <c r="C73" s="29"/>
      <c r="D73" s="23"/>
      <c r="E73" s="24"/>
      <c r="F73" s="25"/>
      <c r="G73" s="25"/>
      <c r="H73" s="28"/>
      <c r="I73" s="28"/>
      <c r="J73" s="28"/>
      <c r="K73" s="28"/>
      <c r="L73" s="28"/>
      <c r="M73" s="28"/>
    </row>
    <row r="74" spans="1:33">
      <c r="A74" s="21" t="s">
        <v>1763</v>
      </c>
      <c r="B74" s="21" t="s">
        <v>745</v>
      </c>
      <c r="C74" s="29"/>
      <c r="D74" s="23"/>
      <c r="E74" s="24"/>
      <c r="F74" s="21"/>
      <c r="G74" s="21"/>
      <c r="H74" s="28"/>
      <c r="I74" s="28"/>
      <c r="J74" s="28"/>
      <c r="K74" s="28"/>
      <c r="L74" s="28"/>
      <c r="M74" s="28"/>
      <c r="N74" s="5"/>
      <c r="O74" s="5"/>
      <c r="P74" s="5"/>
      <c r="Q74" s="5"/>
      <c r="R74" s="5"/>
      <c r="S74" s="5"/>
      <c r="T74" s="5"/>
      <c r="U74" s="5"/>
      <c r="V74" s="5"/>
      <c r="W74" s="5"/>
      <c r="X74" s="5"/>
      <c r="Y74" s="5"/>
      <c r="Z74" s="5"/>
      <c r="AA74" s="5"/>
      <c r="AB74" s="5"/>
      <c r="AC74" s="5"/>
      <c r="AD74" s="5"/>
      <c r="AE74" s="5"/>
      <c r="AF74" s="5"/>
      <c r="AG74" s="5"/>
    </row>
    <row r="75" spans="1:33">
      <c r="A75" s="21" t="s">
        <v>739</v>
      </c>
      <c r="B75" s="21" t="s">
        <v>740</v>
      </c>
      <c r="C75" s="29"/>
      <c r="D75" s="23"/>
      <c r="E75" s="24"/>
      <c r="F75" s="21"/>
      <c r="G75" s="21"/>
      <c r="H75" s="28"/>
      <c r="I75" s="28"/>
      <c r="J75" s="28"/>
      <c r="K75" s="28"/>
      <c r="L75" s="28"/>
      <c r="M75" s="28"/>
      <c r="N75" s="5"/>
      <c r="O75" s="5"/>
      <c r="P75" s="5"/>
      <c r="Q75" s="5"/>
      <c r="R75" s="5"/>
      <c r="S75" s="5"/>
      <c r="T75" s="5"/>
      <c r="U75" s="5"/>
      <c r="V75" s="5"/>
      <c r="W75" s="5"/>
      <c r="X75" s="5"/>
      <c r="Y75" s="5"/>
      <c r="Z75" s="5"/>
      <c r="AA75" s="5"/>
      <c r="AB75" s="5"/>
      <c r="AC75" s="5"/>
      <c r="AD75" s="5"/>
      <c r="AE75" s="5"/>
      <c r="AF75" s="5"/>
      <c r="AG75" s="5"/>
    </row>
    <row r="76" spans="1:33">
      <c r="A76" s="21" t="s">
        <v>748</v>
      </c>
      <c r="B76" s="21" t="s">
        <v>749</v>
      </c>
      <c r="C76" s="29"/>
      <c r="D76" s="23"/>
      <c r="E76" s="24"/>
      <c r="F76" s="21"/>
      <c r="G76" s="21"/>
      <c r="H76" s="28"/>
      <c r="I76" s="28"/>
      <c r="J76" s="28"/>
      <c r="K76" s="28"/>
      <c r="L76" s="28"/>
      <c r="M76" s="28"/>
      <c r="N76" s="5"/>
      <c r="O76" s="5"/>
      <c r="P76" s="5"/>
      <c r="Q76" s="5"/>
      <c r="R76" s="5"/>
      <c r="S76" s="5"/>
      <c r="T76" s="5"/>
      <c r="U76" s="5"/>
      <c r="V76" s="5"/>
      <c r="W76" s="5"/>
      <c r="X76" s="5"/>
      <c r="Y76" s="5"/>
      <c r="Z76" s="5"/>
      <c r="AA76" s="5"/>
      <c r="AB76" s="5"/>
      <c r="AC76" s="5"/>
      <c r="AD76" s="5"/>
      <c r="AE76" s="5"/>
      <c r="AF76" s="5"/>
      <c r="AG76" s="5"/>
    </row>
    <row r="77" spans="1:33">
      <c r="A77" s="21" t="s">
        <v>753</v>
      </c>
      <c r="B77" s="21" t="s">
        <v>754</v>
      </c>
      <c r="C77" s="29"/>
      <c r="D77" s="23" t="s">
        <v>1845</v>
      </c>
      <c r="E77" s="24" t="s">
        <v>1835</v>
      </c>
      <c r="F77" s="25" t="s">
        <v>80</v>
      </c>
      <c r="G77" s="25" t="s">
        <v>1847</v>
      </c>
      <c r="H77" s="28"/>
      <c r="I77" s="28"/>
      <c r="J77" s="28"/>
      <c r="K77" s="28"/>
      <c r="L77" s="28"/>
      <c r="M77" s="28"/>
      <c r="N77" s="5"/>
      <c r="O77" s="5"/>
      <c r="P77" s="5"/>
      <c r="Q77" s="5"/>
      <c r="R77" s="5"/>
      <c r="S77" s="5"/>
      <c r="T77" s="5"/>
      <c r="U77" s="5"/>
      <c r="V77" s="5"/>
      <c r="W77" s="5"/>
      <c r="X77" s="5"/>
      <c r="Y77" s="5"/>
      <c r="Z77" s="5"/>
      <c r="AA77" s="5"/>
      <c r="AB77" s="5"/>
      <c r="AC77" s="5"/>
      <c r="AD77" s="5"/>
      <c r="AE77" s="5"/>
      <c r="AF77" s="5"/>
      <c r="AG77" s="5"/>
    </row>
    <row r="78" spans="1:33">
      <c r="A78" s="21" t="s">
        <v>758</v>
      </c>
      <c r="B78" s="21" t="s">
        <v>759</v>
      </c>
      <c r="C78" s="29"/>
      <c r="D78" s="23" t="s">
        <v>1845</v>
      </c>
      <c r="E78" s="24" t="s">
        <v>1835</v>
      </c>
      <c r="F78" s="25" t="s">
        <v>80</v>
      </c>
      <c r="G78" s="25" t="s">
        <v>1847</v>
      </c>
      <c r="H78" s="28"/>
      <c r="I78" s="28"/>
      <c r="J78" s="28"/>
      <c r="K78" s="28"/>
      <c r="L78" s="28"/>
      <c r="M78" s="28"/>
    </row>
    <row r="79" spans="1:33">
      <c r="A79" s="21" t="s">
        <v>801</v>
      </c>
      <c r="B79" s="21" t="s">
        <v>802</v>
      </c>
      <c r="C79" s="29"/>
      <c r="D79" s="23" t="s">
        <v>1845</v>
      </c>
      <c r="E79" s="24" t="s">
        <v>1835</v>
      </c>
      <c r="F79" s="25" t="s">
        <v>80</v>
      </c>
      <c r="G79" s="25" t="s">
        <v>1841</v>
      </c>
      <c r="H79" s="28"/>
      <c r="I79" s="28"/>
      <c r="J79" s="28"/>
      <c r="K79" s="28"/>
      <c r="L79" s="28"/>
      <c r="M79" s="28"/>
    </row>
    <row r="80" spans="1:33">
      <c r="A80" s="21" t="s">
        <v>797</v>
      </c>
      <c r="B80" s="21" t="s">
        <v>798</v>
      </c>
      <c r="C80" s="29"/>
      <c r="D80" s="23" t="s">
        <v>1845</v>
      </c>
      <c r="E80" s="24" t="s">
        <v>1835</v>
      </c>
      <c r="F80" s="25" t="s">
        <v>80</v>
      </c>
      <c r="G80" s="25" t="s">
        <v>1841</v>
      </c>
      <c r="H80" s="28"/>
    </row>
    <row r="81" spans="1:8">
      <c r="A81" s="21" t="s">
        <v>1764</v>
      </c>
      <c r="B81" s="21" t="s">
        <v>793</v>
      </c>
      <c r="C81" s="29"/>
      <c r="D81" s="23" t="s">
        <v>1845</v>
      </c>
      <c r="E81" s="24" t="s">
        <v>1835</v>
      </c>
      <c r="F81" s="25" t="s">
        <v>80</v>
      </c>
      <c r="G81" s="25" t="s">
        <v>1841</v>
      </c>
      <c r="H81" s="28"/>
    </row>
    <row r="82" spans="1:8">
      <c r="A82" s="21" t="s">
        <v>787</v>
      </c>
      <c r="B82" s="21" t="s">
        <v>788</v>
      </c>
      <c r="C82" s="29"/>
      <c r="D82" s="23"/>
      <c r="E82" s="24"/>
      <c r="F82" s="25"/>
      <c r="G82" s="25"/>
      <c r="H82" s="28"/>
    </row>
    <row r="83" spans="1:8">
      <c r="A83" s="21" t="s">
        <v>782</v>
      </c>
      <c r="B83" s="21" t="s">
        <v>783</v>
      </c>
      <c r="C83" s="29"/>
      <c r="D83" s="23"/>
      <c r="E83" s="24"/>
      <c r="F83" s="21"/>
      <c r="G83" s="25"/>
      <c r="H83" s="28"/>
    </row>
    <row r="84" spans="1:8">
      <c r="A84" s="21" t="s">
        <v>734</v>
      </c>
      <c r="B84" s="21" t="s">
        <v>1765</v>
      </c>
      <c r="C84" s="29"/>
      <c r="D84" s="23"/>
      <c r="E84" s="24"/>
      <c r="F84" s="21"/>
      <c r="G84" s="25"/>
      <c r="H84" s="28"/>
    </row>
    <row r="85" spans="1:8">
      <c r="A85" s="21" t="s">
        <v>809</v>
      </c>
      <c r="B85" s="21" t="s">
        <v>1766</v>
      </c>
      <c r="C85" s="29"/>
      <c r="D85" s="23"/>
      <c r="E85" s="24"/>
      <c r="F85" s="21"/>
      <c r="G85" s="25"/>
      <c r="H85" s="28"/>
    </row>
    <row r="86" spans="1:8">
      <c r="A86" s="21" t="s">
        <v>805</v>
      </c>
      <c r="B86" s="21" t="s">
        <v>1767</v>
      </c>
      <c r="C86" s="29"/>
      <c r="D86" s="23"/>
      <c r="E86" s="24"/>
      <c r="F86" s="21"/>
      <c r="G86" s="25"/>
      <c r="H86" s="28"/>
    </row>
    <row r="87" spans="1:8">
      <c r="A87" s="21" t="s">
        <v>713</v>
      </c>
      <c r="B87" s="21" t="s">
        <v>714</v>
      </c>
      <c r="C87" s="29"/>
      <c r="D87" s="23"/>
      <c r="E87" s="24"/>
      <c r="F87" s="21"/>
      <c r="G87" s="25"/>
      <c r="H87" s="28"/>
    </row>
    <row r="88" spans="1:8">
      <c r="A88" s="21" t="s">
        <v>717</v>
      </c>
      <c r="B88" s="21" t="s">
        <v>718</v>
      </c>
      <c r="C88" s="29"/>
      <c r="D88" s="23"/>
      <c r="E88" s="24"/>
      <c r="F88" s="25"/>
      <c r="G88" s="25"/>
      <c r="H88" s="28"/>
    </row>
    <row r="89" spans="1:8">
      <c r="A89" s="21" t="s">
        <v>721</v>
      </c>
      <c r="B89" s="21" t="s">
        <v>722</v>
      </c>
      <c r="C89" s="29"/>
      <c r="D89" s="23"/>
      <c r="E89" s="24"/>
      <c r="F89" s="25"/>
      <c r="G89" s="25"/>
      <c r="H89" s="28"/>
    </row>
    <row r="90" spans="1:8">
      <c r="A90" s="21" t="s">
        <v>657</v>
      </c>
      <c r="B90" s="21" t="s">
        <v>658</v>
      </c>
      <c r="C90" s="29"/>
      <c r="D90" s="23"/>
      <c r="E90" s="24"/>
      <c r="F90" s="25"/>
      <c r="G90" s="25"/>
      <c r="H90" s="28"/>
    </row>
    <row r="91" spans="1:8">
      <c r="A91" s="21" t="s">
        <v>778</v>
      </c>
      <c r="B91" s="21" t="s">
        <v>779</v>
      </c>
      <c r="C91" s="29" t="s">
        <v>99</v>
      </c>
      <c r="D91" s="23" t="s">
        <v>1848</v>
      </c>
      <c r="E91" s="24" t="s">
        <v>1835</v>
      </c>
      <c r="F91" s="25" t="s">
        <v>402</v>
      </c>
      <c r="G91" s="25" t="s">
        <v>1839</v>
      </c>
      <c r="H91" s="28"/>
    </row>
    <row r="92" spans="1:8">
      <c r="A92" s="21" t="s">
        <v>774</v>
      </c>
      <c r="B92" s="21" t="s">
        <v>775</v>
      </c>
      <c r="C92" s="29" t="s">
        <v>99</v>
      </c>
      <c r="D92" s="23" t="s">
        <v>1848</v>
      </c>
      <c r="E92" s="24" t="s">
        <v>1835</v>
      </c>
      <c r="F92" s="25" t="s">
        <v>402</v>
      </c>
      <c r="G92" s="25" t="s">
        <v>1841</v>
      </c>
      <c r="H92" s="28"/>
    </row>
    <row r="93" spans="1:8">
      <c r="A93" s="21" t="s">
        <v>770</v>
      </c>
      <c r="B93" s="21" t="s">
        <v>1768</v>
      </c>
      <c r="C93" s="29" t="s">
        <v>99</v>
      </c>
      <c r="D93" s="23" t="s">
        <v>1848</v>
      </c>
      <c r="E93" s="24" t="s">
        <v>1835</v>
      </c>
      <c r="F93" s="25" t="s">
        <v>402</v>
      </c>
      <c r="G93" s="25" t="s">
        <v>388</v>
      </c>
      <c r="H93" s="28"/>
    </row>
    <row r="94" spans="1:8">
      <c r="A94" s="21" t="s">
        <v>766</v>
      </c>
      <c r="B94" s="21" t="s">
        <v>767</v>
      </c>
      <c r="C94" s="29" t="s">
        <v>99</v>
      </c>
      <c r="D94" s="23" t="s">
        <v>1848</v>
      </c>
      <c r="E94" s="24" t="s">
        <v>1835</v>
      </c>
      <c r="F94" s="25" t="s">
        <v>402</v>
      </c>
      <c r="G94" s="25" t="s">
        <v>1837</v>
      </c>
      <c r="H94" s="28"/>
    </row>
    <row r="95" spans="1:8">
      <c r="A95" s="21" t="s">
        <v>761</v>
      </c>
      <c r="B95" s="21" t="s">
        <v>762</v>
      </c>
      <c r="C95" s="29" t="s">
        <v>99</v>
      </c>
      <c r="D95" s="23" t="s">
        <v>1848</v>
      </c>
      <c r="E95" s="24" t="s">
        <v>1835</v>
      </c>
      <c r="F95" s="25" t="s">
        <v>402</v>
      </c>
      <c r="G95" s="25" t="s">
        <v>1841</v>
      </c>
      <c r="H95" s="28"/>
    </row>
    <row r="96" spans="1:8">
      <c r="A96" s="37" t="s">
        <v>1769</v>
      </c>
      <c r="B96" s="21"/>
      <c r="C96" s="29"/>
      <c r="D96" s="23"/>
      <c r="E96" s="24"/>
      <c r="F96" s="25"/>
      <c r="G96" s="25"/>
      <c r="H96" s="28"/>
    </row>
    <row r="97" spans="1:8">
      <c r="A97" s="21" t="s">
        <v>850</v>
      </c>
      <c r="B97" s="21" t="s">
        <v>851</v>
      </c>
      <c r="C97" s="29" t="s">
        <v>1714</v>
      </c>
      <c r="D97" s="23" t="s">
        <v>1849</v>
      </c>
      <c r="E97" s="24" t="s">
        <v>1835</v>
      </c>
      <c r="F97" s="25" t="s">
        <v>387</v>
      </c>
      <c r="G97" s="25" t="s">
        <v>1839</v>
      </c>
      <c r="H97" s="28"/>
    </row>
    <row r="98" spans="1:8">
      <c r="A98" s="21" t="s">
        <v>859</v>
      </c>
      <c r="B98" s="21" t="s">
        <v>860</v>
      </c>
      <c r="C98" s="29" t="s">
        <v>1714</v>
      </c>
      <c r="D98" s="23" t="s">
        <v>1849</v>
      </c>
      <c r="E98" s="24" t="s">
        <v>1835</v>
      </c>
      <c r="F98" s="25" t="s">
        <v>387</v>
      </c>
      <c r="G98" s="25" t="s">
        <v>1841</v>
      </c>
      <c r="H98" s="28"/>
    </row>
    <row r="99" spans="1:8">
      <c r="A99" s="21" t="s">
        <v>866</v>
      </c>
      <c r="B99" s="21" t="s">
        <v>867</v>
      </c>
      <c r="C99" s="29" t="s">
        <v>1714</v>
      </c>
      <c r="D99" s="23" t="s">
        <v>1849</v>
      </c>
      <c r="E99" s="24" t="s">
        <v>1835</v>
      </c>
      <c r="F99" s="25" t="s">
        <v>1850</v>
      </c>
      <c r="G99" s="25" t="s">
        <v>1837</v>
      </c>
      <c r="H99" s="28"/>
    </row>
    <row r="100" spans="1:8">
      <c r="A100" s="21" t="s">
        <v>844</v>
      </c>
      <c r="B100" s="21" t="s">
        <v>1770</v>
      </c>
      <c r="C100" s="29" t="s">
        <v>99</v>
      </c>
      <c r="D100" s="23" t="s">
        <v>1849</v>
      </c>
      <c r="E100" s="24" t="s">
        <v>1835</v>
      </c>
      <c r="F100" s="25" t="s">
        <v>1851</v>
      </c>
      <c r="G100" s="25" t="s">
        <v>1852</v>
      </c>
      <c r="H100" s="28"/>
    </row>
    <row r="101" spans="1:8">
      <c r="A101" s="21" t="s">
        <v>1853</v>
      </c>
      <c r="B101" s="21" t="s">
        <v>1771</v>
      </c>
      <c r="C101" s="29" t="s">
        <v>1714</v>
      </c>
      <c r="D101" s="38" t="s">
        <v>1854</v>
      </c>
      <c r="E101" s="48" t="s">
        <v>1835</v>
      </c>
      <c r="F101" s="21" t="s">
        <v>384</v>
      </c>
      <c r="G101" s="21" t="s">
        <v>1855</v>
      </c>
      <c r="H101" s="28"/>
    </row>
    <row r="102" spans="1:8">
      <c r="A102" s="21" t="s">
        <v>1856</v>
      </c>
      <c r="B102" s="21" t="s">
        <v>1857</v>
      </c>
      <c r="C102" s="29" t="s">
        <v>1714</v>
      </c>
      <c r="D102" s="23" t="s">
        <v>1854</v>
      </c>
      <c r="E102" s="24" t="s">
        <v>1835</v>
      </c>
      <c r="F102" s="25" t="s">
        <v>96</v>
      </c>
      <c r="G102" s="25" t="s">
        <v>1855</v>
      </c>
      <c r="H102" s="28"/>
    </row>
    <row r="103" spans="1:8">
      <c r="A103" s="21" t="s">
        <v>474</v>
      </c>
      <c r="B103" s="21" t="s">
        <v>1772</v>
      </c>
      <c r="C103" s="29"/>
      <c r="D103" s="23"/>
      <c r="E103" s="24"/>
      <c r="F103" s="25"/>
      <c r="G103" s="25"/>
      <c r="H103" s="28"/>
    </row>
    <row r="104" spans="1:8">
      <c r="A104" s="21" t="s">
        <v>824</v>
      </c>
      <c r="B104" s="21" t="s">
        <v>825</v>
      </c>
      <c r="C104" s="29"/>
      <c r="D104" s="23"/>
      <c r="E104" s="24"/>
      <c r="F104" s="25"/>
      <c r="G104" s="25"/>
      <c r="H104" s="28"/>
    </row>
    <row r="105" spans="1:8">
      <c r="A105" s="21" t="s">
        <v>829</v>
      </c>
      <c r="B105" s="21" t="s">
        <v>830</v>
      </c>
      <c r="C105" s="29"/>
      <c r="D105" s="23"/>
      <c r="E105" s="24"/>
      <c r="F105" s="25"/>
      <c r="G105" s="25"/>
      <c r="H105" s="28"/>
    </row>
    <row r="106" spans="1:8">
      <c r="A106" s="21" t="s">
        <v>833</v>
      </c>
      <c r="B106" s="21" t="s">
        <v>834</v>
      </c>
      <c r="C106" s="29"/>
      <c r="D106" s="23"/>
      <c r="E106" s="24"/>
      <c r="F106" s="25"/>
      <c r="G106" s="25"/>
      <c r="H106" s="28"/>
    </row>
    <row r="107" spans="1:8">
      <c r="A107" s="21" t="s">
        <v>1858</v>
      </c>
      <c r="B107" s="21" t="s">
        <v>1859</v>
      </c>
      <c r="C107" s="29"/>
      <c r="D107" s="23"/>
      <c r="E107" s="24"/>
      <c r="F107" s="25"/>
      <c r="G107" s="25"/>
      <c r="H107" s="28"/>
    </row>
    <row r="108" spans="1:8">
      <c r="A108" s="21" t="s">
        <v>1860</v>
      </c>
      <c r="B108" s="21" t="s">
        <v>1861</v>
      </c>
      <c r="C108" s="29"/>
      <c r="D108" s="23"/>
      <c r="E108" s="24"/>
      <c r="F108" s="25"/>
      <c r="G108" s="25"/>
      <c r="H108" s="28"/>
    </row>
    <row r="109" spans="1:8">
      <c r="A109" s="21" t="s">
        <v>1862</v>
      </c>
      <c r="B109" s="21" t="s">
        <v>1863</v>
      </c>
      <c r="C109" s="29"/>
      <c r="D109" s="23"/>
      <c r="E109" s="24"/>
      <c r="F109" s="25"/>
      <c r="G109" s="25"/>
      <c r="H109" s="28"/>
    </row>
    <row r="110" spans="1:8">
      <c r="A110" s="21" t="s">
        <v>1864</v>
      </c>
      <c r="B110" s="21" t="s">
        <v>1865</v>
      </c>
      <c r="C110" s="29"/>
      <c r="D110" s="23"/>
      <c r="E110" s="24"/>
      <c r="F110" s="25"/>
      <c r="G110" s="25"/>
      <c r="H110" s="28"/>
    </row>
    <row r="111" spans="1:8">
      <c r="A111" s="21" t="s">
        <v>1866</v>
      </c>
      <c r="B111" s="21" t="s">
        <v>1867</v>
      </c>
      <c r="C111" s="29"/>
      <c r="D111" s="23"/>
      <c r="E111" s="24"/>
      <c r="F111" s="25"/>
      <c r="G111" s="25"/>
      <c r="H111" s="28"/>
    </row>
    <row r="112" spans="1:8">
      <c r="A112" s="39" t="s">
        <v>1774</v>
      </c>
      <c r="B112" s="21"/>
      <c r="C112" s="29"/>
      <c r="D112" s="23"/>
      <c r="E112" s="24"/>
      <c r="F112" s="25"/>
      <c r="G112" s="25"/>
      <c r="H112" s="28"/>
    </row>
    <row r="113" spans="1:8">
      <c r="A113" s="21" t="s">
        <v>1868</v>
      </c>
      <c r="B113" s="21" t="s">
        <v>1349</v>
      </c>
      <c r="C113" s="29"/>
      <c r="D113" s="23" t="s">
        <v>1869</v>
      </c>
      <c r="E113" s="24" t="s">
        <v>1835</v>
      </c>
      <c r="F113" s="25" t="s">
        <v>80</v>
      </c>
      <c r="G113" s="25" t="s">
        <v>1870</v>
      </c>
      <c r="H113" s="28"/>
    </row>
    <row r="114" spans="1:8">
      <c r="A114" s="21" t="s">
        <v>1871</v>
      </c>
      <c r="B114" s="21" t="s">
        <v>1872</v>
      </c>
      <c r="C114" s="29" t="s">
        <v>1714</v>
      </c>
      <c r="D114" s="23" t="s">
        <v>1873</v>
      </c>
      <c r="E114" s="24" t="s">
        <v>1835</v>
      </c>
      <c r="F114" s="25" t="s">
        <v>1874</v>
      </c>
      <c r="G114" s="25" t="s">
        <v>1841</v>
      </c>
      <c r="H114" s="28"/>
    </row>
    <row r="115" spans="1:8">
      <c r="A115" s="21" t="s">
        <v>935</v>
      </c>
      <c r="B115" s="21" t="s">
        <v>936</v>
      </c>
      <c r="C115" s="29"/>
      <c r="D115" s="23" t="s">
        <v>1845</v>
      </c>
      <c r="E115" s="24" t="s">
        <v>1835</v>
      </c>
      <c r="F115" s="25" t="s">
        <v>379</v>
      </c>
      <c r="G115" s="25" t="s">
        <v>1839</v>
      </c>
      <c r="H115" s="28"/>
    </row>
    <row r="116" spans="1:8">
      <c r="A116" s="21" t="s">
        <v>1875</v>
      </c>
      <c r="B116" s="21" t="s">
        <v>1351</v>
      </c>
      <c r="C116" s="29"/>
      <c r="D116" s="23" t="s">
        <v>1869</v>
      </c>
      <c r="E116" s="24" t="s">
        <v>1835</v>
      </c>
      <c r="F116" s="25" t="s">
        <v>1876</v>
      </c>
      <c r="G116" s="25" t="s">
        <v>1852</v>
      </c>
      <c r="H116" s="28"/>
    </row>
    <row r="117" spans="1:8">
      <c r="A117" s="21" t="s">
        <v>906</v>
      </c>
      <c r="B117" s="21" t="s">
        <v>918</v>
      </c>
      <c r="C117" s="29" t="s">
        <v>1714</v>
      </c>
      <c r="D117" s="23" t="s">
        <v>30</v>
      </c>
      <c r="E117" s="24" t="s">
        <v>356</v>
      </c>
      <c r="F117" s="25" t="s">
        <v>86</v>
      </c>
      <c r="G117" s="25" t="s">
        <v>1877</v>
      </c>
      <c r="H117" s="28"/>
    </row>
    <row r="118" spans="1:8">
      <c r="A118" s="21" t="s">
        <v>1362</v>
      </c>
      <c r="B118" s="21" t="s">
        <v>1878</v>
      </c>
      <c r="C118" s="29"/>
      <c r="D118" s="23"/>
      <c r="E118" s="24"/>
      <c r="F118" s="25"/>
      <c r="G118" s="25"/>
      <c r="H118" s="28"/>
    </row>
    <row r="119" spans="1:8">
      <c r="A119" s="21" t="s">
        <v>943</v>
      </c>
      <c r="B119" s="21" t="s">
        <v>1775</v>
      </c>
      <c r="C119" s="29"/>
      <c r="D119" s="23"/>
      <c r="E119" s="24"/>
      <c r="F119" s="25"/>
      <c r="G119" s="25"/>
      <c r="H119" s="28"/>
    </row>
    <row r="120" spans="1:8">
      <c r="A120" s="21" t="s">
        <v>947</v>
      </c>
      <c r="B120" s="21" t="s">
        <v>948</v>
      </c>
      <c r="C120" s="29"/>
      <c r="D120" s="23"/>
      <c r="E120" s="24"/>
      <c r="F120" s="25"/>
      <c r="G120" s="25"/>
      <c r="H120" s="28"/>
    </row>
    <row r="121" spans="1:8">
      <c r="A121" s="21" t="s">
        <v>1879</v>
      </c>
      <c r="B121" s="21" t="s">
        <v>1880</v>
      </c>
      <c r="C121" s="29"/>
      <c r="D121" s="23"/>
      <c r="E121" s="24"/>
      <c r="F121" s="25"/>
      <c r="G121" s="25"/>
      <c r="H121" s="28"/>
    </row>
    <row r="122" spans="1:8">
      <c r="A122" s="21" t="s">
        <v>955</v>
      </c>
      <c r="B122" s="21" t="s">
        <v>1433</v>
      </c>
      <c r="C122" s="29"/>
      <c r="D122" s="23"/>
      <c r="E122" s="24"/>
      <c r="F122" s="25"/>
      <c r="G122" s="25"/>
      <c r="H122" s="28"/>
    </row>
    <row r="123" spans="1:8">
      <c r="A123" s="21" t="s">
        <v>960</v>
      </c>
      <c r="B123" s="21" t="s">
        <v>961</v>
      </c>
      <c r="C123" s="29"/>
      <c r="D123" s="23"/>
      <c r="E123" s="24"/>
      <c r="F123" s="25"/>
      <c r="G123" s="25"/>
      <c r="H123" s="28"/>
    </row>
    <row r="124" spans="1:8">
      <c r="A124" s="21" t="s">
        <v>920</v>
      </c>
      <c r="B124" s="21" t="s">
        <v>921</v>
      </c>
      <c r="C124" s="29"/>
      <c r="D124" s="23"/>
      <c r="E124" s="24"/>
      <c r="F124" s="25"/>
      <c r="G124" s="25"/>
      <c r="H124" s="28"/>
    </row>
    <row r="125" spans="1:8">
      <c r="A125" s="21" t="s">
        <v>966</v>
      </c>
      <c r="B125" s="21" t="s">
        <v>967</v>
      </c>
      <c r="C125" s="29"/>
      <c r="D125" s="23"/>
      <c r="E125" s="24"/>
      <c r="F125" s="25"/>
      <c r="G125" s="25"/>
      <c r="H125" s="28"/>
    </row>
    <row r="126" spans="1:8">
      <c r="A126" s="21" t="s">
        <v>924</v>
      </c>
      <c r="B126" s="21" t="s">
        <v>1881</v>
      </c>
      <c r="C126" s="29"/>
      <c r="D126" s="23"/>
      <c r="E126" s="24"/>
      <c r="F126" s="25"/>
      <c r="G126" s="25"/>
      <c r="H126" s="28"/>
    </row>
    <row r="127" spans="1:8">
      <c r="A127" s="21" t="s">
        <v>1882</v>
      </c>
      <c r="B127" s="21" t="s">
        <v>1883</v>
      </c>
      <c r="C127" s="29"/>
      <c r="D127" s="23"/>
      <c r="E127" s="24"/>
      <c r="F127" s="25"/>
      <c r="G127" s="25"/>
      <c r="H127" s="28"/>
    </row>
    <row r="128" spans="1:8">
      <c r="A128" s="21" t="s">
        <v>1884</v>
      </c>
      <c r="B128" s="21" t="s">
        <v>889</v>
      </c>
      <c r="C128" s="29"/>
      <c r="D128" s="23"/>
      <c r="E128" s="24"/>
      <c r="F128" s="25"/>
      <c r="G128" s="25"/>
      <c r="H128" s="28"/>
    </row>
    <row r="129" spans="1:8">
      <c r="A129" s="21" t="s">
        <v>975</v>
      </c>
      <c r="B129" s="21" t="s">
        <v>1778</v>
      </c>
      <c r="C129" s="29"/>
      <c r="D129" s="23"/>
      <c r="E129" s="24"/>
      <c r="F129" s="25"/>
      <c r="G129" s="25"/>
      <c r="H129" s="28"/>
    </row>
    <row r="130" spans="1:8">
      <c r="A130" s="21" t="s">
        <v>983</v>
      </c>
      <c r="B130" s="21" t="s">
        <v>984</v>
      </c>
      <c r="C130" s="29"/>
      <c r="D130" s="23"/>
      <c r="E130" s="24"/>
      <c r="F130" s="25"/>
      <c r="G130" s="25"/>
      <c r="H130" s="28"/>
    </row>
    <row r="131" spans="1:8">
      <c r="A131" s="21" t="s">
        <v>988</v>
      </c>
      <c r="B131" s="21" t="s">
        <v>989</v>
      </c>
      <c r="C131" s="29"/>
      <c r="D131" s="23"/>
      <c r="E131" s="24"/>
      <c r="F131" s="25"/>
      <c r="G131" s="25"/>
      <c r="H131" s="28"/>
    </row>
    <row r="132" spans="1:8">
      <c r="A132" s="21" t="s">
        <v>995</v>
      </c>
      <c r="B132" s="21" t="s">
        <v>996</v>
      </c>
      <c r="C132" s="29"/>
      <c r="D132" s="23"/>
      <c r="E132" s="24"/>
      <c r="F132" s="25"/>
      <c r="G132" s="25"/>
      <c r="H132" s="28"/>
    </row>
    <row r="133" spans="1:8">
      <c r="A133" s="40" t="s">
        <v>1779</v>
      </c>
      <c r="B133" s="21"/>
      <c r="C133" s="29"/>
      <c r="D133" s="23"/>
      <c r="E133" s="24"/>
      <c r="F133" s="25"/>
      <c r="G133" s="25"/>
      <c r="H133" s="28"/>
    </row>
    <row r="134" spans="1:8">
      <c r="A134" s="21" t="s">
        <v>1885</v>
      </c>
      <c r="B134" s="21" t="s">
        <v>1018</v>
      </c>
      <c r="C134" s="29" t="s">
        <v>1714</v>
      </c>
      <c r="D134" s="23" t="s">
        <v>1869</v>
      </c>
      <c r="E134" s="24" t="s">
        <v>1835</v>
      </c>
      <c r="F134" s="25" t="s">
        <v>397</v>
      </c>
      <c r="G134" s="25" t="s">
        <v>1870</v>
      </c>
      <c r="H134" s="28"/>
    </row>
    <row r="135" spans="1:8">
      <c r="A135" s="21" t="s">
        <v>1886</v>
      </c>
      <c r="B135" s="21" t="s">
        <v>1780</v>
      </c>
      <c r="C135" s="29" t="s">
        <v>1714</v>
      </c>
      <c r="D135" s="23" t="s">
        <v>1869</v>
      </c>
      <c r="E135" s="24" t="s">
        <v>1835</v>
      </c>
      <c r="F135" s="25" t="s">
        <v>397</v>
      </c>
      <c r="G135" s="25" t="s">
        <v>1852</v>
      </c>
      <c r="H135" s="28"/>
    </row>
    <row r="136" spans="1:8">
      <c r="A136" s="21" t="s">
        <v>1032</v>
      </c>
      <c r="B136" s="21" t="s">
        <v>1033</v>
      </c>
      <c r="C136" s="29" t="s">
        <v>99</v>
      </c>
      <c r="D136" s="23" t="s">
        <v>1887</v>
      </c>
      <c r="E136" s="24" t="s">
        <v>356</v>
      </c>
      <c r="F136" s="25" t="s">
        <v>1888</v>
      </c>
      <c r="G136" s="25" t="s">
        <v>1889</v>
      </c>
      <c r="H136" s="28"/>
    </row>
    <row r="137" spans="1:8">
      <c r="A137" s="21" t="s">
        <v>1890</v>
      </c>
      <c r="B137" s="21" t="s">
        <v>1041</v>
      </c>
      <c r="C137" s="29" t="s">
        <v>1840</v>
      </c>
      <c r="D137" s="23" t="s">
        <v>1887</v>
      </c>
      <c r="E137" s="24" t="s">
        <v>356</v>
      </c>
      <c r="F137" s="25" t="s">
        <v>381</v>
      </c>
      <c r="G137" s="25" t="s">
        <v>1839</v>
      </c>
      <c r="H137" s="28"/>
    </row>
    <row r="138" spans="1:8">
      <c r="A138" s="21" t="s">
        <v>1048</v>
      </c>
      <c r="B138" s="21" t="s">
        <v>1781</v>
      </c>
      <c r="C138" s="29"/>
      <c r="D138" s="23" t="s">
        <v>1845</v>
      </c>
      <c r="E138" s="24" t="s">
        <v>1835</v>
      </c>
      <c r="F138" s="25" t="s">
        <v>1846</v>
      </c>
      <c r="G138" s="25" t="s">
        <v>1839</v>
      </c>
      <c r="H138" s="28"/>
    </row>
    <row r="139" spans="1:8">
      <c r="A139" s="21" t="s">
        <v>1891</v>
      </c>
      <c r="B139" s="21" t="s">
        <v>1055</v>
      </c>
      <c r="C139" s="29"/>
      <c r="D139" s="23"/>
      <c r="E139" s="24"/>
      <c r="F139" s="25"/>
      <c r="G139" s="25"/>
      <c r="H139" s="28"/>
    </row>
    <row r="140" spans="1:8">
      <c r="A140" s="21" t="s">
        <v>1061</v>
      </c>
      <c r="B140" s="21" t="s">
        <v>1062</v>
      </c>
      <c r="C140" s="29"/>
      <c r="D140" s="23"/>
      <c r="E140" s="24"/>
      <c r="F140" s="25"/>
      <c r="G140" s="25"/>
      <c r="H140" s="28"/>
    </row>
    <row r="141" spans="1:8">
      <c r="A141" s="21" t="s">
        <v>1005</v>
      </c>
      <c r="B141" s="21" t="s">
        <v>1782</v>
      </c>
      <c r="C141" s="29"/>
      <c r="D141" s="23"/>
      <c r="E141" s="24"/>
      <c r="F141" s="25"/>
      <c r="G141" s="25"/>
      <c r="H141" s="28"/>
    </row>
    <row r="142" spans="1:8">
      <c r="A142" s="21" t="s">
        <v>1783</v>
      </c>
      <c r="B142" s="21" t="s">
        <v>1068</v>
      </c>
      <c r="C142" s="29"/>
      <c r="D142" s="23"/>
      <c r="E142" s="24"/>
      <c r="F142" s="25"/>
      <c r="G142" s="25"/>
      <c r="H142" s="28"/>
    </row>
    <row r="143" spans="1:8">
      <c r="A143" s="21" t="s">
        <v>1784</v>
      </c>
      <c r="B143" s="21" t="s">
        <v>1011</v>
      </c>
      <c r="C143" s="29"/>
      <c r="D143" s="23"/>
      <c r="E143" s="24"/>
      <c r="F143" s="25"/>
      <c r="G143" s="25"/>
      <c r="H143" s="28"/>
    </row>
    <row r="144" spans="1:8">
      <c r="A144" s="21" t="s">
        <v>1074</v>
      </c>
      <c r="B144" s="21" t="s">
        <v>1075</v>
      </c>
      <c r="C144" s="29"/>
      <c r="D144" s="23"/>
      <c r="E144" s="24"/>
      <c r="F144" s="25"/>
      <c r="G144" s="25"/>
      <c r="H144" s="28"/>
    </row>
    <row r="145" spans="1:8">
      <c r="A145" s="21" t="s">
        <v>1080</v>
      </c>
      <c r="B145" s="21" t="s">
        <v>1081</v>
      </c>
      <c r="C145" s="29"/>
      <c r="D145" s="23"/>
      <c r="E145" s="24"/>
      <c r="F145" s="25"/>
      <c r="G145" s="25"/>
      <c r="H145" s="28"/>
    </row>
    <row r="146" spans="1:8">
      <c r="A146" s="21" t="s">
        <v>1090</v>
      </c>
      <c r="B146" s="21" t="s">
        <v>1091</v>
      </c>
      <c r="C146" s="29"/>
      <c r="D146" s="23"/>
      <c r="E146" s="24"/>
      <c r="F146" s="25"/>
      <c r="G146" s="25"/>
      <c r="H146" s="28"/>
    </row>
    <row r="147" spans="1:8">
      <c r="A147" s="21" t="s">
        <v>1094</v>
      </c>
      <c r="B147" s="21" t="s">
        <v>1095</v>
      </c>
      <c r="C147" s="29"/>
      <c r="D147" s="23"/>
      <c r="E147" s="24"/>
      <c r="F147" s="25"/>
      <c r="G147" s="25"/>
      <c r="H147" s="28"/>
    </row>
    <row r="148" spans="1:8">
      <c r="A148" s="21" t="s">
        <v>1098</v>
      </c>
      <c r="B148" s="21" t="s">
        <v>1099</v>
      </c>
      <c r="C148" s="29"/>
      <c r="D148" s="23"/>
      <c r="E148" s="24"/>
      <c r="F148" s="25"/>
      <c r="G148" s="25"/>
      <c r="H148" s="28"/>
    </row>
    <row r="149" spans="1:8">
      <c r="A149" s="21" t="s">
        <v>1102</v>
      </c>
      <c r="B149" s="21" t="s">
        <v>1103</v>
      </c>
      <c r="C149" s="29"/>
      <c r="D149" s="23"/>
      <c r="E149" s="24"/>
      <c r="F149" s="25"/>
      <c r="G149" s="25"/>
      <c r="H149" s="28"/>
    </row>
    <row r="150" spans="1:8">
      <c r="A150" s="21" t="s">
        <v>1785</v>
      </c>
      <c r="B150" s="21" t="s">
        <v>1002</v>
      </c>
      <c r="C150" s="29"/>
      <c r="D150" s="23"/>
      <c r="E150" s="24"/>
      <c r="F150" s="25"/>
      <c r="G150" s="25"/>
      <c r="H150" s="28"/>
    </row>
    <row r="151" spans="1:8">
      <c r="A151" s="21" t="s">
        <v>1014</v>
      </c>
      <c r="B151" s="21" t="s">
        <v>1786</v>
      </c>
      <c r="C151" s="29"/>
      <c r="D151" s="23"/>
      <c r="E151" s="24"/>
      <c r="F151" s="25"/>
      <c r="G151" s="25"/>
      <c r="H151" s="28"/>
    </row>
    <row r="152" spans="1:8">
      <c r="A152" s="21" t="s">
        <v>1787</v>
      </c>
      <c r="B152" s="21" t="s">
        <v>1111</v>
      </c>
      <c r="C152" s="29"/>
      <c r="D152" s="23"/>
      <c r="E152" s="24"/>
      <c r="F152" s="25"/>
      <c r="G152" s="25"/>
      <c r="H152" s="28"/>
    </row>
    <row r="153" spans="1:8">
      <c r="A153" s="21" t="s">
        <v>1118</v>
      </c>
      <c r="B153" s="21" t="s">
        <v>1119</v>
      </c>
      <c r="C153" s="29"/>
      <c r="D153" s="23"/>
      <c r="E153" s="24"/>
      <c r="F153" s="25"/>
      <c r="G153" s="25"/>
      <c r="H153" s="28"/>
    </row>
    <row r="154" spans="1:8">
      <c r="A154" s="21" t="s">
        <v>1126</v>
      </c>
      <c r="B154" s="21" t="s">
        <v>1127</v>
      </c>
      <c r="C154" s="29"/>
      <c r="D154" s="23"/>
      <c r="E154" s="24"/>
      <c r="F154" s="25"/>
      <c r="G154" s="25"/>
      <c r="H154" s="28"/>
    </row>
    <row r="155" spans="1:8">
      <c r="A155" s="21" t="s">
        <v>1132</v>
      </c>
      <c r="B155" s="21" t="s">
        <v>1133</v>
      </c>
      <c r="C155" s="29"/>
      <c r="D155" s="23"/>
      <c r="E155" s="24"/>
      <c r="F155" s="25"/>
      <c r="G155" s="25"/>
      <c r="H155" s="28"/>
    </row>
    <row r="156" spans="1:8">
      <c r="A156" s="21" t="s">
        <v>1441</v>
      </c>
      <c r="B156" s="21" t="s">
        <v>1788</v>
      </c>
      <c r="C156" s="29"/>
      <c r="D156" s="23"/>
      <c r="E156" s="24"/>
      <c r="F156" s="25"/>
      <c r="G156" s="25"/>
      <c r="H156" s="28"/>
    </row>
    <row r="157" spans="1:8">
      <c r="A157" s="21" t="s">
        <v>1446</v>
      </c>
      <c r="B157" s="21" t="s">
        <v>1789</v>
      </c>
      <c r="C157" s="29"/>
      <c r="D157" s="23"/>
      <c r="E157" s="24"/>
      <c r="F157" s="25"/>
      <c r="G157" s="25"/>
      <c r="H157" s="28"/>
    </row>
    <row r="158" spans="1:8">
      <c r="A158" s="41" t="s">
        <v>1790</v>
      </c>
      <c r="B158" s="21"/>
      <c r="C158" s="29"/>
      <c r="D158" s="23"/>
      <c r="E158" s="24"/>
      <c r="F158" s="25"/>
      <c r="G158" s="25"/>
      <c r="H158" s="28"/>
    </row>
    <row r="159" spans="1:8">
      <c r="A159" s="21" t="s">
        <v>1168</v>
      </c>
      <c r="B159" s="21" t="s">
        <v>1791</v>
      </c>
      <c r="C159" s="29" t="s">
        <v>1714</v>
      </c>
      <c r="D159" s="23" t="s">
        <v>1869</v>
      </c>
      <c r="E159" s="24" t="s">
        <v>1835</v>
      </c>
      <c r="F159" s="25" t="s">
        <v>77</v>
      </c>
      <c r="G159" s="25" t="s">
        <v>1870</v>
      </c>
      <c r="H159" s="28"/>
    </row>
    <row r="160" spans="1:8">
      <c r="A160" s="21" t="s">
        <v>1138</v>
      </c>
      <c r="B160" s="21" t="s">
        <v>1139</v>
      </c>
      <c r="C160" s="29" t="s">
        <v>1714</v>
      </c>
      <c r="D160" s="23" t="s">
        <v>1869</v>
      </c>
      <c r="E160" s="24" t="s">
        <v>1835</v>
      </c>
      <c r="F160" s="25" t="s">
        <v>77</v>
      </c>
      <c r="G160" s="25" t="s">
        <v>1852</v>
      </c>
      <c r="H160" s="28"/>
    </row>
    <row r="161" spans="1:8">
      <c r="A161" s="21" t="s">
        <v>1143</v>
      </c>
      <c r="B161" s="21" t="s">
        <v>1144</v>
      </c>
      <c r="C161" s="29"/>
      <c r="D161" s="23" t="s">
        <v>30</v>
      </c>
      <c r="E161" s="24" t="s">
        <v>356</v>
      </c>
      <c r="F161" s="25" t="s">
        <v>382</v>
      </c>
      <c r="G161" s="25" t="s">
        <v>1889</v>
      </c>
      <c r="H161" s="28"/>
    </row>
    <row r="162" spans="1:8">
      <c r="A162" s="21" t="s">
        <v>1175</v>
      </c>
      <c r="B162" s="21" t="s">
        <v>1176</v>
      </c>
      <c r="C162" s="29" t="s">
        <v>1719</v>
      </c>
      <c r="D162" s="23" t="s">
        <v>1892</v>
      </c>
      <c r="E162" s="24" t="s">
        <v>1835</v>
      </c>
      <c r="F162" s="25" t="s">
        <v>133</v>
      </c>
      <c r="G162" s="25" t="s">
        <v>1839</v>
      </c>
      <c r="H162" s="28"/>
    </row>
    <row r="163" spans="1:8">
      <c r="A163" s="21" t="s">
        <v>1184</v>
      </c>
      <c r="B163" s="21" t="s">
        <v>1792</v>
      </c>
      <c r="C163" s="29"/>
      <c r="D163" s="23" t="s">
        <v>1845</v>
      </c>
      <c r="E163" s="24" t="s">
        <v>1835</v>
      </c>
      <c r="F163" s="25" t="s">
        <v>1846</v>
      </c>
      <c r="G163" s="25" t="s">
        <v>1373</v>
      </c>
      <c r="H163" s="28"/>
    </row>
    <row r="164" spans="1:8">
      <c r="A164" s="21" t="s">
        <v>1188</v>
      </c>
      <c r="B164" s="21" t="s">
        <v>1793</v>
      </c>
      <c r="C164" s="29"/>
      <c r="D164" s="23"/>
      <c r="E164" s="24"/>
      <c r="F164" s="25"/>
      <c r="G164" s="25"/>
      <c r="H164" s="28"/>
    </row>
    <row r="165" spans="1:8">
      <c r="A165" s="21" t="s">
        <v>1197</v>
      </c>
      <c r="B165" s="21" t="s">
        <v>1198</v>
      </c>
      <c r="C165" s="29"/>
      <c r="D165" s="23"/>
      <c r="E165" s="24"/>
      <c r="F165" s="25"/>
      <c r="G165" s="25"/>
      <c r="H165" s="28"/>
    </row>
    <row r="166" spans="1:8">
      <c r="A166" s="21" t="s">
        <v>1201</v>
      </c>
      <c r="B166" s="21" t="s">
        <v>1202</v>
      </c>
      <c r="C166" s="29"/>
      <c r="D166" s="23"/>
      <c r="E166" s="24"/>
      <c r="F166" s="25"/>
      <c r="G166" s="25"/>
      <c r="H166" s="28"/>
    </row>
    <row r="167" spans="1:8">
      <c r="A167" s="21" t="s">
        <v>1149</v>
      </c>
      <c r="B167" s="21" t="s">
        <v>1150</v>
      </c>
      <c r="C167" s="29"/>
      <c r="D167" s="23"/>
      <c r="E167" s="24"/>
      <c r="F167" s="25"/>
      <c r="G167" s="25"/>
      <c r="H167" s="28"/>
    </row>
    <row r="168" spans="1:8">
      <c r="A168" s="21" t="s">
        <v>1211</v>
      </c>
      <c r="B168" s="21" t="s">
        <v>1212</v>
      </c>
      <c r="C168" s="29"/>
      <c r="D168" s="23"/>
      <c r="E168" s="24"/>
      <c r="F168" s="25"/>
      <c r="G168" s="25"/>
      <c r="H168" s="28"/>
    </row>
    <row r="169" spans="1:8">
      <c r="A169" s="21" t="s">
        <v>1154</v>
      </c>
      <c r="B169" s="21" t="s">
        <v>1155</v>
      </c>
      <c r="C169" s="29"/>
      <c r="D169" s="23"/>
      <c r="E169" s="24"/>
      <c r="F169" s="25"/>
      <c r="G169" s="25"/>
      <c r="H169" s="28"/>
    </row>
    <row r="170" spans="1:8">
      <c r="A170" s="21" t="s">
        <v>1222</v>
      </c>
      <c r="B170" s="21" t="s">
        <v>1223</v>
      </c>
      <c r="C170" s="29"/>
      <c r="D170" s="23"/>
      <c r="E170" s="24"/>
      <c r="F170" s="25"/>
      <c r="G170" s="25"/>
      <c r="H170" s="28"/>
    </row>
    <row r="171" spans="1:8">
      <c r="A171" s="21" t="s">
        <v>1226</v>
      </c>
      <c r="B171" s="21" t="s">
        <v>1227</v>
      </c>
      <c r="C171" s="29"/>
      <c r="D171" s="23"/>
      <c r="E171" s="24"/>
      <c r="F171" s="25"/>
      <c r="G171" s="25"/>
      <c r="H171" s="28"/>
    </row>
    <row r="172" spans="1:8">
      <c r="A172" s="21" t="s">
        <v>1237</v>
      </c>
      <c r="B172" s="21" t="s">
        <v>1238</v>
      </c>
      <c r="C172" s="29"/>
      <c r="D172" s="23"/>
      <c r="E172" s="24"/>
      <c r="F172" s="25"/>
      <c r="G172" s="25"/>
      <c r="H172" s="28"/>
    </row>
    <row r="173" spans="1:8">
      <c r="A173" s="21" t="s">
        <v>1242</v>
      </c>
      <c r="B173" s="21" t="s">
        <v>1243</v>
      </c>
      <c r="C173" s="29"/>
      <c r="D173" s="23"/>
      <c r="E173" s="24"/>
      <c r="F173" s="25"/>
      <c r="G173" s="25"/>
      <c r="H173" s="28"/>
    </row>
    <row r="174" spans="1:8">
      <c r="A174" s="21" t="s">
        <v>1230</v>
      </c>
      <c r="B174" s="21" t="s">
        <v>1231</v>
      </c>
      <c r="C174" s="29"/>
      <c r="D174" s="23"/>
      <c r="E174" s="24"/>
      <c r="F174" s="25"/>
      <c r="G174" s="25"/>
      <c r="H174" s="28"/>
    </row>
    <row r="175" spans="1:8">
      <c r="A175" s="21" t="s">
        <v>1248</v>
      </c>
      <c r="B175" s="21" t="s">
        <v>1249</v>
      </c>
      <c r="C175" s="29"/>
      <c r="D175" s="23"/>
      <c r="E175" s="24"/>
      <c r="F175" s="25"/>
      <c r="G175" s="25"/>
      <c r="H175" s="28"/>
    </row>
    <row r="176" spans="1:8">
      <c r="A176" s="21" t="s">
        <v>1259</v>
      </c>
      <c r="B176" s="21" t="s">
        <v>1260</v>
      </c>
      <c r="C176" s="29"/>
      <c r="D176" s="23"/>
      <c r="E176" s="24"/>
      <c r="F176" s="25"/>
      <c r="G176" s="25"/>
      <c r="H176" s="28"/>
    </row>
    <row r="177" spans="1:8">
      <c r="A177" s="21" t="s">
        <v>1264</v>
      </c>
      <c r="B177" s="21" t="s">
        <v>1265</v>
      </c>
      <c r="C177" s="29"/>
      <c r="D177" s="23"/>
      <c r="E177" s="24"/>
      <c r="F177" s="25"/>
      <c r="G177" s="25"/>
      <c r="H177" s="28"/>
    </row>
    <row r="178" spans="1:8">
      <c r="A178" s="21" t="s">
        <v>1253</v>
      </c>
      <c r="B178" s="21" t="s">
        <v>1254</v>
      </c>
      <c r="C178" s="29"/>
      <c r="D178" s="23"/>
      <c r="E178" s="24"/>
      <c r="F178" s="25"/>
      <c r="G178" s="25"/>
      <c r="H178" s="28"/>
    </row>
    <row r="179" spans="1:8">
      <c r="A179" s="21" t="s">
        <v>1269</v>
      </c>
      <c r="B179" s="21" t="s">
        <v>1270</v>
      </c>
      <c r="C179" s="29"/>
      <c r="D179" s="23"/>
      <c r="E179" s="24"/>
      <c r="F179" s="25"/>
      <c r="G179" s="25"/>
      <c r="H179" s="28"/>
    </row>
    <row r="180" spans="1:8">
      <c r="A180" s="21" t="s">
        <v>1273</v>
      </c>
      <c r="B180" s="21" t="s">
        <v>1795</v>
      </c>
      <c r="C180" s="29"/>
      <c r="D180" s="23"/>
      <c r="E180" s="24"/>
      <c r="F180" s="25"/>
      <c r="G180" s="25"/>
      <c r="H180" s="28"/>
    </row>
    <row r="181" spans="1:8">
      <c r="A181" s="21" t="s">
        <v>1281</v>
      </c>
      <c r="B181" s="21" t="s">
        <v>1282</v>
      </c>
      <c r="C181" s="29"/>
      <c r="D181" s="23"/>
      <c r="E181" s="24"/>
      <c r="F181" s="25"/>
      <c r="G181" s="25"/>
      <c r="H181" s="28"/>
    </row>
    <row r="182" spans="1:8">
      <c r="A182" s="21" t="s">
        <v>1796</v>
      </c>
      <c r="B182" s="21" t="s">
        <v>1158</v>
      </c>
      <c r="C182" s="29"/>
      <c r="D182" s="23"/>
      <c r="E182" s="24"/>
      <c r="F182" s="25"/>
      <c r="G182" s="25"/>
      <c r="H182" s="28"/>
    </row>
    <row r="183" spans="1:8">
      <c r="A183" s="42" t="s">
        <v>1797</v>
      </c>
      <c r="B183" s="21"/>
      <c r="C183" s="29"/>
      <c r="D183" s="23"/>
      <c r="E183" s="24"/>
      <c r="F183" s="25"/>
      <c r="G183" s="25"/>
      <c r="H183" s="28"/>
    </row>
    <row r="184" spans="1:8">
      <c r="A184" s="21" t="s">
        <v>1292</v>
      </c>
      <c r="B184" s="21" t="s">
        <v>1293</v>
      </c>
      <c r="C184" s="29" t="s">
        <v>1840</v>
      </c>
      <c r="D184" s="23" t="s">
        <v>1869</v>
      </c>
      <c r="E184" s="24" t="s">
        <v>350</v>
      </c>
      <c r="F184" s="25" t="s">
        <v>1893</v>
      </c>
      <c r="G184" s="25" t="s">
        <v>1870</v>
      </c>
      <c r="H184" s="28"/>
    </row>
    <row r="185" spans="1:8">
      <c r="A185" s="21" t="s">
        <v>1297</v>
      </c>
      <c r="B185" s="21" t="s">
        <v>1298</v>
      </c>
      <c r="C185" s="29" t="s">
        <v>1719</v>
      </c>
      <c r="D185" s="23"/>
      <c r="E185" s="24" t="s">
        <v>1835</v>
      </c>
      <c r="F185" s="25" t="s">
        <v>1894</v>
      </c>
      <c r="G185" s="25" t="s">
        <v>1839</v>
      </c>
      <c r="H185" s="28"/>
    </row>
    <row r="186" spans="1:8">
      <c r="A186" s="21" t="s">
        <v>1301</v>
      </c>
      <c r="B186" s="21" t="s">
        <v>1302</v>
      </c>
      <c r="C186" s="29" t="s">
        <v>1719</v>
      </c>
      <c r="D186" s="23" t="s">
        <v>1834</v>
      </c>
      <c r="E186" s="24" t="s">
        <v>1835</v>
      </c>
      <c r="F186" s="25" t="s">
        <v>62</v>
      </c>
      <c r="G186" s="25" t="s">
        <v>1839</v>
      </c>
      <c r="H186" s="28"/>
    </row>
    <row r="187" spans="1:8">
      <c r="A187" s="21" t="s">
        <v>1306</v>
      </c>
      <c r="B187" s="21" t="s">
        <v>1798</v>
      </c>
      <c r="C187" s="29" t="s">
        <v>1719</v>
      </c>
      <c r="D187" s="23"/>
      <c r="E187" s="24" t="s">
        <v>1835</v>
      </c>
      <c r="F187" s="25" t="s">
        <v>1895</v>
      </c>
      <c r="G187" s="25" t="s">
        <v>1839</v>
      </c>
      <c r="H187" s="28"/>
    </row>
    <row r="188" spans="1:8">
      <c r="A188" s="21" t="s">
        <v>1312</v>
      </c>
      <c r="B188" s="21" t="s">
        <v>1313</v>
      </c>
      <c r="C188" s="29" t="s">
        <v>99</v>
      </c>
      <c r="D188" s="23" t="s">
        <v>1887</v>
      </c>
      <c r="E188" s="24" t="s">
        <v>350</v>
      </c>
      <c r="F188" s="25" t="s">
        <v>100</v>
      </c>
      <c r="G188" s="25" t="s">
        <v>1896</v>
      </c>
      <c r="H188" s="28"/>
    </row>
    <row r="189" spans="1:8">
      <c r="A189" s="21" t="s">
        <v>1316</v>
      </c>
      <c r="B189" s="21" t="s">
        <v>1799</v>
      </c>
      <c r="C189" s="29"/>
      <c r="D189" s="23"/>
      <c r="E189" s="24"/>
      <c r="F189" s="25"/>
      <c r="G189" s="25"/>
      <c r="H189" s="28"/>
    </row>
    <row r="190" spans="1:8">
      <c r="A190" s="21" t="s">
        <v>1320</v>
      </c>
      <c r="B190" s="21" t="s">
        <v>1321</v>
      </c>
      <c r="C190" s="29"/>
      <c r="D190" s="23"/>
      <c r="E190" s="24"/>
      <c r="F190" s="25"/>
      <c r="G190" s="25"/>
      <c r="H190" s="28"/>
    </row>
    <row r="191" spans="1:8">
      <c r="A191" s="21" t="s">
        <v>1325</v>
      </c>
      <c r="B191" s="21" t="s">
        <v>1326</v>
      </c>
      <c r="C191" s="29"/>
      <c r="D191" s="23"/>
      <c r="E191" s="24"/>
      <c r="F191" s="25"/>
      <c r="G191" s="25"/>
      <c r="H191" s="28"/>
    </row>
    <row r="192" spans="1:8">
      <c r="A192" s="21" t="s">
        <v>1329</v>
      </c>
      <c r="B192" s="21" t="s">
        <v>1330</v>
      </c>
      <c r="C192" s="29"/>
      <c r="D192" s="23"/>
      <c r="E192" s="24"/>
      <c r="F192" s="25"/>
      <c r="G192" s="25"/>
      <c r="H192" s="28"/>
    </row>
    <row r="193" spans="1:8">
      <c r="A193" s="21" t="s">
        <v>1333</v>
      </c>
      <c r="B193" s="21" t="s">
        <v>1334</v>
      </c>
      <c r="C193" s="29"/>
      <c r="D193" s="23"/>
      <c r="E193" s="24"/>
      <c r="F193" s="25"/>
      <c r="G193" s="25"/>
      <c r="H193" s="28"/>
    </row>
    <row r="194" spans="1:8">
      <c r="A194" s="21" t="s">
        <v>1337</v>
      </c>
      <c r="B194" s="21" t="s">
        <v>1338</v>
      </c>
      <c r="C194" s="29"/>
      <c r="D194" s="23"/>
      <c r="E194" s="24"/>
      <c r="F194" s="25"/>
      <c r="G194" s="25"/>
      <c r="H194" s="28"/>
    </row>
    <row r="195" spans="1:8">
      <c r="A195" s="21" t="s">
        <v>1342</v>
      </c>
      <c r="B195" s="21" t="s">
        <v>1343</v>
      </c>
      <c r="C195" s="29"/>
      <c r="D195" s="23"/>
      <c r="E195" s="24"/>
      <c r="F195" s="25"/>
      <c r="G195" s="25"/>
      <c r="H195" s="28"/>
    </row>
    <row r="196" spans="1:8">
      <c r="A196" s="43" t="s">
        <v>1803</v>
      </c>
      <c r="B196" s="21"/>
      <c r="C196" s="29"/>
      <c r="D196" s="23"/>
      <c r="E196" s="24"/>
      <c r="F196" s="25"/>
      <c r="G196" s="25"/>
      <c r="H196" s="28"/>
    </row>
    <row r="197" spans="1:8">
      <c r="A197" s="21" t="s">
        <v>1897</v>
      </c>
      <c r="B197" s="21" t="s">
        <v>841</v>
      </c>
      <c r="C197" s="29"/>
      <c r="D197" s="23"/>
      <c r="E197" s="24"/>
      <c r="F197" s="25"/>
      <c r="G197" s="25"/>
      <c r="H197" s="28"/>
    </row>
    <row r="198" spans="1:8">
      <c r="A198" s="21" t="s">
        <v>1897</v>
      </c>
      <c r="B198" s="21" t="s">
        <v>1163</v>
      </c>
      <c r="C198" s="29"/>
      <c r="D198" s="23"/>
      <c r="E198" s="24"/>
      <c r="F198" s="25"/>
      <c r="G198" s="25"/>
      <c r="H198" s="28"/>
    </row>
    <row r="199" spans="1:8">
      <c r="A199" s="21" t="s">
        <v>1897</v>
      </c>
      <c r="B199" s="21" t="s">
        <v>1167</v>
      </c>
      <c r="C199" s="29"/>
      <c r="D199" s="23"/>
      <c r="E199" s="24"/>
      <c r="F199" s="25"/>
      <c r="G199" s="25"/>
      <c r="H199" s="28"/>
    </row>
    <row r="200" spans="1:8">
      <c r="A200" s="21" t="s">
        <v>1897</v>
      </c>
      <c r="B200" s="21" t="s">
        <v>731</v>
      </c>
      <c r="C200" s="29"/>
      <c r="D200" s="23"/>
      <c r="E200" s="24"/>
      <c r="F200" s="25"/>
      <c r="G200" s="25"/>
      <c r="H200" s="28"/>
    </row>
    <row r="201" spans="1:8">
      <c r="A201" s="21" t="s">
        <v>1898</v>
      </c>
      <c r="B201" s="21"/>
      <c r="C201" s="29"/>
      <c r="D201" s="23"/>
      <c r="E201" s="24"/>
      <c r="F201" s="25"/>
      <c r="G201" s="25"/>
      <c r="H201" s="28"/>
    </row>
    <row r="202" spans="1:8">
      <c r="A202" s="21"/>
      <c r="B202" s="21"/>
      <c r="C202" s="45"/>
      <c r="D202" s="23"/>
      <c r="E202" s="24"/>
      <c r="F202" s="25"/>
      <c r="G202" s="25"/>
      <c r="H202" s="28"/>
    </row>
    <row r="203" spans="1:8">
      <c r="A203" s="44" t="s">
        <v>1805</v>
      </c>
      <c r="B203" s="56"/>
      <c r="C203" s="45"/>
      <c r="D203" s="23"/>
      <c r="E203" s="24"/>
      <c r="F203" s="25"/>
      <c r="G203" s="25"/>
      <c r="H203" s="28"/>
    </row>
    <row r="204" spans="1:8">
      <c r="A204" s="62" t="s">
        <v>930</v>
      </c>
      <c r="B204" s="63" t="s">
        <v>931</v>
      </c>
      <c r="C204" s="45"/>
      <c r="D204" s="23"/>
      <c r="E204" s="24"/>
      <c r="F204" s="25"/>
      <c r="G204" s="25"/>
      <c r="H204" s="28"/>
    </row>
    <row r="205" spans="1:8">
      <c r="A205" s="62" t="s">
        <v>898</v>
      </c>
      <c r="B205" s="63" t="s">
        <v>1351</v>
      </c>
      <c r="C205" s="45"/>
      <c r="D205" s="23"/>
      <c r="E205" s="24"/>
      <c r="F205" s="25"/>
      <c r="G205" s="25"/>
      <c r="H205" s="28"/>
    </row>
    <row r="206" spans="1:8">
      <c r="A206" s="62" t="s">
        <v>1385</v>
      </c>
      <c r="B206" s="63" t="s">
        <v>1386</v>
      </c>
      <c r="C206" s="45"/>
      <c r="D206" s="23"/>
      <c r="E206" s="24"/>
      <c r="F206" s="25"/>
      <c r="G206" s="25"/>
      <c r="H206" s="28"/>
    </row>
    <row r="207" spans="1:8">
      <c r="A207" s="62" t="s">
        <v>893</v>
      </c>
      <c r="B207" s="63" t="s">
        <v>894</v>
      </c>
      <c r="C207" s="45"/>
      <c r="D207" s="23"/>
      <c r="E207" s="24"/>
      <c r="F207" s="25"/>
      <c r="G207" s="25"/>
      <c r="H207" s="28"/>
    </row>
    <row r="208" spans="1:8">
      <c r="A208" s="62" t="s">
        <v>1390</v>
      </c>
      <c r="B208" s="63" t="s">
        <v>1807</v>
      </c>
      <c r="C208" s="45"/>
      <c r="D208" s="23"/>
      <c r="E208" s="24"/>
      <c r="F208" s="25"/>
      <c r="G208" s="25"/>
      <c r="H208" s="28"/>
    </row>
    <row r="209" spans="1:8">
      <c r="A209" s="62" t="s">
        <v>1355</v>
      </c>
      <c r="B209" s="63" t="s">
        <v>1808</v>
      </c>
      <c r="C209" s="45"/>
      <c r="D209" s="23"/>
      <c r="E209" s="24"/>
      <c r="F209" s="25"/>
      <c r="G209" s="25"/>
      <c r="H209" s="28"/>
    </row>
    <row r="210" spans="1:8">
      <c r="A210" s="62" t="s">
        <v>1394</v>
      </c>
      <c r="B210" s="63" t="s">
        <v>1395</v>
      </c>
      <c r="C210" s="45"/>
      <c r="D210" s="23"/>
      <c r="E210" s="24"/>
      <c r="F210" s="25"/>
      <c r="G210" s="25"/>
      <c r="H210" s="28"/>
    </row>
    <row r="211" spans="1:8">
      <c r="A211" s="62" t="s">
        <v>940</v>
      </c>
      <c r="B211" s="63" t="s">
        <v>1810</v>
      </c>
      <c r="C211" s="45"/>
      <c r="D211" s="23"/>
      <c r="E211" s="24"/>
      <c r="F211" s="25"/>
      <c r="G211" s="25"/>
      <c r="H211" s="28"/>
    </row>
    <row r="212" spans="1:8">
      <c r="A212" s="62" t="s">
        <v>950</v>
      </c>
      <c r="B212" s="63" t="s">
        <v>951</v>
      </c>
      <c r="C212" s="45"/>
      <c r="D212" s="23"/>
      <c r="E212" s="24"/>
      <c r="F212" s="25"/>
      <c r="G212" s="25"/>
      <c r="H212" s="28"/>
    </row>
    <row r="213" spans="1:8">
      <c r="A213" s="62" t="s">
        <v>924</v>
      </c>
      <c r="B213" s="63" t="s">
        <v>925</v>
      </c>
      <c r="C213" s="45"/>
      <c r="D213" s="23"/>
      <c r="E213" s="24"/>
      <c r="F213" s="25"/>
      <c r="G213" s="25"/>
      <c r="H213" s="28"/>
    </row>
    <row r="214" spans="1:8">
      <c r="A214" s="62" t="s">
        <v>1399</v>
      </c>
      <c r="B214" s="63" t="s">
        <v>1811</v>
      </c>
      <c r="C214" s="45"/>
      <c r="D214" s="23"/>
      <c r="E214" s="24"/>
      <c r="F214" s="25"/>
      <c r="G214" s="25"/>
      <c r="H214" s="28"/>
    </row>
    <row r="215" spans="1:8">
      <c r="A215" s="62" t="s">
        <v>1404</v>
      </c>
      <c r="B215" s="63" t="s">
        <v>1405</v>
      </c>
      <c r="C215" s="45"/>
      <c r="D215" s="23"/>
      <c r="E215" s="24"/>
      <c r="F215" s="25"/>
      <c r="G215" s="25"/>
      <c r="H215" s="28"/>
    </row>
    <row r="216" spans="1:8">
      <c r="A216" s="62" t="s">
        <v>1409</v>
      </c>
      <c r="B216" s="63" t="s">
        <v>1410</v>
      </c>
      <c r="C216" s="45"/>
      <c r="D216" s="23"/>
      <c r="E216" s="24"/>
      <c r="F216" s="25"/>
      <c r="G216" s="25"/>
      <c r="H216" s="28"/>
    </row>
    <row r="217" spans="1:8">
      <c r="A217" s="62" t="s">
        <v>1413</v>
      </c>
      <c r="B217" s="63" t="s">
        <v>1414</v>
      </c>
      <c r="C217" s="45"/>
      <c r="D217" s="23"/>
      <c r="E217" s="24"/>
      <c r="F217" s="25"/>
      <c r="G217" s="25"/>
      <c r="H217" s="28"/>
    </row>
    <row r="218" spans="1:8">
      <c r="A218" s="26"/>
      <c r="B218" s="26"/>
      <c r="C218" s="51"/>
      <c r="D218" s="49"/>
      <c r="E218" s="50"/>
      <c r="F218" s="26"/>
      <c r="G218" s="26"/>
    </row>
    <row r="219" spans="1:8">
      <c r="A219" s="26"/>
      <c r="B219" s="26"/>
      <c r="C219" s="51"/>
      <c r="D219" s="49"/>
      <c r="E219" s="50"/>
      <c r="F219" s="26"/>
      <c r="G219" s="26"/>
    </row>
    <row r="220" spans="1:8">
      <c r="A220" s="26"/>
      <c r="B220" s="26"/>
      <c r="C220" s="51"/>
      <c r="D220" s="49"/>
      <c r="E220" s="50"/>
      <c r="F220" s="26"/>
      <c r="G220" s="26"/>
    </row>
    <row r="221" spans="1:8">
      <c r="A221" s="26"/>
      <c r="B221" s="26"/>
      <c r="C221" s="51"/>
      <c r="D221" s="49"/>
      <c r="E221" s="50"/>
      <c r="F221" s="26"/>
      <c r="G221" s="26"/>
    </row>
    <row r="222" spans="1:8">
      <c r="A222" s="26"/>
      <c r="B222" s="26"/>
      <c r="C222" s="51"/>
      <c r="D222" s="49"/>
      <c r="E222" s="50"/>
      <c r="F222" s="26"/>
      <c r="G222" s="26"/>
    </row>
    <row r="223" spans="1:8">
      <c r="A223" s="26"/>
      <c r="B223" s="26"/>
      <c r="C223" s="51"/>
      <c r="D223" s="49"/>
      <c r="E223" s="50"/>
      <c r="F223" s="26"/>
      <c r="G223" s="26"/>
    </row>
    <row r="224" spans="1:8">
      <c r="A224" s="26"/>
      <c r="B224" s="26"/>
      <c r="C224" s="51"/>
      <c r="D224" s="49"/>
      <c r="E224" s="50"/>
      <c r="F224" s="26"/>
      <c r="G224" s="26"/>
    </row>
    <row r="225" spans="1:7">
      <c r="A225" s="26"/>
      <c r="B225" s="26"/>
      <c r="C225" s="51"/>
      <c r="D225" s="49"/>
      <c r="E225" s="50"/>
      <c r="F225" s="26"/>
      <c r="G225" s="26"/>
    </row>
    <row r="226" spans="1:7">
      <c r="A226" s="26"/>
      <c r="B226" s="26"/>
      <c r="C226" s="51"/>
      <c r="D226" s="49"/>
      <c r="E226" s="50"/>
      <c r="F226" s="26"/>
      <c r="G226" s="26"/>
    </row>
    <row r="227" spans="1:7">
      <c r="A227" s="26"/>
      <c r="B227" s="26"/>
      <c r="C227" s="51"/>
      <c r="D227" s="49"/>
      <c r="E227" s="50"/>
      <c r="F227" s="26"/>
      <c r="G227" s="26"/>
    </row>
    <row r="228" spans="1:7">
      <c r="A228" s="26"/>
      <c r="B228" s="26"/>
      <c r="C228" s="51"/>
      <c r="D228" s="49"/>
      <c r="E228" s="50"/>
      <c r="F228" s="26"/>
      <c r="G228" s="26"/>
    </row>
    <row r="229" spans="1:7">
      <c r="A229" s="26"/>
      <c r="B229" s="26"/>
      <c r="C229" s="51"/>
      <c r="D229" s="49"/>
      <c r="E229" s="50"/>
      <c r="F229" s="26"/>
      <c r="G229" s="26"/>
    </row>
    <row r="230" spans="1:7">
      <c r="A230" s="26"/>
      <c r="B230" s="26"/>
      <c r="C230" s="51"/>
      <c r="D230" s="49"/>
      <c r="E230" s="50"/>
      <c r="F230" s="26"/>
      <c r="G230" s="26"/>
    </row>
    <row r="231" spans="1:7">
      <c r="A231" s="26"/>
      <c r="B231" s="26"/>
      <c r="C231" s="51"/>
      <c r="D231" s="49"/>
      <c r="E231" s="50"/>
      <c r="F231" s="26"/>
      <c r="G231" s="26"/>
    </row>
    <row r="232" spans="1:7">
      <c r="A232" s="26"/>
      <c r="B232" s="26"/>
      <c r="C232" s="51"/>
      <c r="D232" s="49"/>
      <c r="E232" s="50"/>
      <c r="F232" s="26"/>
      <c r="G232" s="26"/>
    </row>
    <row r="233" spans="1:7">
      <c r="A233" s="26"/>
      <c r="B233" s="26"/>
      <c r="C233" s="51"/>
      <c r="D233" s="49"/>
      <c r="E233" s="50"/>
      <c r="F233" s="26"/>
      <c r="G233" s="26"/>
    </row>
    <row r="234" spans="1:7">
      <c r="A234" s="26"/>
      <c r="B234" s="26"/>
      <c r="C234" s="51"/>
      <c r="D234" s="49"/>
      <c r="E234" s="50"/>
      <c r="F234" s="26"/>
      <c r="G234" s="26"/>
    </row>
    <row r="235" spans="1:7">
      <c r="A235" s="26"/>
      <c r="B235" s="26"/>
      <c r="C235" s="51"/>
      <c r="D235" s="49"/>
      <c r="E235" s="50"/>
      <c r="F235" s="26"/>
      <c r="G235" s="26"/>
    </row>
    <row r="236" spans="1:7">
      <c r="A236" s="26"/>
      <c r="B236" s="26"/>
      <c r="C236" s="51"/>
      <c r="D236" s="49"/>
      <c r="E236" s="50"/>
      <c r="F236" s="26"/>
      <c r="G236" s="26"/>
    </row>
    <row r="237" spans="1:7">
      <c r="A237" s="26"/>
      <c r="B237" s="26"/>
      <c r="C237" s="51"/>
      <c r="D237" s="49"/>
      <c r="E237" s="50"/>
      <c r="F237" s="26"/>
      <c r="G237" s="26"/>
    </row>
    <row r="238" spans="1:7">
      <c r="A238" s="26"/>
      <c r="B238" s="26"/>
      <c r="C238" s="51"/>
      <c r="D238" s="49"/>
      <c r="E238" s="50"/>
      <c r="F238" s="26"/>
      <c r="G238" s="26"/>
    </row>
    <row r="239" spans="1:7">
      <c r="A239" s="26"/>
      <c r="B239" s="26"/>
      <c r="C239" s="51"/>
      <c r="D239" s="49"/>
      <c r="E239" s="50"/>
      <c r="F239" s="26"/>
      <c r="G239" s="26"/>
    </row>
    <row r="240" spans="1:7">
      <c r="A240" s="26"/>
      <c r="B240" s="26"/>
      <c r="C240" s="51"/>
      <c r="D240" s="49"/>
      <c r="E240" s="50"/>
      <c r="F240" s="26"/>
      <c r="G240" s="26"/>
    </row>
    <row r="241" spans="1:7">
      <c r="A241" s="26"/>
      <c r="B241" s="26"/>
      <c r="C241" s="51"/>
      <c r="D241" s="49"/>
      <c r="E241" s="50"/>
      <c r="F241" s="26"/>
      <c r="G241" s="26"/>
    </row>
    <row r="242" spans="1:7">
      <c r="A242" s="26"/>
      <c r="B242" s="26"/>
      <c r="C242" s="51"/>
      <c r="D242" s="49"/>
      <c r="E242" s="50"/>
      <c r="F242" s="26"/>
      <c r="G242" s="26"/>
    </row>
    <row r="243" spans="1:7">
      <c r="A243" s="26"/>
      <c r="B243" s="26"/>
      <c r="C243" s="51"/>
      <c r="D243" s="49"/>
      <c r="E243" s="50"/>
      <c r="F243" s="26"/>
      <c r="G243" s="26"/>
    </row>
    <row r="244" spans="1:7">
      <c r="A244" s="26"/>
      <c r="B244" s="26"/>
      <c r="C244" s="51"/>
      <c r="D244" s="49"/>
      <c r="E244" s="50"/>
      <c r="F244" s="26"/>
      <c r="G244" s="26"/>
    </row>
    <row r="245" spans="1:7">
      <c r="A245" s="26"/>
      <c r="B245" s="26"/>
      <c r="C245" s="51"/>
      <c r="D245" s="49"/>
      <c r="E245" s="50"/>
      <c r="F245" s="26"/>
      <c r="G245" s="26"/>
    </row>
    <row r="246" spans="1:7">
      <c r="A246" s="26"/>
      <c r="B246" s="26"/>
      <c r="C246" s="51"/>
      <c r="D246" s="49"/>
      <c r="E246" s="50"/>
      <c r="F246" s="26"/>
      <c r="G246" s="26"/>
    </row>
    <row r="247" spans="1:7">
      <c r="A247" s="26"/>
      <c r="B247" s="26"/>
      <c r="C247" s="51"/>
      <c r="D247" s="49"/>
      <c r="E247" s="50"/>
      <c r="F247" s="26"/>
      <c r="G247" s="26"/>
    </row>
    <row r="248" spans="1:7">
      <c r="A248" s="26"/>
      <c r="B248" s="26"/>
      <c r="C248" s="51"/>
      <c r="D248" s="49"/>
      <c r="E248" s="50"/>
      <c r="F248" s="26"/>
      <c r="G248" s="26"/>
    </row>
    <row r="249" spans="1:7">
      <c r="A249" s="26"/>
      <c r="B249" s="26"/>
      <c r="C249" s="51"/>
      <c r="D249" s="49"/>
      <c r="E249" s="50"/>
      <c r="F249" s="26"/>
      <c r="G249" s="26"/>
    </row>
    <row r="250" spans="1:7">
      <c r="A250" s="26"/>
      <c r="B250" s="26"/>
      <c r="C250" s="51"/>
      <c r="D250" s="49"/>
      <c r="E250" s="50"/>
      <c r="F250" s="26"/>
      <c r="G250" s="26"/>
    </row>
    <row r="251" spans="1:7">
      <c r="A251" s="26"/>
      <c r="B251" s="26"/>
      <c r="C251" s="51"/>
      <c r="D251" s="49"/>
      <c r="E251" s="50"/>
      <c r="F251" s="26"/>
      <c r="G251" s="26"/>
    </row>
    <row r="252" spans="1:7">
      <c r="A252" s="26"/>
      <c r="B252" s="26"/>
      <c r="C252" s="51"/>
      <c r="D252" s="49"/>
      <c r="E252" s="50"/>
      <c r="F252" s="26"/>
      <c r="G252" s="26"/>
    </row>
    <row r="253" spans="1:7">
      <c r="A253" s="26"/>
      <c r="B253" s="26"/>
      <c r="C253" s="51"/>
      <c r="D253" s="49"/>
      <c r="E253" s="50"/>
      <c r="F253" s="26"/>
      <c r="G253" s="26"/>
    </row>
    <row r="254" spans="1:7">
      <c r="A254" s="26"/>
      <c r="B254" s="26"/>
      <c r="C254" s="51"/>
      <c r="D254" s="49"/>
      <c r="E254" s="50"/>
      <c r="F254" s="26"/>
      <c r="G254" s="26"/>
    </row>
    <row r="255" spans="1:7">
      <c r="A255" s="26"/>
      <c r="B255" s="26"/>
      <c r="C255" s="51"/>
      <c r="D255" s="49"/>
      <c r="E255" s="50"/>
      <c r="F255" s="26"/>
      <c r="G255" s="26"/>
    </row>
    <row r="256" spans="1:7">
      <c r="A256" s="26"/>
      <c r="B256" s="26"/>
      <c r="C256" s="51"/>
      <c r="D256" s="49"/>
      <c r="E256" s="50"/>
      <c r="F256" s="26"/>
      <c r="G256" s="26"/>
    </row>
    <row r="257" spans="1:7">
      <c r="A257" s="26"/>
      <c r="B257" s="26"/>
      <c r="C257" s="51"/>
      <c r="D257" s="49"/>
      <c r="E257" s="50"/>
      <c r="F257" s="26"/>
      <c r="G257" s="26"/>
    </row>
    <row r="258" spans="1:7">
      <c r="A258" s="26"/>
      <c r="B258" s="26"/>
      <c r="C258" s="51"/>
      <c r="D258" s="49"/>
      <c r="E258" s="50"/>
      <c r="F258" s="26"/>
      <c r="G258" s="26"/>
    </row>
    <row r="259" spans="1:7">
      <c r="A259" s="26"/>
      <c r="B259" s="26"/>
      <c r="C259" s="51"/>
      <c r="D259" s="49"/>
      <c r="E259" s="50"/>
      <c r="F259" s="26"/>
      <c r="G259" s="26"/>
    </row>
    <row r="260" spans="1:7">
      <c r="A260" s="26"/>
      <c r="B260" s="26"/>
      <c r="C260" s="51"/>
      <c r="D260" s="49"/>
      <c r="E260" s="50"/>
      <c r="F260" s="26"/>
      <c r="G260" s="26"/>
    </row>
    <row r="261" spans="1:7">
      <c r="A261" s="26"/>
      <c r="B261" s="26"/>
      <c r="C261" s="51"/>
      <c r="D261" s="49"/>
      <c r="E261" s="50"/>
      <c r="F261" s="26"/>
      <c r="G261" s="26"/>
    </row>
    <row r="262" spans="1:7">
      <c r="A262" s="26"/>
      <c r="B262" s="26"/>
      <c r="C262" s="51"/>
      <c r="D262" s="49"/>
      <c r="E262" s="50"/>
      <c r="F262" s="26"/>
      <c r="G262" s="26"/>
    </row>
    <row r="263" spans="1:7">
      <c r="A263" s="26"/>
      <c r="B263" s="26"/>
      <c r="C263" s="51"/>
      <c r="D263" s="49"/>
      <c r="E263" s="50"/>
      <c r="F263" s="26"/>
      <c r="G263" s="26"/>
    </row>
    <row r="264" spans="1:7">
      <c r="A264" s="26"/>
      <c r="B264" s="26"/>
      <c r="C264" s="51"/>
      <c r="D264" s="49"/>
      <c r="E264" s="50"/>
      <c r="F264" s="26"/>
      <c r="G264" s="26"/>
    </row>
    <row r="265" spans="1:7">
      <c r="A265" s="26"/>
      <c r="B265" s="26"/>
      <c r="C265" s="51"/>
      <c r="D265" s="49"/>
      <c r="E265" s="50"/>
      <c r="F265" s="26"/>
      <c r="G265" s="26"/>
    </row>
    <row r="266" spans="1:7">
      <c r="A266" s="26"/>
      <c r="B266" s="26"/>
      <c r="C266" s="51"/>
      <c r="D266" s="49"/>
      <c r="E266" s="50"/>
      <c r="F266" s="26"/>
      <c r="G266" s="26"/>
    </row>
    <row r="267" spans="1:7">
      <c r="A267" s="26"/>
      <c r="B267" s="26"/>
      <c r="C267" s="51"/>
      <c r="D267" s="49"/>
      <c r="E267" s="50"/>
      <c r="F267" s="26"/>
      <c r="G267" s="26"/>
    </row>
    <row r="268" spans="1:7">
      <c r="A268" s="26"/>
      <c r="B268" s="26"/>
      <c r="C268" s="51"/>
      <c r="D268" s="49"/>
      <c r="E268" s="50"/>
      <c r="F268" s="26"/>
      <c r="G268" s="26"/>
    </row>
    <row r="269" spans="1:7">
      <c r="A269" s="26"/>
      <c r="B269" s="26"/>
      <c r="C269" s="51"/>
      <c r="D269" s="49"/>
      <c r="E269" s="50"/>
      <c r="F269" s="26"/>
      <c r="G269" s="26"/>
    </row>
    <row r="270" spans="1:7">
      <c r="A270" s="26"/>
      <c r="B270" s="26"/>
      <c r="C270" s="51"/>
      <c r="D270" s="49"/>
      <c r="E270" s="50"/>
      <c r="F270" s="26"/>
      <c r="G270" s="26"/>
    </row>
    <row r="271" spans="1:7">
      <c r="A271" s="26"/>
      <c r="B271" s="26"/>
      <c r="C271" s="51"/>
      <c r="D271" s="49"/>
      <c r="E271" s="50"/>
      <c r="F271" s="26"/>
      <c r="G271" s="26"/>
    </row>
    <row r="272" spans="1:7">
      <c r="A272" s="26"/>
      <c r="B272" s="26"/>
      <c r="C272" s="51"/>
      <c r="D272" s="49"/>
      <c r="E272" s="50"/>
      <c r="F272" s="26"/>
      <c r="G272" s="26"/>
    </row>
    <row r="273" spans="1:7">
      <c r="A273" s="26"/>
      <c r="B273" s="26"/>
      <c r="C273" s="51"/>
      <c r="D273" s="49"/>
      <c r="E273" s="50"/>
      <c r="F273" s="26"/>
      <c r="G273" s="26"/>
    </row>
    <row r="274" spans="1:7">
      <c r="A274" s="26"/>
      <c r="B274" s="26"/>
      <c r="C274" s="51"/>
      <c r="D274" s="49"/>
      <c r="E274" s="50"/>
      <c r="F274" s="26"/>
      <c r="G274" s="26"/>
    </row>
    <row r="275" spans="1:7">
      <c r="A275" s="26"/>
      <c r="B275" s="26"/>
      <c r="C275" s="51"/>
      <c r="D275" s="49"/>
      <c r="E275" s="50"/>
      <c r="F275" s="26"/>
      <c r="G275" s="26"/>
    </row>
    <row r="276" spans="1:7">
      <c r="A276" s="26"/>
      <c r="B276" s="26"/>
      <c r="C276" s="51"/>
      <c r="D276" s="49"/>
      <c r="E276" s="50"/>
      <c r="F276" s="26"/>
      <c r="G276" s="26"/>
    </row>
    <row r="277" spans="1:7">
      <c r="A277" s="26"/>
      <c r="B277" s="26"/>
      <c r="C277" s="51"/>
      <c r="D277" s="49"/>
      <c r="E277" s="50"/>
      <c r="F277" s="26"/>
      <c r="G277" s="26"/>
    </row>
    <row r="278" spans="1:7">
      <c r="A278" s="26"/>
      <c r="B278" s="26"/>
      <c r="C278" s="51"/>
      <c r="D278" s="49"/>
      <c r="E278" s="50"/>
      <c r="F278" s="26"/>
      <c r="G278" s="26"/>
    </row>
    <row r="279" spans="1:7">
      <c r="A279" s="26"/>
      <c r="B279" s="26"/>
      <c r="C279" s="51"/>
      <c r="D279" s="49"/>
      <c r="E279" s="50"/>
      <c r="F279" s="26"/>
      <c r="G279" s="26"/>
    </row>
    <row r="280" spans="1:7">
      <c r="A280" s="26"/>
      <c r="B280" s="26"/>
      <c r="C280" s="51"/>
      <c r="D280" s="49"/>
      <c r="E280" s="50"/>
      <c r="F280" s="26"/>
      <c r="G280" s="26"/>
    </row>
    <row r="281" spans="1:7">
      <c r="A281" s="26"/>
      <c r="B281" s="26"/>
      <c r="C281" s="51"/>
      <c r="D281" s="49"/>
      <c r="E281" s="50"/>
      <c r="F281" s="26"/>
      <c r="G281" s="26"/>
    </row>
    <row r="282" spans="1:7">
      <c r="A282" s="26"/>
      <c r="B282" s="26"/>
      <c r="C282" s="51"/>
      <c r="D282" s="49"/>
      <c r="E282" s="50"/>
      <c r="F282" s="26"/>
      <c r="G282" s="26"/>
    </row>
    <row r="283" spans="1:7">
      <c r="A283" s="26"/>
      <c r="B283" s="26"/>
      <c r="C283" s="51"/>
      <c r="D283" s="49"/>
      <c r="E283" s="50"/>
      <c r="F283" s="26"/>
      <c r="G283" s="26"/>
    </row>
    <row r="284" spans="1:7">
      <c r="A284" s="26"/>
      <c r="B284" s="26"/>
      <c r="C284" s="51"/>
      <c r="D284" s="49"/>
      <c r="E284" s="50"/>
      <c r="F284" s="26"/>
      <c r="G284" s="26"/>
    </row>
    <row r="285" spans="1:7">
      <c r="A285" s="26"/>
      <c r="B285" s="26"/>
      <c r="C285" s="51"/>
      <c r="D285" s="49"/>
      <c r="E285" s="50"/>
      <c r="F285" s="26"/>
      <c r="G285" s="26"/>
    </row>
    <row r="286" spans="1:7">
      <c r="A286" s="26"/>
      <c r="B286" s="26"/>
      <c r="C286" s="51"/>
      <c r="D286" s="49"/>
      <c r="E286" s="50"/>
      <c r="F286" s="26"/>
      <c r="G286" s="26"/>
    </row>
    <row r="287" spans="1:7">
      <c r="A287" s="26"/>
      <c r="B287" s="26"/>
      <c r="C287" s="51"/>
      <c r="D287" s="49"/>
      <c r="E287" s="50"/>
      <c r="F287" s="26"/>
      <c r="G287" s="26"/>
    </row>
    <row r="288" spans="1:7">
      <c r="A288" s="26"/>
      <c r="B288" s="26"/>
      <c r="C288" s="51"/>
      <c r="D288" s="49"/>
      <c r="E288" s="50"/>
      <c r="F288" s="26"/>
      <c r="G288" s="26"/>
    </row>
    <row r="289" spans="1:7">
      <c r="A289" s="26"/>
      <c r="B289" s="26"/>
      <c r="C289" s="51"/>
      <c r="D289" s="49"/>
      <c r="E289" s="50"/>
      <c r="F289" s="26"/>
      <c r="G289" s="26"/>
    </row>
    <row r="290" spans="1:7">
      <c r="A290" s="26"/>
      <c r="B290" s="26"/>
      <c r="C290" s="51"/>
      <c r="D290" s="49"/>
      <c r="E290" s="50"/>
      <c r="F290" s="26"/>
      <c r="G290" s="26"/>
    </row>
    <row r="291" spans="1:7">
      <c r="A291" s="26"/>
      <c r="B291" s="26"/>
      <c r="C291" s="51"/>
      <c r="D291" s="49"/>
      <c r="E291" s="50"/>
      <c r="F291" s="26"/>
      <c r="G291" s="26"/>
    </row>
    <row r="292" spans="1:7">
      <c r="A292" s="26"/>
      <c r="B292" s="26"/>
      <c r="C292" s="51"/>
      <c r="D292" s="49"/>
      <c r="E292" s="50"/>
      <c r="F292" s="26"/>
      <c r="G292" s="26"/>
    </row>
    <row r="293" spans="1:7">
      <c r="A293" s="26"/>
      <c r="B293" s="26"/>
      <c r="C293" s="51"/>
      <c r="D293" s="49"/>
      <c r="E293" s="50"/>
      <c r="F293" s="26"/>
      <c r="G293" s="26"/>
    </row>
    <row r="294" spans="1:7">
      <c r="A294" s="26"/>
      <c r="B294" s="26"/>
      <c r="C294" s="51"/>
      <c r="D294" s="49"/>
      <c r="E294" s="50"/>
      <c r="F294" s="26"/>
      <c r="G294" s="26"/>
    </row>
    <row r="295" spans="1:7">
      <c r="A295" s="26"/>
      <c r="B295" s="26"/>
      <c r="C295" s="51"/>
      <c r="D295" s="49"/>
      <c r="E295" s="50"/>
      <c r="F295" s="26"/>
      <c r="G295" s="26"/>
    </row>
    <row r="296" spans="1:7">
      <c r="A296" s="26"/>
      <c r="B296" s="26"/>
      <c r="C296" s="51"/>
      <c r="D296" s="49"/>
      <c r="E296" s="50"/>
      <c r="F296" s="26"/>
      <c r="G296" s="26"/>
    </row>
    <row r="297" spans="1:7">
      <c r="A297" s="26"/>
      <c r="B297" s="26"/>
      <c r="C297" s="51"/>
      <c r="D297" s="49"/>
      <c r="E297" s="50"/>
      <c r="F297" s="26"/>
      <c r="G297" s="26"/>
    </row>
    <row r="298" spans="1:7">
      <c r="A298" s="26"/>
      <c r="B298" s="26"/>
      <c r="C298" s="51"/>
      <c r="D298" s="49"/>
      <c r="E298" s="50"/>
      <c r="F298" s="26"/>
      <c r="G298" s="26"/>
    </row>
    <row r="299" spans="1:7">
      <c r="A299" s="26"/>
      <c r="B299" s="26"/>
      <c r="C299" s="51"/>
      <c r="D299" s="49"/>
      <c r="E299" s="50"/>
      <c r="F299" s="26"/>
      <c r="G299" s="26"/>
    </row>
    <row r="300" spans="1:7">
      <c r="A300" s="26"/>
      <c r="B300" s="26"/>
      <c r="C300" s="51"/>
      <c r="D300" s="49"/>
      <c r="E300" s="50"/>
      <c r="F300" s="26"/>
      <c r="G300" s="26"/>
    </row>
    <row r="301" spans="1:7">
      <c r="A301" s="26"/>
      <c r="B301" s="26"/>
      <c r="C301" s="51"/>
      <c r="D301" s="49"/>
      <c r="E301" s="50"/>
      <c r="F301" s="26"/>
      <c r="G301" s="26"/>
    </row>
    <row r="302" spans="1:7">
      <c r="A302" s="26"/>
      <c r="B302" s="26"/>
      <c r="C302" s="51"/>
      <c r="D302" s="49"/>
      <c r="E302" s="50"/>
      <c r="F302" s="26"/>
      <c r="G302" s="26"/>
    </row>
    <row r="303" spans="1:7">
      <c r="A303" s="26"/>
      <c r="B303" s="26"/>
      <c r="C303" s="51"/>
      <c r="D303" s="49"/>
      <c r="E303" s="50"/>
      <c r="F303" s="26"/>
      <c r="G303" s="26"/>
    </row>
    <row r="304" spans="1:7">
      <c r="A304" s="26"/>
      <c r="B304" s="26"/>
      <c r="C304" s="51"/>
      <c r="D304" s="49"/>
      <c r="E304" s="50"/>
      <c r="F304" s="26"/>
      <c r="G304" s="26"/>
    </row>
    <row r="305" spans="1:7">
      <c r="A305" s="26"/>
      <c r="B305" s="26"/>
      <c r="C305" s="51"/>
      <c r="D305" s="49"/>
      <c r="E305" s="50"/>
      <c r="F305" s="26"/>
      <c r="G305" s="26"/>
    </row>
    <row r="306" spans="1:7">
      <c r="A306" s="26"/>
      <c r="B306" s="26"/>
      <c r="C306" s="51"/>
      <c r="D306" s="49"/>
      <c r="E306" s="50"/>
      <c r="F306" s="26"/>
      <c r="G306" s="26"/>
    </row>
    <row r="307" spans="1:7">
      <c r="A307" s="26"/>
      <c r="B307" s="26"/>
      <c r="C307" s="51"/>
      <c r="D307" s="49"/>
      <c r="E307" s="50"/>
      <c r="F307" s="26"/>
      <c r="G307" s="26"/>
    </row>
    <row r="308" spans="1:7">
      <c r="A308" s="26"/>
      <c r="B308" s="26"/>
      <c r="C308" s="51"/>
      <c r="D308" s="49"/>
      <c r="E308" s="50"/>
      <c r="F308" s="26"/>
      <c r="G308" s="26"/>
    </row>
    <row r="309" spans="1:7">
      <c r="A309" s="26"/>
      <c r="B309" s="26"/>
      <c r="C309" s="51"/>
      <c r="D309" s="49"/>
      <c r="E309" s="50"/>
      <c r="F309" s="26"/>
      <c r="G309" s="26"/>
    </row>
    <row r="310" spans="1:7">
      <c r="A310" s="26"/>
      <c r="B310" s="26"/>
      <c r="C310" s="51"/>
      <c r="D310" s="49"/>
      <c r="E310" s="50"/>
      <c r="F310" s="26"/>
      <c r="G310" s="26"/>
    </row>
    <row r="311" spans="1:7">
      <c r="A311" s="26"/>
      <c r="B311" s="26"/>
      <c r="C311" s="51"/>
      <c r="D311" s="49"/>
      <c r="E311" s="50"/>
      <c r="F311" s="26"/>
      <c r="G311" s="26"/>
    </row>
    <row r="312" spans="1:7">
      <c r="A312" s="26"/>
      <c r="B312" s="26"/>
      <c r="C312" s="51"/>
      <c r="D312" s="49"/>
      <c r="E312" s="50"/>
      <c r="F312" s="26"/>
      <c r="G312" s="26"/>
    </row>
    <row r="313" spans="1:7">
      <c r="A313" s="26"/>
      <c r="B313" s="26"/>
      <c r="C313" s="51"/>
      <c r="D313" s="49"/>
      <c r="E313" s="50"/>
      <c r="F313" s="26"/>
      <c r="G313" s="26"/>
    </row>
    <row r="314" spans="1:7">
      <c r="A314" s="26"/>
      <c r="B314" s="26"/>
      <c r="C314" s="51"/>
      <c r="D314" s="49"/>
      <c r="E314" s="50"/>
      <c r="F314" s="26"/>
      <c r="G314" s="26"/>
    </row>
    <row r="315" spans="1:7">
      <c r="A315" s="26"/>
      <c r="B315" s="26"/>
      <c r="C315" s="51"/>
      <c r="D315" s="49"/>
      <c r="E315" s="50"/>
      <c r="F315" s="26"/>
      <c r="G315" s="26"/>
    </row>
    <row r="316" spans="1:7">
      <c r="A316" s="26"/>
      <c r="B316" s="26"/>
      <c r="C316" s="51"/>
      <c r="D316" s="49"/>
      <c r="E316" s="50"/>
      <c r="F316" s="26"/>
      <c r="G316" s="26"/>
    </row>
    <row r="317" spans="1:7">
      <c r="A317" s="26"/>
      <c r="B317" s="26"/>
      <c r="C317" s="51"/>
      <c r="D317" s="49"/>
      <c r="E317" s="50"/>
      <c r="F317" s="26"/>
      <c r="G317" s="26"/>
    </row>
    <row r="318" spans="1:7">
      <c r="A318" s="26"/>
      <c r="B318" s="26"/>
      <c r="C318" s="51"/>
      <c r="D318" s="49"/>
      <c r="E318" s="50"/>
      <c r="F318" s="26"/>
      <c r="G318" s="26"/>
    </row>
    <row r="319" spans="1:7">
      <c r="A319" s="26"/>
      <c r="B319" s="26"/>
      <c r="C319" s="51"/>
      <c r="D319" s="49"/>
      <c r="E319" s="50"/>
      <c r="F319" s="26"/>
      <c r="G319" s="26"/>
    </row>
    <row r="320" spans="1:7">
      <c r="A320" s="26"/>
      <c r="B320" s="26"/>
      <c r="C320" s="51"/>
      <c r="D320" s="49"/>
      <c r="E320" s="50"/>
      <c r="F320" s="26"/>
      <c r="G320" s="26"/>
    </row>
    <row r="321" spans="1:7">
      <c r="A321" s="26"/>
      <c r="B321" s="26"/>
      <c r="C321" s="51"/>
      <c r="D321" s="49"/>
      <c r="E321" s="50"/>
      <c r="F321" s="26"/>
      <c r="G321" s="26"/>
    </row>
    <row r="322" spans="1:7">
      <c r="A322" s="26"/>
      <c r="B322" s="26"/>
      <c r="C322" s="51"/>
      <c r="D322" s="49"/>
      <c r="E322" s="50"/>
      <c r="F322" s="26"/>
      <c r="G322" s="26"/>
    </row>
    <row r="323" spans="1:7">
      <c r="A323" s="26"/>
      <c r="B323" s="26"/>
      <c r="C323" s="51"/>
      <c r="D323" s="49"/>
      <c r="E323" s="50"/>
      <c r="F323" s="26"/>
      <c r="G323" s="26"/>
    </row>
    <row r="324" spans="1:7">
      <c r="A324" s="26"/>
      <c r="B324" s="26"/>
      <c r="C324" s="51"/>
      <c r="D324" s="49"/>
      <c r="E324" s="50"/>
      <c r="F324" s="26"/>
      <c r="G324" s="26"/>
    </row>
    <row r="325" spans="1:7">
      <c r="A325" s="26"/>
      <c r="B325" s="26"/>
      <c r="C325" s="51"/>
      <c r="D325" s="49"/>
      <c r="E325" s="50"/>
      <c r="F325" s="26"/>
      <c r="G325" s="26"/>
    </row>
    <row r="326" spans="1:7">
      <c r="A326" s="26"/>
      <c r="B326" s="26"/>
      <c r="C326" s="51"/>
      <c r="D326" s="49"/>
      <c r="E326" s="50"/>
      <c r="F326" s="26"/>
      <c r="G326" s="26"/>
    </row>
    <row r="327" spans="1:7">
      <c r="A327" s="26"/>
      <c r="B327" s="26"/>
      <c r="C327" s="51"/>
      <c r="D327" s="49"/>
      <c r="E327" s="50"/>
      <c r="F327" s="26"/>
      <c r="G327" s="26"/>
    </row>
    <row r="328" spans="1:7">
      <c r="A328" s="26"/>
      <c r="B328" s="26"/>
      <c r="C328" s="51"/>
      <c r="D328" s="49"/>
      <c r="E328" s="50"/>
      <c r="F328" s="26"/>
      <c r="G328" s="26"/>
    </row>
    <row r="329" spans="1:7">
      <c r="A329" s="26"/>
      <c r="B329" s="26"/>
      <c r="C329" s="51"/>
      <c r="D329" s="49"/>
      <c r="E329" s="50"/>
      <c r="F329" s="26"/>
      <c r="G329" s="26"/>
    </row>
    <row r="330" spans="1:7">
      <c r="A330" s="26"/>
      <c r="B330" s="26"/>
      <c r="C330" s="51"/>
      <c r="D330" s="49"/>
      <c r="E330" s="50"/>
      <c r="F330" s="26"/>
      <c r="G330" s="26"/>
    </row>
    <row r="331" spans="1:7">
      <c r="A331" s="26"/>
      <c r="B331" s="26"/>
      <c r="C331" s="51"/>
      <c r="D331" s="49"/>
      <c r="E331" s="50"/>
      <c r="F331" s="26"/>
      <c r="G331" s="26"/>
    </row>
    <row r="332" spans="1:7">
      <c r="A332" s="26"/>
      <c r="B332" s="26"/>
      <c r="C332" s="51"/>
      <c r="D332" s="49"/>
      <c r="E332" s="50"/>
      <c r="F332" s="26"/>
      <c r="G332" s="26"/>
    </row>
    <row r="333" spans="1:7">
      <c r="A333" s="26"/>
      <c r="B333" s="26"/>
      <c r="C333" s="51"/>
      <c r="D333" s="49"/>
      <c r="E333" s="50"/>
      <c r="F333" s="26"/>
      <c r="G333" s="26"/>
    </row>
    <row r="334" spans="1:7">
      <c r="A334" s="26"/>
      <c r="B334" s="26"/>
      <c r="C334" s="51"/>
      <c r="D334" s="49"/>
      <c r="E334" s="50"/>
      <c r="F334" s="26"/>
      <c r="G334" s="26"/>
    </row>
    <row r="335" spans="1:7">
      <c r="A335" s="26"/>
      <c r="B335" s="26"/>
      <c r="C335" s="51"/>
      <c r="D335" s="49"/>
      <c r="E335" s="50"/>
      <c r="F335" s="26"/>
      <c r="G335" s="26"/>
    </row>
    <row r="336" spans="1:7">
      <c r="A336" s="26"/>
      <c r="B336" s="26"/>
      <c r="C336" s="51"/>
      <c r="D336" s="49"/>
      <c r="E336" s="50"/>
      <c r="F336" s="26"/>
      <c r="G336" s="26"/>
    </row>
    <row r="337" spans="1:7">
      <c r="A337" s="26"/>
      <c r="B337" s="26"/>
      <c r="C337" s="51"/>
      <c r="D337" s="49"/>
      <c r="E337" s="50"/>
      <c r="F337" s="26"/>
      <c r="G337" s="26"/>
    </row>
    <row r="338" spans="1:7">
      <c r="A338" s="26"/>
      <c r="B338" s="26"/>
      <c r="C338" s="51"/>
      <c r="D338" s="49"/>
      <c r="E338" s="50"/>
      <c r="F338" s="26"/>
      <c r="G338" s="26"/>
    </row>
    <row r="339" spans="1:7">
      <c r="A339" s="26"/>
      <c r="B339" s="26"/>
      <c r="C339" s="51"/>
      <c r="D339" s="49"/>
      <c r="E339" s="50"/>
      <c r="F339" s="26"/>
      <c r="G339" s="26"/>
    </row>
    <row r="340" spans="1:7">
      <c r="A340" s="26"/>
      <c r="B340" s="26"/>
      <c r="C340" s="51"/>
      <c r="D340" s="49"/>
      <c r="E340" s="50"/>
      <c r="F340" s="26"/>
      <c r="G340" s="26"/>
    </row>
    <row r="341" spans="1:7">
      <c r="A341" s="26"/>
      <c r="B341" s="26"/>
      <c r="C341" s="51"/>
      <c r="D341" s="49"/>
      <c r="E341" s="50"/>
      <c r="F341" s="26"/>
      <c r="G341" s="26"/>
    </row>
    <row r="342" spans="1:7">
      <c r="A342" s="26"/>
      <c r="B342" s="26"/>
      <c r="C342" s="51"/>
      <c r="D342" s="49"/>
      <c r="E342" s="50"/>
      <c r="F342" s="26"/>
      <c r="G342" s="26"/>
    </row>
    <row r="343" spans="1:7">
      <c r="A343" s="26"/>
      <c r="B343" s="26"/>
      <c r="C343" s="51"/>
      <c r="D343" s="49"/>
      <c r="E343" s="50"/>
      <c r="F343" s="26"/>
      <c r="G343" s="26"/>
    </row>
    <row r="344" spans="1:7">
      <c r="A344" s="26"/>
      <c r="B344" s="26"/>
      <c r="C344" s="51"/>
      <c r="D344" s="49"/>
      <c r="E344" s="50"/>
      <c r="F344" s="26"/>
      <c r="G344" s="26"/>
    </row>
    <row r="345" spans="1:7">
      <c r="A345" s="26"/>
      <c r="B345" s="26"/>
      <c r="C345" s="51"/>
      <c r="D345" s="49"/>
      <c r="E345" s="50"/>
      <c r="F345" s="26"/>
      <c r="G345" s="26"/>
    </row>
    <row r="346" spans="1:7">
      <c r="A346" s="26"/>
      <c r="B346" s="26"/>
      <c r="C346" s="51"/>
      <c r="D346" s="49"/>
      <c r="E346" s="50"/>
      <c r="F346" s="26"/>
      <c r="G346" s="26"/>
    </row>
    <row r="347" spans="1:7">
      <c r="A347" s="26"/>
      <c r="B347" s="26"/>
      <c r="C347" s="51"/>
      <c r="D347" s="49"/>
      <c r="E347" s="50"/>
      <c r="F347" s="26"/>
      <c r="G347" s="26"/>
    </row>
    <row r="348" spans="1:7">
      <c r="A348" s="26"/>
      <c r="B348" s="26"/>
      <c r="C348" s="51"/>
      <c r="D348" s="49"/>
      <c r="E348" s="50"/>
      <c r="F348" s="26"/>
      <c r="G348" s="26"/>
    </row>
    <row r="349" spans="1:7">
      <c r="A349" s="26"/>
      <c r="B349" s="26"/>
      <c r="C349" s="51"/>
      <c r="D349" s="49"/>
      <c r="E349" s="50"/>
      <c r="F349" s="26"/>
      <c r="G349" s="26"/>
    </row>
    <row r="350" spans="1:7">
      <c r="A350" s="26"/>
      <c r="B350" s="26"/>
      <c r="C350" s="51"/>
      <c r="D350" s="49"/>
      <c r="E350" s="50"/>
      <c r="F350" s="26"/>
      <c r="G350" s="26"/>
    </row>
    <row r="351" spans="1:7">
      <c r="A351" s="26"/>
      <c r="B351" s="26"/>
      <c r="C351" s="51"/>
      <c r="D351" s="49"/>
      <c r="E351" s="50"/>
      <c r="F351" s="26"/>
      <c r="G351" s="26"/>
    </row>
    <row r="352" spans="1:7">
      <c r="A352" s="26"/>
      <c r="B352" s="26"/>
      <c r="C352" s="51"/>
      <c r="D352" s="49"/>
      <c r="E352" s="50"/>
      <c r="F352" s="26"/>
      <c r="G352" s="26"/>
    </row>
    <row r="353" spans="1:7">
      <c r="A353" s="26"/>
      <c r="B353" s="26"/>
      <c r="C353" s="51"/>
      <c r="D353" s="49"/>
      <c r="E353" s="50"/>
      <c r="F353" s="26"/>
      <c r="G353" s="26"/>
    </row>
    <row r="354" spans="1:7">
      <c r="A354" s="26"/>
      <c r="B354" s="26"/>
      <c r="C354" s="51"/>
      <c r="D354" s="49"/>
      <c r="E354" s="50"/>
      <c r="F354" s="26"/>
      <c r="G354" s="26"/>
    </row>
    <row r="355" spans="1:7">
      <c r="A355" s="26"/>
      <c r="B355" s="26"/>
      <c r="C355" s="51"/>
      <c r="D355" s="49"/>
      <c r="E355" s="50"/>
      <c r="F355" s="26"/>
      <c r="G355" s="26"/>
    </row>
    <row r="356" spans="1:7">
      <c r="A356" s="26"/>
      <c r="B356" s="26"/>
      <c r="C356" s="51"/>
      <c r="D356" s="49"/>
      <c r="E356" s="50"/>
      <c r="F356" s="26"/>
      <c r="G356" s="26"/>
    </row>
    <row r="357" spans="1:7">
      <c r="A357" s="26"/>
      <c r="B357" s="26"/>
      <c r="C357" s="51"/>
      <c r="D357" s="49"/>
      <c r="E357" s="50"/>
      <c r="F357" s="26"/>
      <c r="G357" s="26"/>
    </row>
    <row r="358" spans="1:7">
      <c r="A358" s="26"/>
      <c r="B358" s="26"/>
      <c r="C358" s="51"/>
      <c r="D358" s="49"/>
      <c r="E358" s="50"/>
      <c r="F358" s="26"/>
      <c r="G358" s="26"/>
    </row>
    <row r="359" spans="1:7">
      <c r="A359" s="26"/>
      <c r="B359" s="26"/>
      <c r="C359" s="51"/>
      <c r="D359" s="49"/>
      <c r="E359" s="50"/>
      <c r="F359" s="26"/>
      <c r="G359" s="26"/>
    </row>
    <row r="360" spans="1:7">
      <c r="A360" s="26"/>
      <c r="B360" s="26"/>
      <c r="C360" s="51"/>
      <c r="D360" s="49"/>
      <c r="E360" s="50"/>
      <c r="F360" s="26"/>
      <c r="G360" s="26"/>
    </row>
    <row r="361" spans="1:7">
      <c r="A361" s="26"/>
      <c r="B361" s="26"/>
      <c r="C361" s="51"/>
      <c r="D361" s="49"/>
      <c r="E361" s="50"/>
      <c r="F361" s="26"/>
      <c r="G361" s="26"/>
    </row>
    <row r="362" spans="1:7">
      <c r="A362" s="26"/>
      <c r="B362" s="26"/>
      <c r="C362" s="51"/>
      <c r="D362" s="49"/>
      <c r="E362" s="50"/>
      <c r="F362" s="26"/>
      <c r="G362" s="26"/>
    </row>
    <row r="363" spans="1:7">
      <c r="A363" s="26"/>
      <c r="B363" s="26"/>
      <c r="C363" s="51"/>
      <c r="D363" s="49"/>
      <c r="E363" s="50"/>
      <c r="F363" s="26"/>
      <c r="G363" s="26"/>
    </row>
    <row r="364" spans="1:7">
      <c r="A364" s="26"/>
      <c r="B364" s="26"/>
      <c r="C364" s="51"/>
      <c r="D364" s="49"/>
      <c r="E364" s="50"/>
      <c r="F364" s="26"/>
      <c r="G364" s="26"/>
    </row>
    <row r="365" spans="1:7">
      <c r="A365" s="26"/>
      <c r="B365" s="26"/>
      <c r="C365" s="51"/>
      <c r="D365" s="49"/>
      <c r="E365" s="50"/>
      <c r="F365" s="26"/>
      <c r="G365" s="26"/>
    </row>
    <row r="366" spans="1:7">
      <c r="A366" s="26"/>
      <c r="B366" s="26"/>
      <c r="C366" s="51"/>
      <c r="D366" s="49"/>
      <c r="E366" s="50"/>
      <c r="F366" s="26"/>
      <c r="G366" s="26"/>
    </row>
    <row r="367" spans="1:7">
      <c r="A367" s="26"/>
      <c r="B367" s="26"/>
      <c r="C367" s="51"/>
      <c r="D367" s="49"/>
      <c r="E367" s="50"/>
      <c r="F367" s="26"/>
      <c r="G367" s="26"/>
    </row>
    <row r="368" spans="1:7">
      <c r="A368" s="26"/>
      <c r="B368" s="26"/>
      <c r="C368" s="51"/>
      <c r="D368" s="49"/>
      <c r="E368" s="50"/>
      <c r="F368" s="26"/>
      <c r="G368" s="26"/>
    </row>
    <row r="369" spans="1:7">
      <c r="A369" s="26"/>
      <c r="B369" s="26"/>
      <c r="C369" s="51"/>
      <c r="D369" s="49"/>
      <c r="E369" s="50"/>
      <c r="F369" s="26"/>
      <c r="G369" s="26"/>
    </row>
    <row r="370" spans="1:7">
      <c r="A370" s="26"/>
      <c r="B370" s="26"/>
      <c r="C370" s="51"/>
      <c r="D370" s="49"/>
      <c r="E370" s="50"/>
      <c r="F370" s="26"/>
      <c r="G370" s="26"/>
    </row>
    <row r="371" spans="1:7">
      <c r="A371" s="26"/>
      <c r="B371" s="26"/>
      <c r="C371" s="51"/>
      <c r="D371" s="49"/>
      <c r="E371" s="50"/>
      <c r="F371" s="26"/>
      <c r="G371" s="26"/>
    </row>
    <row r="372" spans="1:7">
      <c r="A372" s="26"/>
      <c r="B372" s="26"/>
      <c r="C372" s="51"/>
      <c r="D372" s="49"/>
      <c r="E372" s="50"/>
      <c r="F372" s="26"/>
      <c r="G372" s="26"/>
    </row>
    <row r="373" spans="1:7">
      <c r="A373" s="26"/>
      <c r="B373" s="26"/>
      <c r="C373" s="51"/>
      <c r="D373" s="49"/>
      <c r="E373" s="50"/>
      <c r="F373" s="26"/>
      <c r="G373" s="26"/>
    </row>
    <row r="374" spans="1:7">
      <c r="A374" s="26"/>
      <c r="B374" s="26"/>
      <c r="C374" s="51"/>
      <c r="D374" s="49"/>
      <c r="E374" s="50"/>
      <c r="F374" s="26"/>
      <c r="G374" s="26"/>
    </row>
    <row r="375" spans="1:7">
      <c r="A375" s="26"/>
      <c r="B375" s="26"/>
      <c r="C375" s="51"/>
      <c r="D375" s="49"/>
      <c r="E375" s="50"/>
      <c r="F375" s="26"/>
      <c r="G375" s="26"/>
    </row>
    <row r="376" spans="1:7">
      <c r="A376" s="26"/>
      <c r="B376" s="26"/>
      <c r="C376" s="51"/>
      <c r="D376" s="49"/>
      <c r="E376" s="50"/>
      <c r="F376" s="26"/>
      <c r="G376" s="26"/>
    </row>
    <row r="377" spans="1:7">
      <c r="A377" s="26"/>
      <c r="B377" s="26"/>
      <c r="C377" s="51"/>
      <c r="D377" s="49"/>
      <c r="E377" s="50"/>
      <c r="F377" s="26"/>
      <c r="G377" s="26"/>
    </row>
    <row r="378" spans="1:7">
      <c r="A378" s="26"/>
      <c r="B378" s="26"/>
      <c r="C378" s="51"/>
      <c r="D378" s="49"/>
      <c r="E378" s="50"/>
      <c r="F378" s="26"/>
      <c r="G378" s="26"/>
    </row>
    <row r="379" spans="1:7">
      <c r="A379" s="26"/>
      <c r="B379" s="26"/>
      <c r="C379" s="51"/>
      <c r="D379" s="49"/>
      <c r="E379" s="50"/>
      <c r="F379" s="26"/>
      <c r="G379" s="26"/>
    </row>
    <row r="380" spans="1:7">
      <c r="A380" s="26"/>
      <c r="B380" s="26"/>
      <c r="C380" s="51"/>
      <c r="D380" s="49"/>
      <c r="E380" s="50"/>
      <c r="F380" s="26"/>
      <c r="G380" s="26"/>
    </row>
    <row r="381" spans="1:7">
      <c r="A381" s="26"/>
      <c r="B381" s="26"/>
      <c r="C381" s="51"/>
      <c r="D381" s="49"/>
      <c r="E381" s="50"/>
      <c r="F381" s="26"/>
      <c r="G381" s="26"/>
    </row>
    <row r="382" spans="1:7">
      <c r="A382" s="26"/>
      <c r="B382" s="26"/>
      <c r="C382" s="51"/>
      <c r="D382" s="49"/>
      <c r="E382" s="50"/>
      <c r="F382" s="26"/>
      <c r="G382" s="26"/>
    </row>
    <row r="383" spans="1:7">
      <c r="A383" s="26"/>
      <c r="B383" s="26"/>
      <c r="C383" s="51"/>
      <c r="D383" s="49"/>
      <c r="E383" s="50"/>
      <c r="F383" s="26"/>
      <c r="G383" s="26"/>
    </row>
    <row r="384" spans="1:7">
      <c r="A384" s="26"/>
      <c r="B384" s="26"/>
      <c r="C384" s="51"/>
      <c r="D384" s="49"/>
      <c r="E384" s="50"/>
      <c r="F384" s="26"/>
      <c r="G384" s="26"/>
    </row>
    <row r="385" spans="1:7">
      <c r="A385" s="26"/>
      <c r="B385" s="26"/>
      <c r="C385" s="51"/>
      <c r="D385" s="49"/>
      <c r="E385" s="50"/>
      <c r="F385" s="26"/>
      <c r="G385" s="26"/>
    </row>
    <row r="386" spans="1:7">
      <c r="A386" s="26"/>
      <c r="B386" s="26"/>
      <c r="C386" s="51"/>
      <c r="D386" s="49"/>
      <c r="E386" s="50"/>
      <c r="F386" s="26"/>
      <c r="G386" s="26"/>
    </row>
    <row r="387" spans="1:7">
      <c r="A387" s="26"/>
      <c r="B387" s="26"/>
      <c r="C387" s="51"/>
      <c r="D387" s="49"/>
      <c r="E387" s="50"/>
      <c r="F387" s="26"/>
      <c r="G387" s="26"/>
    </row>
    <row r="388" spans="1:7">
      <c r="A388" s="26"/>
      <c r="B388" s="26"/>
      <c r="C388" s="51"/>
      <c r="D388" s="49"/>
      <c r="E388" s="50"/>
      <c r="F388" s="26"/>
      <c r="G388" s="26"/>
    </row>
    <row r="389" spans="1:7">
      <c r="A389" s="26"/>
      <c r="B389" s="26"/>
      <c r="C389" s="51"/>
      <c r="D389" s="49"/>
      <c r="E389" s="50"/>
      <c r="F389" s="26"/>
      <c r="G389" s="26"/>
    </row>
    <row r="390" spans="1:7">
      <c r="A390" s="26"/>
      <c r="B390" s="26"/>
      <c r="C390" s="51"/>
      <c r="D390" s="49"/>
      <c r="E390" s="50"/>
      <c r="F390" s="26"/>
      <c r="G390" s="26"/>
    </row>
    <row r="391" spans="1:7">
      <c r="A391" s="26"/>
      <c r="B391" s="26"/>
      <c r="C391" s="51"/>
      <c r="D391" s="49"/>
      <c r="E391" s="50"/>
      <c r="F391" s="26"/>
      <c r="G391" s="26"/>
    </row>
    <row r="392" spans="1:7">
      <c r="A392" s="26"/>
      <c r="B392" s="26"/>
      <c r="C392" s="51"/>
      <c r="D392" s="49"/>
      <c r="E392" s="50"/>
      <c r="F392" s="26"/>
      <c r="G392" s="26"/>
    </row>
    <row r="393" spans="1:7">
      <c r="A393" s="26"/>
      <c r="B393" s="26"/>
      <c r="C393" s="51"/>
      <c r="D393" s="49"/>
      <c r="E393" s="50"/>
      <c r="F393" s="26"/>
      <c r="G393" s="26"/>
    </row>
    <row r="394" spans="1:7">
      <c r="A394" s="26"/>
      <c r="B394" s="26"/>
      <c r="C394" s="51"/>
      <c r="D394" s="49"/>
      <c r="E394" s="50"/>
      <c r="F394" s="26"/>
      <c r="G394" s="26"/>
    </row>
    <row r="395" spans="1:7">
      <c r="A395" s="26"/>
      <c r="B395" s="26"/>
      <c r="C395" s="51"/>
      <c r="D395" s="49"/>
      <c r="E395" s="50"/>
      <c r="F395" s="26"/>
      <c r="G395" s="26"/>
    </row>
    <row r="396" spans="1:7">
      <c r="A396" s="26"/>
      <c r="B396" s="26"/>
      <c r="C396" s="51"/>
      <c r="D396" s="49"/>
      <c r="E396" s="50"/>
      <c r="F396" s="26"/>
      <c r="G396" s="26"/>
    </row>
    <row r="397" spans="1:7">
      <c r="A397" s="26"/>
      <c r="B397" s="26"/>
      <c r="C397" s="51"/>
      <c r="D397" s="49"/>
      <c r="E397" s="50"/>
      <c r="F397" s="26"/>
      <c r="G397" s="26"/>
    </row>
    <row r="398" spans="1:7">
      <c r="A398" s="26"/>
      <c r="B398" s="26"/>
      <c r="C398" s="51"/>
      <c r="D398" s="49"/>
      <c r="E398" s="50"/>
      <c r="F398" s="26"/>
      <c r="G398" s="26"/>
    </row>
    <row r="399" spans="1:7">
      <c r="A399" s="26"/>
      <c r="B399" s="26"/>
      <c r="C399" s="51"/>
      <c r="D399" s="49"/>
      <c r="E399" s="50"/>
      <c r="F399" s="26"/>
      <c r="G399" s="26"/>
    </row>
    <row r="400" spans="1:7">
      <c r="A400" s="26"/>
      <c r="B400" s="26"/>
      <c r="C400" s="51"/>
      <c r="D400" s="49"/>
      <c r="E400" s="50"/>
      <c r="F400" s="26"/>
      <c r="G400" s="26"/>
    </row>
    <row r="401" spans="1:7">
      <c r="A401" s="26"/>
      <c r="B401" s="26"/>
      <c r="C401" s="51"/>
      <c r="D401" s="49"/>
      <c r="E401" s="50"/>
      <c r="F401" s="26"/>
      <c r="G401" s="26"/>
    </row>
    <row r="402" spans="1:7">
      <c r="A402" s="26"/>
      <c r="B402" s="26"/>
      <c r="C402" s="51"/>
      <c r="D402" s="49"/>
      <c r="E402" s="50"/>
      <c r="F402" s="26"/>
      <c r="G402" s="26"/>
    </row>
    <row r="403" spans="1:7">
      <c r="A403" s="26"/>
      <c r="B403" s="26"/>
      <c r="C403" s="51"/>
      <c r="D403" s="49"/>
      <c r="E403" s="50"/>
      <c r="F403" s="26"/>
      <c r="G403" s="26"/>
    </row>
    <row r="404" spans="1:7">
      <c r="A404" s="26"/>
      <c r="B404" s="26"/>
      <c r="C404" s="51"/>
      <c r="D404" s="49"/>
      <c r="E404" s="50"/>
      <c r="F404" s="26"/>
      <c r="G404" s="26"/>
    </row>
    <row r="405" spans="1:7">
      <c r="A405" s="26"/>
      <c r="B405" s="26"/>
      <c r="C405" s="51"/>
      <c r="D405" s="49"/>
      <c r="E405" s="50"/>
      <c r="F405" s="26"/>
      <c r="G405" s="26"/>
    </row>
    <row r="406" spans="1:7">
      <c r="A406" s="26"/>
      <c r="B406" s="26"/>
      <c r="C406" s="51"/>
      <c r="D406" s="49"/>
      <c r="E406" s="50"/>
      <c r="F406" s="26"/>
      <c r="G406" s="26"/>
    </row>
    <row r="407" spans="1:7">
      <c r="A407" s="26"/>
      <c r="B407" s="26"/>
      <c r="C407" s="51"/>
      <c r="D407" s="49"/>
      <c r="E407" s="50"/>
      <c r="F407" s="26"/>
      <c r="G407" s="26"/>
    </row>
    <row r="408" spans="1:7">
      <c r="A408" s="26"/>
      <c r="B408" s="26"/>
      <c r="C408" s="51"/>
      <c r="D408" s="49"/>
      <c r="E408" s="50"/>
      <c r="F408" s="26"/>
      <c r="G408" s="26"/>
    </row>
    <row r="409" spans="1:7">
      <c r="A409" s="26"/>
      <c r="B409" s="26"/>
      <c r="C409" s="51"/>
      <c r="D409" s="49"/>
      <c r="E409" s="50"/>
      <c r="F409" s="26"/>
      <c r="G409" s="26"/>
    </row>
    <row r="410" spans="1:7">
      <c r="A410" s="26"/>
      <c r="B410" s="26"/>
      <c r="C410" s="51"/>
      <c r="D410" s="49"/>
      <c r="E410" s="50"/>
      <c r="F410" s="26"/>
      <c r="G410" s="26"/>
    </row>
    <row r="411" spans="1:7">
      <c r="A411" s="26"/>
      <c r="B411" s="26"/>
      <c r="C411" s="51"/>
      <c r="D411" s="49"/>
      <c r="E411" s="50"/>
      <c r="F411" s="26"/>
      <c r="G411" s="26"/>
    </row>
    <row r="412" spans="1:7">
      <c r="A412" s="26"/>
      <c r="B412" s="26"/>
      <c r="C412" s="51"/>
      <c r="D412" s="49"/>
      <c r="E412" s="50"/>
      <c r="F412" s="26"/>
      <c r="G412" s="26"/>
    </row>
    <row r="413" spans="1:7">
      <c r="A413" s="26"/>
      <c r="B413" s="26"/>
      <c r="C413" s="51"/>
      <c r="D413" s="49"/>
      <c r="E413" s="50"/>
      <c r="F413" s="26"/>
      <c r="G413" s="26"/>
    </row>
    <row r="414" spans="1:7">
      <c r="A414" s="26"/>
      <c r="B414" s="26"/>
      <c r="C414" s="51"/>
      <c r="D414" s="49"/>
      <c r="E414" s="50"/>
      <c r="F414" s="26"/>
      <c r="G414" s="26"/>
    </row>
    <row r="415" spans="1:7">
      <c r="A415" s="26"/>
      <c r="B415" s="26"/>
      <c r="C415" s="51"/>
      <c r="D415" s="49"/>
      <c r="E415" s="50"/>
      <c r="F415" s="26"/>
      <c r="G415" s="26"/>
    </row>
    <row r="416" spans="1:7">
      <c r="A416" s="26"/>
      <c r="B416" s="26"/>
      <c r="C416" s="51"/>
      <c r="D416" s="49"/>
      <c r="E416" s="50"/>
      <c r="F416" s="26"/>
      <c r="G416" s="26"/>
    </row>
    <row r="417" spans="1:7">
      <c r="A417" s="26"/>
      <c r="B417" s="26"/>
      <c r="C417" s="51"/>
      <c r="D417" s="49"/>
      <c r="E417" s="50"/>
      <c r="F417" s="26"/>
      <c r="G417" s="26"/>
    </row>
    <row r="418" spans="1:7">
      <c r="A418" s="26"/>
      <c r="B418" s="26"/>
      <c r="C418" s="51"/>
      <c r="D418" s="49"/>
      <c r="E418" s="50"/>
      <c r="F418" s="26"/>
      <c r="G418" s="26"/>
    </row>
    <row r="419" spans="1:7">
      <c r="A419" s="26"/>
      <c r="B419" s="26"/>
      <c r="C419" s="51"/>
      <c r="D419" s="49"/>
      <c r="E419" s="50"/>
      <c r="F419" s="26"/>
      <c r="G419" s="26"/>
    </row>
    <row r="420" spans="1:7">
      <c r="A420" s="26"/>
      <c r="B420" s="26"/>
      <c r="C420" s="51"/>
      <c r="D420" s="49"/>
      <c r="E420" s="50"/>
      <c r="F420" s="26"/>
      <c r="G420" s="26"/>
    </row>
    <row r="421" spans="1:7">
      <c r="A421" s="26"/>
      <c r="B421" s="26"/>
      <c r="C421" s="51"/>
      <c r="D421" s="49"/>
      <c r="E421" s="50"/>
      <c r="F421" s="26"/>
      <c r="G421" s="26"/>
    </row>
    <row r="422" spans="1:7">
      <c r="A422" s="26"/>
      <c r="B422" s="26"/>
      <c r="C422" s="51"/>
      <c r="D422" s="49"/>
      <c r="E422" s="50"/>
      <c r="F422" s="26"/>
      <c r="G422" s="26"/>
    </row>
    <row r="423" spans="1:7">
      <c r="A423" s="26"/>
      <c r="B423" s="26"/>
      <c r="C423" s="51"/>
      <c r="D423" s="49"/>
      <c r="E423" s="50"/>
      <c r="F423" s="26"/>
      <c r="G423" s="26"/>
    </row>
    <row r="424" spans="1:7">
      <c r="A424" s="26"/>
      <c r="B424" s="26"/>
      <c r="C424" s="51"/>
      <c r="D424" s="49"/>
      <c r="E424" s="50"/>
      <c r="F424" s="26"/>
      <c r="G424" s="26"/>
    </row>
    <row r="425" spans="1:7">
      <c r="A425" s="26"/>
      <c r="B425" s="26"/>
      <c r="C425" s="51"/>
      <c r="D425" s="49"/>
      <c r="E425" s="50"/>
      <c r="F425" s="26"/>
      <c r="G425" s="26"/>
    </row>
    <row r="426" spans="1:7">
      <c r="A426" s="26"/>
      <c r="B426" s="26"/>
      <c r="C426" s="51"/>
      <c r="D426" s="49"/>
      <c r="E426" s="50"/>
      <c r="F426" s="26"/>
      <c r="G426" s="26"/>
    </row>
    <row r="427" spans="1:7">
      <c r="A427" s="26"/>
      <c r="B427" s="26"/>
      <c r="C427" s="51"/>
      <c r="D427" s="49"/>
      <c r="E427" s="50"/>
      <c r="F427" s="26"/>
      <c r="G427" s="26"/>
    </row>
    <row r="428" spans="1:7">
      <c r="A428" s="26"/>
      <c r="B428" s="26"/>
      <c r="C428" s="51"/>
      <c r="D428" s="49"/>
      <c r="E428" s="50"/>
      <c r="F428" s="26"/>
      <c r="G428" s="26"/>
    </row>
    <row r="429" spans="1:7">
      <c r="A429" s="26"/>
      <c r="B429" s="26"/>
      <c r="C429" s="51"/>
      <c r="D429" s="49"/>
      <c r="E429" s="50"/>
      <c r="F429" s="26"/>
      <c r="G429" s="26"/>
    </row>
    <row r="430" spans="1:7">
      <c r="A430" s="26"/>
      <c r="B430" s="26"/>
      <c r="C430" s="51"/>
      <c r="D430" s="49"/>
      <c r="E430" s="50"/>
      <c r="F430" s="26"/>
      <c r="G430" s="26"/>
    </row>
    <row r="431" spans="1:7">
      <c r="A431" s="26"/>
      <c r="B431" s="26"/>
      <c r="C431" s="51"/>
      <c r="D431" s="49"/>
      <c r="E431" s="50"/>
      <c r="F431" s="26"/>
      <c r="G431" s="26"/>
    </row>
    <row r="432" spans="1:7">
      <c r="A432" s="26"/>
      <c r="B432" s="26"/>
      <c r="C432" s="51"/>
      <c r="D432" s="49"/>
      <c r="E432" s="50"/>
      <c r="F432" s="26"/>
      <c r="G432" s="26"/>
    </row>
    <row r="433" spans="1:7">
      <c r="A433" s="26"/>
      <c r="B433" s="26"/>
      <c r="C433" s="51"/>
      <c r="D433" s="49"/>
      <c r="E433" s="50"/>
      <c r="F433" s="26"/>
      <c r="G433" s="26"/>
    </row>
    <row r="434" spans="1:7">
      <c r="A434" s="26"/>
      <c r="B434" s="26"/>
      <c r="C434" s="51"/>
      <c r="D434" s="49"/>
      <c r="E434" s="50"/>
      <c r="F434" s="26"/>
      <c r="G434" s="26"/>
    </row>
    <row r="435" spans="1:7">
      <c r="A435" s="26"/>
      <c r="B435" s="26"/>
      <c r="C435" s="51"/>
      <c r="D435" s="49"/>
      <c r="E435" s="50"/>
      <c r="F435" s="26"/>
      <c r="G435" s="26"/>
    </row>
    <row r="436" spans="1:7">
      <c r="A436" s="26"/>
      <c r="B436" s="26"/>
      <c r="C436" s="51"/>
      <c r="D436" s="49"/>
      <c r="E436" s="50"/>
      <c r="F436" s="26"/>
      <c r="G436" s="26"/>
    </row>
    <row r="437" spans="1:7">
      <c r="A437" s="26"/>
      <c r="B437" s="26"/>
      <c r="C437" s="51"/>
      <c r="D437" s="49"/>
      <c r="E437" s="50"/>
      <c r="F437" s="26"/>
      <c r="G437" s="26"/>
    </row>
    <row r="438" spans="1:7">
      <c r="A438" s="26"/>
      <c r="B438" s="26"/>
      <c r="C438" s="51"/>
      <c r="D438" s="49"/>
      <c r="E438" s="50"/>
      <c r="F438" s="26"/>
      <c r="G438" s="26"/>
    </row>
    <row r="439" spans="1:7">
      <c r="A439" s="26"/>
      <c r="B439" s="26"/>
      <c r="C439" s="51"/>
      <c r="D439" s="49"/>
      <c r="E439" s="50"/>
      <c r="F439" s="26"/>
      <c r="G439" s="26"/>
    </row>
    <row r="440" spans="1:7">
      <c r="A440" s="26"/>
      <c r="B440" s="26"/>
      <c r="C440" s="51"/>
      <c r="D440" s="49"/>
      <c r="E440" s="50"/>
      <c r="F440" s="26"/>
      <c r="G440" s="26"/>
    </row>
    <row r="441" spans="1:7">
      <c r="A441" s="26"/>
      <c r="B441" s="26"/>
      <c r="C441" s="51"/>
      <c r="D441" s="49"/>
      <c r="E441" s="50"/>
      <c r="F441" s="26"/>
      <c r="G441" s="26"/>
    </row>
    <row r="442" spans="1:7">
      <c r="A442" s="26"/>
      <c r="B442" s="26"/>
      <c r="C442" s="51"/>
      <c r="D442" s="49"/>
      <c r="E442" s="50"/>
      <c r="F442" s="26"/>
      <c r="G442" s="26"/>
    </row>
    <row r="443" spans="1:7">
      <c r="A443" s="26"/>
      <c r="B443" s="26"/>
      <c r="C443" s="51"/>
      <c r="D443" s="49"/>
      <c r="E443" s="50"/>
      <c r="F443" s="26"/>
      <c r="G443" s="26"/>
    </row>
    <row r="444" spans="1:7">
      <c r="A444" s="26"/>
      <c r="B444" s="26"/>
      <c r="C444" s="51"/>
      <c r="D444" s="49"/>
      <c r="E444" s="50"/>
      <c r="F444" s="26"/>
      <c r="G444" s="26"/>
    </row>
    <row r="445" spans="1:7">
      <c r="A445" s="26"/>
      <c r="B445" s="26"/>
      <c r="C445" s="51"/>
      <c r="D445" s="49"/>
      <c r="E445" s="50"/>
      <c r="F445" s="26"/>
      <c r="G445" s="26"/>
    </row>
    <row r="446" spans="1:7">
      <c r="A446" s="26"/>
      <c r="B446" s="26"/>
      <c r="C446" s="51"/>
      <c r="D446" s="49"/>
      <c r="E446" s="50"/>
      <c r="F446" s="26"/>
      <c r="G446" s="26"/>
    </row>
    <row r="447" spans="1:7">
      <c r="A447" s="26"/>
      <c r="B447" s="26"/>
      <c r="C447" s="51"/>
      <c r="D447" s="49"/>
      <c r="E447" s="50"/>
      <c r="F447" s="26"/>
      <c r="G447" s="26"/>
    </row>
    <row r="448" spans="1:7">
      <c r="A448" s="26"/>
      <c r="B448" s="26"/>
      <c r="C448" s="51"/>
      <c r="D448" s="49"/>
      <c r="E448" s="50"/>
      <c r="F448" s="26"/>
      <c r="G448" s="26"/>
    </row>
    <row r="449" spans="1:7">
      <c r="A449" s="26"/>
      <c r="B449" s="26"/>
      <c r="C449" s="51"/>
      <c r="D449" s="49"/>
      <c r="E449" s="50"/>
      <c r="F449" s="26"/>
      <c r="G449" s="26"/>
    </row>
    <row r="450" spans="1:7">
      <c r="A450" s="26"/>
      <c r="B450" s="26"/>
      <c r="C450" s="51"/>
      <c r="D450" s="49"/>
      <c r="E450" s="50"/>
      <c r="F450" s="26"/>
      <c r="G450" s="26"/>
    </row>
    <row r="451" spans="1:7">
      <c r="A451" s="26"/>
      <c r="B451" s="26"/>
      <c r="C451" s="51"/>
      <c r="D451" s="49"/>
      <c r="E451" s="50"/>
      <c r="F451" s="26"/>
      <c r="G451" s="26"/>
    </row>
    <row r="452" spans="1:7">
      <c r="A452" s="26"/>
      <c r="B452" s="26"/>
      <c r="C452" s="51"/>
      <c r="D452" s="49"/>
      <c r="E452" s="50"/>
      <c r="F452" s="26"/>
      <c r="G452" s="26"/>
    </row>
    <row r="453" spans="1:7">
      <c r="A453" s="26"/>
      <c r="B453" s="26"/>
      <c r="C453" s="51"/>
      <c r="D453" s="49"/>
      <c r="E453" s="50"/>
      <c r="F453" s="26"/>
      <c r="G453" s="26"/>
    </row>
    <row r="454" spans="1:7">
      <c r="A454" s="26"/>
      <c r="B454" s="26"/>
      <c r="C454" s="51"/>
      <c r="D454" s="49"/>
      <c r="E454" s="50"/>
      <c r="F454" s="26"/>
      <c r="G454" s="26"/>
    </row>
    <row r="455" spans="1:7">
      <c r="A455" s="26"/>
      <c r="B455" s="26"/>
      <c r="C455" s="51"/>
      <c r="D455" s="49"/>
      <c r="E455" s="50"/>
      <c r="F455" s="26"/>
      <c r="G455" s="26"/>
    </row>
    <row r="456" spans="1:7">
      <c r="A456" s="26"/>
      <c r="B456" s="26"/>
      <c r="C456" s="51"/>
      <c r="D456" s="49"/>
      <c r="E456" s="50"/>
      <c r="F456" s="26"/>
      <c r="G456" s="26"/>
    </row>
    <row r="457" spans="1:7">
      <c r="A457" s="26"/>
      <c r="B457" s="26"/>
      <c r="C457" s="51"/>
      <c r="D457" s="49"/>
      <c r="E457" s="50"/>
      <c r="F457" s="26"/>
      <c r="G457" s="26"/>
    </row>
    <row r="458" spans="1:7">
      <c r="A458" s="26"/>
      <c r="B458" s="26"/>
      <c r="C458" s="51"/>
      <c r="D458" s="49"/>
      <c r="E458" s="50"/>
      <c r="F458" s="26"/>
      <c r="G458" s="26"/>
    </row>
    <row r="459" spans="1:7">
      <c r="A459" s="26"/>
      <c r="B459" s="26"/>
      <c r="C459" s="51"/>
      <c r="D459" s="49"/>
      <c r="E459" s="50"/>
      <c r="F459" s="26"/>
      <c r="G459" s="26"/>
    </row>
    <row r="460" spans="1:7">
      <c r="A460" s="26"/>
      <c r="B460" s="26"/>
      <c r="C460" s="51"/>
      <c r="D460" s="49"/>
      <c r="E460" s="50"/>
      <c r="F460" s="26"/>
      <c r="G460" s="26"/>
    </row>
    <row r="461" spans="1:7">
      <c r="A461" s="26"/>
      <c r="B461" s="26"/>
      <c r="C461" s="51"/>
      <c r="D461" s="49"/>
      <c r="E461" s="50"/>
      <c r="F461" s="26"/>
      <c r="G461" s="26"/>
    </row>
    <row r="462" spans="1:7">
      <c r="A462" s="26"/>
      <c r="B462" s="26"/>
      <c r="C462" s="51"/>
      <c r="D462" s="49"/>
      <c r="E462" s="50"/>
      <c r="F462" s="26"/>
      <c r="G462" s="26"/>
    </row>
    <row r="463" spans="1:7">
      <c r="A463" s="26"/>
      <c r="B463" s="26"/>
      <c r="C463" s="51"/>
      <c r="D463" s="49"/>
      <c r="E463" s="50"/>
      <c r="F463" s="26"/>
      <c r="G463" s="26"/>
    </row>
    <row r="464" spans="1:7">
      <c r="A464" s="26"/>
      <c r="B464" s="26"/>
      <c r="C464" s="51"/>
      <c r="D464" s="49"/>
      <c r="E464" s="50"/>
      <c r="F464" s="26"/>
      <c r="G464" s="26"/>
    </row>
    <row r="465" spans="1:7">
      <c r="A465" s="26"/>
      <c r="B465" s="26"/>
      <c r="C465" s="51"/>
      <c r="D465" s="49"/>
      <c r="E465" s="50"/>
      <c r="F465" s="26"/>
      <c r="G465" s="26"/>
    </row>
    <row r="466" spans="1:7">
      <c r="A466" s="26"/>
      <c r="B466" s="26"/>
      <c r="C466" s="51"/>
      <c r="D466" s="49"/>
      <c r="E466" s="50"/>
      <c r="F466" s="26"/>
      <c r="G466" s="26"/>
    </row>
    <row r="467" spans="1:7">
      <c r="A467" s="26"/>
      <c r="B467" s="26"/>
      <c r="C467" s="51"/>
      <c r="D467" s="49"/>
      <c r="E467" s="50"/>
      <c r="F467" s="26"/>
      <c r="G467" s="26"/>
    </row>
    <row r="468" spans="1:7">
      <c r="A468" s="26"/>
      <c r="B468" s="26"/>
      <c r="C468" s="51"/>
      <c r="D468" s="49"/>
      <c r="E468" s="50"/>
      <c r="F468" s="26"/>
      <c r="G468" s="26"/>
    </row>
    <row r="469" spans="1:7">
      <c r="A469" s="26"/>
      <c r="B469" s="26"/>
      <c r="C469" s="51"/>
      <c r="D469" s="49"/>
      <c r="E469" s="50"/>
      <c r="F469" s="26"/>
      <c r="G469" s="26"/>
    </row>
    <row r="470" spans="1:7">
      <c r="A470" s="26"/>
      <c r="B470" s="26"/>
      <c r="C470" s="51"/>
      <c r="D470" s="49"/>
      <c r="E470" s="50"/>
      <c r="F470" s="26"/>
      <c r="G470" s="26"/>
    </row>
    <row r="471" spans="1:7">
      <c r="A471" s="26"/>
      <c r="B471" s="26"/>
      <c r="C471" s="51"/>
      <c r="D471" s="49"/>
      <c r="E471" s="50"/>
      <c r="F471" s="26"/>
      <c r="G471" s="26"/>
    </row>
    <row r="472" spans="1:7">
      <c r="A472" s="26"/>
      <c r="B472" s="26"/>
      <c r="C472" s="51"/>
      <c r="D472" s="49"/>
      <c r="E472" s="50"/>
      <c r="F472" s="26"/>
      <c r="G472" s="26"/>
    </row>
    <row r="473" spans="1:7">
      <c r="A473" s="26"/>
      <c r="B473" s="26"/>
      <c r="C473" s="51"/>
      <c r="D473" s="49"/>
      <c r="E473" s="50"/>
      <c r="F473" s="26"/>
      <c r="G473" s="26"/>
    </row>
    <row r="474" spans="1:7">
      <c r="A474" s="26"/>
      <c r="B474" s="26"/>
      <c r="C474" s="51"/>
      <c r="D474" s="49"/>
      <c r="E474" s="50"/>
      <c r="F474" s="26"/>
      <c r="G474" s="26"/>
    </row>
    <row r="475" spans="1:7">
      <c r="A475" s="26"/>
      <c r="B475" s="26"/>
      <c r="C475" s="51"/>
      <c r="D475" s="49"/>
      <c r="E475" s="50"/>
      <c r="F475" s="26"/>
      <c r="G475" s="26"/>
    </row>
    <row r="476" spans="1:7">
      <c r="A476" s="26"/>
      <c r="B476" s="26"/>
      <c r="C476" s="51"/>
      <c r="D476" s="49"/>
      <c r="E476" s="50"/>
      <c r="F476" s="26"/>
      <c r="G476" s="26"/>
    </row>
    <row r="477" spans="1:7">
      <c r="A477" s="26"/>
      <c r="B477" s="26"/>
      <c r="C477" s="51"/>
      <c r="D477" s="49"/>
      <c r="E477" s="50"/>
      <c r="F477" s="26"/>
      <c r="G477" s="26"/>
    </row>
    <row r="478" spans="1:7">
      <c r="A478" s="26"/>
      <c r="B478" s="26"/>
      <c r="C478" s="51"/>
      <c r="D478" s="49"/>
      <c r="E478" s="50"/>
      <c r="F478" s="26"/>
      <c r="G478" s="26"/>
    </row>
    <row r="479" spans="1:7">
      <c r="A479" s="26"/>
      <c r="B479" s="26"/>
      <c r="C479" s="51"/>
      <c r="D479" s="49"/>
      <c r="E479" s="50"/>
      <c r="F479" s="26"/>
      <c r="G479" s="26"/>
    </row>
    <row r="480" spans="1:7">
      <c r="A480" s="26"/>
      <c r="B480" s="26"/>
      <c r="C480" s="51"/>
      <c r="D480" s="49"/>
      <c r="E480" s="50"/>
      <c r="F480" s="26"/>
      <c r="G480" s="26"/>
    </row>
    <row r="481" spans="1:7">
      <c r="A481" s="26"/>
      <c r="B481" s="26"/>
      <c r="C481" s="51"/>
      <c r="D481" s="49"/>
      <c r="E481" s="50"/>
      <c r="F481" s="26"/>
      <c r="G481" s="26"/>
    </row>
    <row r="482" spans="1:7">
      <c r="A482" s="26"/>
      <c r="B482" s="26"/>
      <c r="C482" s="51"/>
      <c r="D482" s="49"/>
      <c r="E482" s="50"/>
      <c r="F482" s="26"/>
      <c r="G482" s="26"/>
    </row>
    <row r="483" spans="1:7">
      <c r="A483" s="26"/>
      <c r="B483" s="26"/>
      <c r="C483" s="51"/>
      <c r="D483" s="49"/>
      <c r="E483" s="50"/>
      <c r="F483" s="26"/>
      <c r="G483" s="26"/>
    </row>
    <row r="484" spans="1:7">
      <c r="A484" s="26"/>
      <c r="B484" s="26"/>
      <c r="C484" s="51"/>
      <c r="D484" s="49"/>
      <c r="E484" s="50"/>
      <c r="F484" s="26"/>
      <c r="G484" s="26"/>
    </row>
    <row r="485" spans="1:7">
      <c r="A485" s="26"/>
      <c r="B485" s="26"/>
      <c r="C485" s="51"/>
      <c r="D485" s="49"/>
      <c r="E485" s="50"/>
      <c r="F485" s="26"/>
      <c r="G485" s="26"/>
    </row>
    <row r="486" spans="1:7">
      <c r="A486" s="26"/>
      <c r="B486" s="26"/>
      <c r="C486" s="51"/>
      <c r="D486" s="49"/>
      <c r="E486" s="50"/>
      <c r="F486" s="26"/>
      <c r="G486" s="26"/>
    </row>
    <row r="487" spans="1:7">
      <c r="A487" s="26"/>
      <c r="B487" s="26"/>
      <c r="C487" s="51"/>
      <c r="D487" s="49"/>
      <c r="E487" s="50"/>
      <c r="F487" s="26"/>
      <c r="G487" s="26"/>
    </row>
    <row r="488" spans="1:7">
      <c r="A488" s="26"/>
      <c r="B488" s="26"/>
      <c r="C488" s="51"/>
      <c r="D488" s="49"/>
      <c r="E488" s="50"/>
      <c r="F488" s="26"/>
      <c r="G488" s="26"/>
    </row>
    <row r="489" spans="1:7">
      <c r="A489" s="26"/>
      <c r="B489" s="26"/>
      <c r="C489" s="51"/>
      <c r="D489" s="49"/>
      <c r="E489" s="50"/>
      <c r="F489" s="26"/>
      <c r="G489" s="26"/>
    </row>
    <row r="490" spans="1:7">
      <c r="A490" s="26"/>
      <c r="B490" s="26"/>
      <c r="C490" s="51"/>
      <c r="D490" s="49"/>
      <c r="E490" s="50"/>
      <c r="F490" s="26"/>
      <c r="G490" s="26"/>
    </row>
    <row r="491" spans="1:7">
      <c r="A491" s="26"/>
      <c r="B491" s="26"/>
      <c r="C491" s="51"/>
      <c r="D491" s="49"/>
      <c r="E491" s="50"/>
      <c r="F491" s="26"/>
      <c r="G491" s="26"/>
    </row>
    <row r="492" spans="1:7">
      <c r="A492" s="26"/>
      <c r="B492" s="26"/>
      <c r="C492" s="51"/>
      <c r="D492" s="49"/>
      <c r="E492" s="50"/>
      <c r="F492" s="26"/>
      <c r="G492" s="26"/>
    </row>
    <row r="493" spans="1:7">
      <c r="A493" s="26"/>
      <c r="B493" s="26"/>
      <c r="C493" s="51"/>
      <c r="D493" s="49"/>
      <c r="E493" s="50"/>
      <c r="F493" s="26"/>
      <c r="G493" s="26"/>
    </row>
    <row r="494" spans="1:7">
      <c r="A494" s="26"/>
      <c r="B494" s="26"/>
      <c r="C494" s="51"/>
      <c r="D494" s="49"/>
      <c r="E494" s="50"/>
      <c r="F494" s="26"/>
      <c r="G494" s="26"/>
    </row>
    <row r="495" spans="1:7">
      <c r="A495" s="26"/>
      <c r="B495" s="26"/>
      <c r="C495" s="51"/>
      <c r="D495" s="49"/>
      <c r="E495" s="50"/>
      <c r="F495" s="26"/>
      <c r="G495" s="26"/>
    </row>
    <row r="496" spans="1:7">
      <c r="A496" s="26"/>
      <c r="B496" s="26"/>
      <c r="C496" s="51"/>
      <c r="D496" s="49"/>
      <c r="E496" s="50"/>
      <c r="F496" s="26"/>
      <c r="G496" s="26"/>
    </row>
    <row r="497" spans="1:7">
      <c r="A497" s="26"/>
      <c r="B497" s="26"/>
      <c r="C497" s="51"/>
      <c r="D497" s="49"/>
      <c r="E497" s="50"/>
      <c r="F497" s="26"/>
      <c r="G497" s="26"/>
    </row>
    <row r="498" spans="1:7">
      <c r="A498" s="26"/>
      <c r="B498" s="26"/>
      <c r="C498" s="51"/>
      <c r="D498" s="49"/>
      <c r="E498" s="50"/>
      <c r="F498" s="26"/>
      <c r="G498" s="26"/>
    </row>
    <row r="499" spans="1:7">
      <c r="A499" s="26"/>
      <c r="B499" s="26"/>
      <c r="C499" s="51"/>
      <c r="D499" s="49"/>
      <c r="E499" s="50"/>
      <c r="F499" s="26"/>
      <c r="G499" s="26"/>
    </row>
    <row r="500" spans="1:7">
      <c r="A500" s="26"/>
      <c r="B500" s="26"/>
      <c r="C500" s="51"/>
      <c r="D500" s="49"/>
      <c r="E500" s="50"/>
      <c r="F500" s="26"/>
      <c r="G500" s="26"/>
    </row>
    <row r="501" spans="1:7">
      <c r="A501" s="26"/>
      <c r="B501" s="26"/>
      <c r="C501" s="51"/>
      <c r="D501" s="49"/>
      <c r="E501" s="50"/>
      <c r="F501" s="26"/>
      <c r="G501" s="26"/>
    </row>
    <row r="502" spans="1:7">
      <c r="A502" s="26"/>
      <c r="B502" s="26"/>
      <c r="C502" s="51"/>
      <c r="D502" s="49"/>
      <c r="E502" s="50"/>
      <c r="F502" s="26"/>
      <c r="G502" s="26"/>
    </row>
    <row r="503" spans="1:7">
      <c r="A503" s="26"/>
      <c r="B503" s="26"/>
      <c r="C503" s="51"/>
      <c r="D503" s="49"/>
      <c r="E503" s="50"/>
      <c r="F503" s="26"/>
      <c r="G503" s="26"/>
    </row>
    <row r="504" spans="1:7">
      <c r="A504" s="26"/>
      <c r="B504" s="26"/>
      <c r="C504" s="51"/>
      <c r="D504" s="49"/>
      <c r="E504" s="50"/>
      <c r="F504" s="26"/>
      <c r="G504" s="26"/>
    </row>
    <row r="505" spans="1:7">
      <c r="A505" s="26"/>
      <c r="B505" s="26"/>
      <c r="C505" s="51"/>
      <c r="D505" s="49"/>
      <c r="E505" s="50"/>
      <c r="F505" s="26"/>
      <c r="G505" s="26"/>
    </row>
    <row r="506" spans="1:7">
      <c r="A506" s="26"/>
      <c r="B506" s="26"/>
      <c r="C506" s="51"/>
      <c r="D506" s="49"/>
      <c r="E506" s="50"/>
      <c r="F506" s="26"/>
      <c r="G506" s="26"/>
    </row>
    <row r="507" spans="1:7">
      <c r="A507" s="26"/>
      <c r="B507" s="26"/>
      <c r="C507" s="51"/>
      <c r="D507" s="49"/>
      <c r="E507" s="50"/>
      <c r="F507" s="26"/>
      <c r="G507" s="26"/>
    </row>
    <row r="508" spans="1:7">
      <c r="A508" s="26"/>
      <c r="B508" s="26"/>
      <c r="C508" s="51"/>
      <c r="D508" s="49"/>
      <c r="E508" s="50"/>
      <c r="F508" s="26"/>
      <c r="G508" s="26"/>
    </row>
    <row r="509" spans="1:7">
      <c r="A509" s="26"/>
      <c r="B509" s="26"/>
      <c r="C509" s="51"/>
      <c r="D509" s="49"/>
      <c r="E509" s="50"/>
      <c r="F509" s="26"/>
      <c r="G509" s="26"/>
    </row>
    <row r="510" spans="1:7">
      <c r="A510" s="26"/>
      <c r="B510" s="26"/>
      <c r="C510" s="51"/>
      <c r="D510" s="49"/>
      <c r="E510" s="50"/>
      <c r="F510" s="26"/>
      <c r="G510" s="26"/>
    </row>
    <row r="511" spans="1:7">
      <c r="A511" s="26"/>
      <c r="B511" s="26"/>
      <c r="C511" s="51"/>
      <c r="D511" s="49"/>
      <c r="E511" s="50"/>
      <c r="F511" s="26"/>
      <c r="G511" s="26"/>
    </row>
    <row r="512" spans="1:7">
      <c r="A512" s="26"/>
      <c r="B512" s="26"/>
      <c r="C512" s="51"/>
      <c r="D512" s="49"/>
      <c r="E512" s="50"/>
      <c r="F512" s="26"/>
      <c r="G512" s="26"/>
    </row>
    <row r="513" spans="1:7">
      <c r="A513" s="26"/>
      <c r="B513" s="26"/>
      <c r="C513" s="51"/>
      <c r="D513" s="49"/>
      <c r="E513" s="50"/>
      <c r="F513" s="26"/>
      <c r="G513" s="26"/>
    </row>
    <row r="514" spans="1:7">
      <c r="A514" s="26"/>
      <c r="B514" s="26"/>
      <c r="C514" s="51"/>
      <c r="D514" s="49"/>
      <c r="E514" s="50"/>
      <c r="F514" s="26"/>
      <c r="G514" s="26"/>
    </row>
    <row r="515" spans="1:7">
      <c r="A515" s="26"/>
      <c r="B515" s="26"/>
      <c r="C515" s="51"/>
      <c r="D515" s="49"/>
      <c r="E515" s="50"/>
      <c r="F515" s="26"/>
      <c r="G515" s="26"/>
    </row>
    <row r="516" spans="1:7">
      <c r="A516" s="26"/>
      <c r="B516" s="26"/>
      <c r="C516" s="51"/>
      <c r="D516" s="49"/>
      <c r="E516" s="50"/>
      <c r="F516" s="26"/>
      <c r="G516" s="26"/>
    </row>
    <row r="517" spans="1:7">
      <c r="A517" s="26"/>
      <c r="B517" s="26"/>
      <c r="C517" s="51"/>
      <c r="D517" s="49"/>
      <c r="E517" s="50"/>
      <c r="F517" s="26"/>
      <c r="G517" s="26"/>
    </row>
    <row r="518" spans="1:7">
      <c r="A518" s="26"/>
      <c r="B518" s="26"/>
      <c r="C518" s="51"/>
      <c r="D518" s="49"/>
      <c r="E518" s="50"/>
      <c r="F518" s="26"/>
      <c r="G518" s="26"/>
    </row>
    <row r="519" spans="1:7">
      <c r="A519" s="26"/>
      <c r="B519" s="26"/>
      <c r="C519" s="51"/>
      <c r="D519" s="49"/>
      <c r="E519" s="50"/>
      <c r="F519" s="26"/>
      <c r="G519" s="26"/>
    </row>
    <row r="520" spans="1:7">
      <c r="A520" s="26"/>
      <c r="B520" s="26"/>
      <c r="C520" s="51"/>
      <c r="D520" s="49"/>
      <c r="E520" s="50"/>
      <c r="F520" s="26"/>
      <c r="G520" s="26"/>
    </row>
    <row r="521" spans="1:7">
      <c r="A521" s="26"/>
      <c r="B521" s="26"/>
      <c r="C521" s="51"/>
      <c r="D521" s="49"/>
      <c r="E521" s="50"/>
      <c r="F521" s="26"/>
      <c r="G521" s="26"/>
    </row>
    <row r="522" spans="1:7">
      <c r="A522" s="26"/>
      <c r="B522" s="26"/>
      <c r="C522" s="51"/>
      <c r="D522" s="49"/>
      <c r="E522" s="50"/>
      <c r="F522" s="26"/>
      <c r="G522" s="26"/>
    </row>
    <row r="523" spans="1:7">
      <c r="A523" s="26"/>
      <c r="B523" s="26"/>
      <c r="C523" s="51"/>
      <c r="D523" s="49"/>
      <c r="E523" s="50"/>
      <c r="F523" s="26"/>
      <c r="G523" s="26"/>
    </row>
    <row r="524" spans="1:7">
      <c r="A524" s="26"/>
      <c r="B524" s="26"/>
      <c r="C524" s="51"/>
      <c r="D524" s="49"/>
      <c r="E524" s="50"/>
      <c r="F524" s="26"/>
      <c r="G524" s="26"/>
    </row>
    <row r="525" spans="1:7">
      <c r="A525" s="26"/>
      <c r="B525" s="26"/>
      <c r="C525" s="51"/>
      <c r="D525" s="49"/>
      <c r="E525" s="50"/>
      <c r="F525" s="26"/>
      <c r="G525" s="26"/>
    </row>
    <row r="526" spans="1:7">
      <c r="A526" s="26"/>
      <c r="B526" s="26"/>
      <c r="C526" s="51"/>
      <c r="D526" s="49"/>
      <c r="E526" s="50"/>
      <c r="F526" s="26"/>
      <c r="G526" s="26"/>
    </row>
    <row r="527" spans="1:7">
      <c r="A527" s="26"/>
      <c r="B527" s="26"/>
      <c r="C527" s="51"/>
      <c r="D527" s="49"/>
      <c r="E527" s="50"/>
      <c r="F527" s="26"/>
      <c r="G527" s="26"/>
    </row>
    <row r="528" spans="1:7">
      <c r="A528" s="26"/>
      <c r="B528" s="26"/>
      <c r="C528" s="51"/>
      <c r="D528" s="49"/>
      <c r="E528" s="50"/>
      <c r="F528" s="26"/>
      <c r="G528" s="26"/>
    </row>
    <row r="529" spans="1:7">
      <c r="A529" s="26"/>
      <c r="B529" s="26"/>
      <c r="C529" s="51"/>
      <c r="D529" s="49"/>
      <c r="E529" s="50"/>
      <c r="F529" s="26"/>
      <c r="G529" s="26"/>
    </row>
    <row r="530" spans="1:7">
      <c r="A530" s="26"/>
      <c r="B530" s="26"/>
      <c r="C530" s="51"/>
      <c r="D530" s="49"/>
      <c r="E530" s="50"/>
      <c r="F530" s="26"/>
      <c r="G530" s="26"/>
    </row>
    <row r="531" spans="1:7">
      <c r="A531" s="26"/>
      <c r="B531" s="26"/>
      <c r="C531" s="51"/>
      <c r="D531" s="49"/>
      <c r="E531" s="50"/>
      <c r="F531" s="26"/>
      <c r="G531" s="26"/>
    </row>
    <row r="532" spans="1:7">
      <c r="A532" s="26"/>
      <c r="B532" s="26"/>
      <c r="C532" s="51"/>
      <c r="D532" s="49"/>
      <c r="E532" s="50"/>
      <c r="F532" s="26"/>
      <c r="G532" s="26"/>
    </row>
    <row r="533" spans="1:7">
      <c r="A533" s="26"/>
      <c r="B533" s="26"/>
      <c r="C533" s="51"/>
      <c r="D533" s="49"/>
      <c r="E533" s="50"/>
      <c r="F533" s="26"/>
      <c r="G533" s="26"/>
    </row>
    <row r="534" spans="1:7">
      <c r="A534" s="26"/>
      <c r="B534" s="26"/>
      <c r="C534" s="51"/>
      <c r="D534" s="49"/>
      <c r="E534" s="50"/>
      <c r="F534" s="26"/>
      <c r="G534" s="26"/>
    </row>
    <row r="535" spans="1:7">
      <c r="A535" s="26"/>
      <c r="B535" s="26"/>
      <c r="C535" s="51"/>
      <c r="D535" s="49"/>
      <c r="E535" s="50"/>
      <c r="F535" s="26"/>
      <c r="G535" s="26"/>
    </row>
    <row r="536" spans="1:7">
      <c r="A536" s="26"/>
      <c r="B536" s="26"/>
      <c r="C536" s="51"/>
      <c r="D536" s="49"/>
      <c r="E536" s="50"/>
      <c r="F536" s="26"/>
      <c r="G536" s="26"/>
    </row>
    <row r="537" spans="1:7">
      <c r="A537" s="26"/>
      <c r="B537" s="26"/>
      <c r="C537" s="51"/>
      <c r="D537" s="49"/>
      <c r="E537" s="50"/>
      <c r="F537" s="26"/>
      <c r="G537" s="26"/>
    </row>
    <row r="538" spans="1:7">
      <c r="A538" s="26"/>
      <c r="B538" s="26"/>
      <c r="C538" s="51"/>
      <c r="D538" s="49"/>
      <c r="E538" s="50"/>
      <c r="F538" s="26"/>
      <c r="G538" s="26"/>
    </row>
    <row r="539" spans="1:7">
      <c r="A539" s="26"/>
      <c r="B539" s="26"/>
      <c r="C539" s="51"/>
      <c r="D539" s="49"/>
      <c r="E539" s="50"/>
      <c r="F539" s="26"/>
      <c r="G539" s="26"/>
    </row>
    <row r="540" spans="1:7">
      <c r="A540" s="26"/>
      <c r="B540" s="26"/>
      <c r="C540" s="51"/>
      <c r="D540" s="49"/>
      <c r="E540" s="50"/>
      <c r="F540" s="26"/>
      <c r="G540" s="26"/>
    </row>
    <row r="541" spans="1:7">
      <c r="A541" s="26"/>
      <c r="B541" s="26"/>
      <c r="C541" s="51"/>
      <c r="D541" s="49"/>
      <c r="E541" s="50"/>
      <c r="F541" s="26"/>
      <c r="G541" s="26"/>
    </row>
    <row r="542" spans="1:7">
      <c r="A542" s="26"/>
      <c r="B542" s="26"/>
      <c r="C542" s="51"/>
      <c r="D542" s="49"/>
      <c r="E542" s="50"/>
      <c r="F542" s="26"/>
      <c r="G542" s="26"/>
    </row>
    <row r="543" spans="1:7">
      <c r="A543" s="26"/>
      <c r="B543" s="26"/>
      <c r="C543" s="51"/>
      <c r="D543" s="49"/>
      <c r="E543" s="50"/>
      <c r="F543" s="26"/>
      <c r="G543" s="26"/>
    </row>
    <row r="544" spans="1:7">
      <c r="A544" s="26"/>
      <c r="B544" s="26"/>
      <c r="C544" s="51"/>
      <c r="D544" s="49"/>
      <c r="E544" s="50"/>
      <c r="F544" s="26"/>
      <c r="G544" s="26"/>
    </row>
    <row r="545" spans="1:7">
      <c r="A545" s="26"/>
      <c r="B545" s="26"/>
      <c r="C545" s="51"/>
      <c r="D545" s="49"/>
      <c r="E545" s="50"/>
      <c r="F545" s="26"/>
      <c r="G545" s="26"/>
    </row>
    <row r="546" spans="1:7">
      <c r="A546" s="26"/>
      <c r="B546" s="26"/>
      <c r="C546" s="51"/>
      <c r="D546" s="49"/>
      <c r="E546" s="50"/>
      <c r="F546" s="26"/>
      <c r="G546" s="26"/>
    </row>
    <row r="547" spans="1:7">
      <c r="A547" s="26"/>
      <c r="B547" s="26"/>
      <c r="C547" s="51"/>
      <c r="D547" s="49"/>
      <c r="E547" s="50"/>
      <c r="F547" s="26"/>
      <c r="G547" s="26"/>
    </row>
    <row r="548" spans="1:7">
      <c r="A548" s="26"/>
      <c r="B548" s="26"/>
      <c r="C548" s="51"/>
      <c r="D548" s="49"/>
      <c r="E548" s="50"/>
      <c r="F548" s="26"/>
      <c r="G548" s="26"/>
    </row>
    <row r="549" spans="1:7">
      <c r="A549" s="26"/>
      <c r="B549" s="26"/>
      <c r="C549" s="51"/>
      <c r="D549" s="49"/>
      <c r="E549" s="50"/>
      <c r="F549" s="26"/>
      <c r="G549" s="26"/>
    </row>
    <row r="550" spans="1:7">
      <c r="A550" s="26"/>
      <c r="B550" s="26"/>
      <c r="C550" s="51"/>
      <c r="D550" s="49"/>
      <c r="E550" s="50"/>
      <c r="F550" s="26"/>
      <c r="G550" s="26"/>
    </row>
    <row r="551" spans="1:7">
      <c r="A551" s="26"/>
      <c r="B551" s="26"/>
      <c r="C551" s="51"/>
      <c r="D551" s="49"/>
      <c r="E551" s="50"/>
      <c r="F551" s="26"/>
      <c r="G551" s="26"/>
    </row>
    <row r="552" spans="1:7">
      <c r="A552" s="26"/>
      <c r="B552" s="26"/>
      <c r="C552" s="51"/>
      <c r="D552" s="49"/>
      <c r="E552" s="50"/>
      <c r="F552" s="26"/>
      <c r="G552" s="26"/>
    </row>
    <row r="553" spans="1:7">
      <c r="A553" s="26"/>
      <c r="B553" s="26"/>
      <c r="C553" s="51"/>
      <c r="D553" s="49"/>
      <c r="E553" s="50"/>
      <c r="F553" s="26"/>
      <c r="G553" s="26"/>
    </row>
    <row r="554" spans="1:7">
      <c r="A554" s="26"/>
      <c r="B554" s="26"/>
      <c r="C554" s="51"/>
      <c r="D554" s="49"/>
      <c r="E554" s="50"/>
      <c r="F554" s="26"/>
      <c r="G554" s="26"/>
    </row>
    <row r="555" spans="1:7">
      <c r="A555" s="26"/>
      <c r="B555" s="26"/>
      <c r="C555" s="51"/>
      <c r="D555" s="49"/>
      <c r="E555" s="50"/>
      <c r="F555" s="26"/>
      <c r="G555" s="26"/>
    </row>
    <row r="556" spans="1:7">
      <c r="A556" s="26"/>
      <c r="B556" s="26"/>
      <c r="C556" s="51"/>
      <c r="D556" s="49"/>
      <c r="E556" s="50"/>
      <c r="F556" s="26"/>
      <c r="G556" s="26"/>
    </row>
    <row r="557" spans="1:7">
      <c r="A557" s="26"/>
      <c r="B557" s="26"/>
      <c r="C557" s="51"/>
      <c r="D557" s="49"/>
      <c r="E557" s="50"/>
      <c r="F557" s="26"/>
      <c r="G557" s="26"/>
    </row>
    <row r="558" spans="1:7">
      <c r="A558" s="26"/>
      <c r="B558" s="26"/>
      <c r="C558" s="51"/>
      <c r="D558" s="49"/>
      <c r="E558" s="50"/>
      <c r="F558" s="26"/>
      <c r="G558" s="26"/>
    </row>
    <row r="559" spans="1:7">
      <c r="A559" s="26"/>
      <c r="B559" s="26"/>
      <c r="C559" s="51"/>
      <c r="D559" s="49"/>
      <c r="E559" s="50"/>
      <c r="F559" s="26"/>
      <c r="G559" s="26"/>
    </row>
    <row r="560" spans="1:7">
      <c r="A560" s="26"/>
      <c r="B560" s="26"/>
      <c r="C560" s="51"/>
      <c r="D560" s="49"/>
      <c r="E560" s="50"/>
      <c r="F560" s="26"/>
      <c r="G560" s="26"/>
    </row>
    <row r="561" spans="1:7">
      <c r="A561" s="26"/>
      <c r="B561" s="26"/>
      <c r="C561" s="51"/>
      <c r="D561" s="49"/>
      <c r="E561" s="50"/>
      <c r="F561" s="26"/>
      <c r="G561" s="26"/>
    </row>
    <row r="562" spans="1:7">
      <c r="A562" s="26"/>
      <c r="B562" s="26"/>
      <c r="C562" s="51"/>
      <c r="D562" s="49"/>
      <c r="E562" s="50"/>
      <c r="F562" s="26"/>
      <c r="G562" s="26"/>
    </row>
    <row r="563" spans="1:7">
      <c r="A563" s="26"/>
      <c r="B563" s="26"/>
      <c r="C563" s="51"/>
      <c r="D563" s="49"/>
      <c r="E563" s="50"/>
      <c r="F563" s="26"/>
      <c r="G563" s="26"/>
    </row>
    <row r="564" spans="1:7">
      <c r="A564" s="26"/>
      <c r="B564" s="26"/>
      <c r="C564" s="51"/>
      <c r="D564" s="49"/>
      <c r="E564" s="50"/>
      <c r="F564" s="26"/>
      <c r="G564" s="26"/>
    </row>
    <row r="565" spans="1:7">
      <c r="A565" s="26"/>
      <c r="B565" s="26"/>
      <c r="C565" s="51"/>
      <c r="D565" s="49"/>
      <c r="E565" s="50"/>
      <c r="F565" s="26"/>
      <c r="G565" s="26"/>
    </row>
    <row r="566" spans="1:7">
      <c r="A566" s="26"/>
      <c r="B566" s="26"/>
      <c r="C566" s="51"/>
      <c r="D566" s="49"/>
      <c r="E566" s="50"/>
      <c r="F566" s="26"/>
      <c r="G566" s="26"/>
    </row>
    <row r="567" spans="1:7">
      <c r="A567" s="26"/>
      <c r="B567" s="26"/>
      <c r="C567" s="51"/>
      <c r="D567" s="49"/>
      <c r="E567" s="50"/>
      <c r="F567" s="26"/>
      <c r="G567" s="26"/>
    </row>
    <row r="568" spans="1:7">
      <c r="A568" s="26"/>
      <c r="B568" s="26"/>
      <c r="C568" s="51"/>
      <c r="D568" s="49"/>
      <c r="E568" s="50"/>
      <c r="F568" s="26"/>
      <c r="G568" s="26"/>
    </row>
    <row r="569" spans="1:7">
      <c r="A569" s="26"/>
      <c r="B569" s="26"/>
      <c r="C569" s="51"/>
      <c r="D569" s="49"/>
      <c r="E569" s="50"/>
      <c r="F569" s="26"/>
      <c r="G569" s="26"/>
    </row>
    <row r="570" spans="1:7">
      <c r="A570" s="26"/>
      <c r="B570" s="26"/>
      <c r="C570" s="51"/>
      <c r="D570" s="49"/>
      <c r="E570" s="50"/>
      <c r="F570" s="26"/>
      <c r="G570" s="26"/>
    </row>
    <row r="571" spans="1:7">
      <c r="A571" s="26"/>
      <c r="B571" s="26"/>
      <c r="C571" s="51"/>
      <c r="D571" s="49"/>
      <c r="E571" s="50"/>
      <c r="F571" s="26"/>
      <c r="G571" s="26"/>
    </row>
    <row r="572" spans="1:7">
      <c r="A572" s="26"/>
      <c r="B572" s="26"/>
      <c r="C572" s="51"/>
      <c r="D572" s="49"/>
      <c r="E572" s="50"/>
      <c r="F572" s="26"/>
      <c r="G572" s="26"/>
    </row>
    <row r="573" spans="1:7">
      <c r="A573" s="26"/>
      <c r="B573" s="26"/>
      <c r="C573" s="51"/>
      <c r="D573" s="49"/>
      <c r="E573" s="50"/>
      <c r="F573" s="26"/>
      <c r="G573" s="26"/>
    </row>
    <row r="574" spans="1:7">
      <c r="A574" s="26"/>
      <c r="B574" s="26"/>
      <c r="C574" s="51"/>
      <c r="D574" s="49"/>
      <c r="E574" s="50"/>
      <c r="F574" s="26"/>
      <c r="G574" s="26"/>
    </row>
    <row r="575" spans="1:7">
      <c r="A575" s="26"/>
      <c r="B575" s="26"/>
      <c r="C575" s="51"/>
      <c r="D575" s="49"/>
      <c r="E575" s="50"/>
      <c r="F575" s="26"/>
      <c r="G575" s="26"/>
    </row>
    <row r="576" spans="1:7">
      <c r="A576" s="26"/>
      <c r="B576" s="26"/>
      <c r="C576" s="51"/>
      <c r="D576" s="49"/>
      <c r="E576" s="50"/>
      <c r="F576" s="26"/>
      <c r="G576" s="26"/>
    </row>
    <row r="577" spans="1:7">
      <c r="A577" s="26"/>
      <c r="B577" s="26"/>
      <c r="C577" s="51"/>
      <c r="D577" s="49"/>
      <c r="E577" s="50"/>
      <c r="F577" s="26"/>
      <c r="G577" s="26"/>
    </row>
    <row r="578" spans="1:7">
      <c r="A578" s="26"/>
      <c r="B578" s="26"/>
      <c r="C578" s="51"/>
      <c r="D578" s="49"/>
      <c r="E578" s="50"/>
      <c r="F578" s="26"/>
      <c r="G578" s="26"/>
    </row>
    <row r="579" spans="1:7">
      <c r="A579" s="26"/>
      <c r="B579" s="26"/>
      <c r="C579" s="51"/>
      <c r="D579" s="49"/>
      <c r="E579" s="50"/>
      <c r="F579" s="26"/>
      <c r="G579" s="26"/>
    </row>
    <row r="580" spans="1:7">
      <c r="A580" s="26"/>
      <c r="B580" s="26"/>
      <c r="C580" s="51"/>
      <c r="D580" s="49"/>
      <c r="E580" s="50"/>
      <c r="F580" s="26"/>
      <c r="G580" s="26"/>
    </row>
    <row r="581" spans="1:7">
      <c r="A581" s="26"/>
      <c r="B581" s="26"/>
      <c r="C581" s="51"/>
      <c r="D581" s="49"/>
      <c r="E581" s="50"/>
      <c r="F581" s="26"/>
      <c r="G581" s="26"/>
    </row>
    <row r="582" spans="1:7">
      <c r="A582" s="26"/>
      <c r="B582" s="26"/>
      <c r="C582" s="51"/>
      <c r="D582" s="49"/>
      <c r="E582" s="50"/>
      <c r="F582" s="26"/>
      <c r="G582" s="26"/>
    </row>
    <row r="583" spans="1:7">
      <c r="A583" s="26"/>
      <c r="B583" s="26"/>
      <c r="C583" s="51"/>
      <c r="D583" s="49"/>
      <c r="E583" s="50"/>
      <c r="F583" s="26"/>
      <c r="G583" s="26"/>
    </row>
    <row r="584" spans="1:7">
      <c r="A584" s="26"/>
      <c r="B584" s="26"/>
      <c r="C584" s="51"/>
      <c r="D584" s="49"/>
      <c r="E584" s="50"/>
      <c r="F584" s="26"/>
      <c r="G584" s="26"/>
    </row>
    <row r="585" spans="1:7">
      <c r="A585" s="26"/>
      <c r="B585" s="26"/>
      <c r="C585" s="51"/>
      <c r="D585" s="49"/>
      <c r="E585" s="50"/>
      <c r="F585" s="26"/>
      <c r="G585" s="26"/>
    </row>
    <row r="586" spans="1:7">
      <c r="A586" s="26"/>
      <c r="B586" s="26"/>
      <c r="C586" s="51"/>
      <c r="D586" s="49"/>
      <c r="E586" s="50"/>
      <c r="F586" s="26"/>
      <c r="G586" s="26"/>
    </row>
    <row r="587" spans="1:7">
      <c r="A587" s="26"/>
      <c r="B587" s="26"/>
      <c r="C587" s="51"/>
      <c r="D587" s="49"/>
      <c r="E587" s="50"/>
      <c r="F587" s="26"/>
      <c r="G587" s="26"/>
    </row>
    <row r="588" spans="1:7">
      <c r="A588" s="26"/>
      <c r="B588" s="26"/>
      <c r="C588" s="51"/>
      <c r="D588" s="49"/>
      <c r="E588" s="50"/>
      <c r="F588" s="26"/>
      <c r="G588" s="26"/>
    </row>
    <row r="589" spans="1:7">
      <c r="A589" s="26"/>
      <c r="B589" s="26"/>
      <c r="C589" s="51"/>
      <c r="D589" s="49"/>
      <c r="E589" s="50"/>
      <c r="F589" s="26"/>
      <c r="G589" s="26"/>
    </row>
    <row r="590" spans="1:7">
      <c r="A590" s="26"/>
      <c r="B590" s="26"/>
      <c r="C590" s="51"/>
      <c r="D590" s="49"/>
      <c r="E590" s="50"/>
      <c r="F590" s="26"/>
      <c r="G590" s="26"/>
    </row>
    <row r="591" spans="1:7">
      <c r="A591" s="26"/>
      <c r="B591" s="26"/>
      <c r="C591" s="51"/>
      <c r="D591" s="49"/>
      <c r="E591" s="50"/>
      <c r="F591" s="26"/>
      <c r="G591" s="26"/>
    </row>
    <row r="592" spans="1:7">
      <c r="A592" s="26"/>
      <c r="B592" s="26"/>
      <c r="C592" s="51"/>
      <c r="D592" s="49"/>
      <c r="E592" s="50"/>
      <c r="F592" s="26"/>
      <c r="G592" s="26"/>
    </row>
    <row r="593" spans="1:7">
      <c r="A593" s="26"/>
      <c r="B593" s="26"/>
      <c r="C593" s="51"/>
      <c r="D593" s="49"/>
      <c r="E593" s="50"/>
      <c r="F593" s="26"/>
      <c r="G593" s="26"/>
    </row>
    <row r="594" spans="1:7">
      <c r="A594" s="26"/>
      <c r="B594" s="26"/>
      <c r="C594" s="51"/>
      <c r="D594" s="49"/>
      <c r="E594" s="50"/>
      <c r="F594" s="26"/>
      <c r="G594" s="26"/>
    </row>
    <row r="595" spans="1:7">
      <c r="A595" s="26"/>
      <c r="B595" s="26"/>
      <c r="C595" s="51"/>
      <c r="D595" s="49"/>
      <c r="E595" s="50"/>
      <c r="F595" s="26"/>
      <c r="G595" s="26"/>
    </row>
    <row r="596" spans="1:7">
      <c r="A596" s="26"/>
      <c r="B596" s="26"/>
      <c r="C596" s="51"/>
      <c r="D596" s="49"/>
      <c r="E596" s="50"/>
      <c r="F596" s="26"/>
      <c r="G596" s="26"/>
    </row>
    <row r="597" spans="1:7">
      <c r="A597" s="26"/>
      <c r="B597" s="26"/>
      <c r="C597" s="51"/>
      <c r="D597" s="49"/>
      <c r="E597" s="50"/>
      <c r="F597" s="26"/>
      <c r="G597" s="26"/>
    </row>
    <row r="598" spans="1:7">
      <c r="A598" s="26"/>
      <c r="B598" s="26"/>
      <c r="C598" s="51"/>
      <c r="D598" s="49"/>
      <c r="E598" s="50"/>
      <c r="F598" s="26"/>
      <c r="G598" s="26"/>
    </row>
    <row r="599" spans="1:7">
      <c r="A599" s="26"/>
      <c r="B599" s="26"/>
      <c r="C599" s="51"/>
      <c r="D599" s="49"/>
      <c r="E599" s="50"/>
      <c r="F599" s="26"/>
      <c r="G599" s="26"/>
    </row>
    <row r="600" spans="1:7">
      <c r="A600" s="26"/>
      <c r="B600" s="26"/>
      <c r="C600" s="51"/>
      <c r="D600" s="49"/>
      <c r="E600" s="50"/>
      <c r="F600" s="26"/>
      <c r="G600" s="26"/>
    </row>
    <row r="601" spans="1:7">
      <c r="A601" s="26"/>
      <c r="B601" s="26"/>
      <c r="C601" s="51"/>
      <c r="D601" s="49"/>
      <c r="E601" s="50"/>
      <c r="F601" s="26"/>
      <c r="G601" s="26"/>
    </row>
    <row r="602" spans="1:7">
      <c r="A602" s="26"/>
      <c r="B602" s="26"/>
      <c r="C602" s="51"/>
      <c r="D602" s="49"/>
      <c r="E602" s="50"/>
      <c r="F602" s="26"/>
      <c r="G602" s="26"/>
    </row>
    <row r="603" spans="1:7">
      <c r="A603" s="26"/>
      <c r="B603" s="26"/>
      <c r="C603" s="51"/>
      <c r="D603" s="49"/>
      <c r="E603" s="50"/>
      <c r="F603" s="26"/>
      <c r="G603" s="26"/>
    </row>
    <row r="604" spans="1:7">
      <c r="A604" s="26"/>
      <c r="B604" s="26"/>
      <c r="C604" s="51"/>
      <c r="D604" s="49"/>
      <c r="E604" s="50"/>
      <c r="F604" s="26"/>
      <c r="G604" s="26"/>
    </row>
    <row r="605" spans="1:7">
      <c r="A605" s="26"/>
      <c r="B605" s="26"/>
      <c r="C605" s="51"/>
      <c r="D605" s="49"/>
      <c r="E605" s="50"/>
      <c r="F605" s="26"/>
      <c r="G605" s="26"/>
    </row>
    <row r="606" spans="1:7">
      <c r="A606" s="26"/>
      <c r="B606" s="26"/>
      <c r="C606" s="51"/>
      <c r="D606" s="49"/>
      <c r="E606" s="50"/>
      <c r="F606" s="26"/>
      <c r="G606" s="26"/>
    </row>
    <row r="607" spans="1:7">
      <c r="A607" s="26"/>
      <c r="B607" s="26"/>
      <c r="C607" s="51"/>
      <c r="D607" s="49"/>
      <c r="E607" s="50"/>
      <c r="F607" s="26"/>
      <c r="G607" s="26"/>
    </row>
    <row r="608" spans="1:7">
      <c r="A608" s="26"/>
      <c r="B608" s="26"/>
      <c r="C608" s="51"/>
      <c r="D608" s="49"/>
      <c r="E608" s="50"/>
      <c r="F608" s="26"/>
      <c r="G608" s="26"/>
    </row>
    <row r="609" spans="1:7">
      <c r="A609" s="26"/>
      <c r="B609" s="26"/>
      <c r="C609" s="51"/>
      <c r="D609" s="49"/>
      <c r="E609" s="50"/>
      <c r="F609" s="26"/>
      <c r="G609" s="26"/>
    </row>
    <row r="610" spans="1:7">
      <c r="A610" s="26"/>
      <c r="B610" s="26"/>
      <c r="C610" s="51"/>
      <c r="D610" s="49"/>
      <c r="E610" s="50"/>
      <c r="F610" s="26"/>
      <c r="G610" s="26"/>
    </row>
    <row r="611" spans="1:7">
      <c r="A611" s="26"/>
      <c r="B611" s="26"/>
      <c r="C611" s="51"/>
      <c r="D611" s="49"/>
      <c r="E611" s="50"/>
      <c r="F611" s="26"/>
      <c r="G611" s="26"/>
    </row>
    <row r="612" spans="1:7">
      <c r="A612" s="26"/>
      <c r="B612" s="26"/>
      <c r="C612" s="51"/>
      <c r="D612" s="49"/>
      <c r="E612" s="50"/>
      <c r="F612" s="26"/>
      <c r="G612" s="26"/>
    </row>
    <row r="613" spans="1:7">
      <c r="A613" s="26"/>
      <c r="B613" s="26"/>
      <c r="C613" s="51"/>
      <c r="D613" s="49"/>
      <c r="E613" s="50"/>
      <c r="F613" s="26"/>
      <c r="G613" s="26"/>
    </row>
    <row r="614" spans="1:7">
      <c r="A614" s="26"/>
      <c r="B614" s="26"/>
      <c r="C614" s="51"/>
      <c r="D614" s="49"/>
      <c r="E614" s="50"/>
      <c r="F614" s="26"/>
      <c r="G614" s="26"/>
    </row>
    <row r="615" spans="1:7">
      <c r="A615" s="26"/>
      <c r="B615" s="26"/>
      <c r="C615" s="51"/>
      <c r="D615" s="49"/>
      <c r="E615" s="50"/>
      <c r="F615" s="26"/>
      <c r="G615" s="26"/>
    </row>
    <row r="616" spans="1:7">
      <c r="A616" s="26"/>
      <c r="B616" s="26"/>
      <c r="C616" s="51"/>
      <c r="D616" s="49"/>
      <c r="E616" s="50"/>
      <c r="F616" s="26"/>
      <c r="G616" s="26"/>
    </row>
    <row r="617" spans="1:7">
      <c r="A617" s="26"/>
      <c r="B617" s="26"/>
      <c r="C617" s="51"/>
      <c r="D617" s="49"/>
      <c r="E617" s="50"/>
      <c r="F617" s="26"/>
      <c r="G617" s="26"/>
    </row>
    <row r="618" spans="1:7">
      <c r="A618" s="26"/>
      <c r="B618" s="26"/>
      <c r="C618" s="51"/>
      <c r="D618" s="49"/>
      <c r="E618" s="50"/>
      <c r="F618" s="26"/>
      <c r="G618" s="26"/>
    </row>
    <row r="619" spans="1:7">
      <c r="A619" s="26"/>
      <c r="B619" s="26"/>
      <c r="C619" s="51"/>
      <c r="D619" s="49"/>
      <c r="E619" s="50"/>
      <c r="F619" s="26"/>
      <c r="G619" s="26"/>
    </row>
    <row r="620" spans="1:7">
      <c r="A620" s="26"/>
      <c r="B620" s="26"/>
      <c r="C620" s="51"/>
      <c r="D620" s="49"/>
      <c r="E620" s="50"/>
      <c r="F620" s="26"/>
      <c r="G620" s="26"/>
    </row>
    <row r="621" spans="1:7">
      <c r="A621" s="26"/>
      <c r="B621" s="26"/>
      <c r="C621" s="51"/>
      <c r="D621" s="49"/>
      <c r="E621" s="50"/>
      <c r="F621" s="26"/>
      <c r="G621" s="26"/>
    </row>
    <row r="622" spans="1:7">
      <c r="A622" s="26"/>
      <c r="B622" s="26"/>
      <c r="C622" s="51"/>
      <c r="D622" s="49"/>
      <c r="E622" s="50"/>
      <c r="F622" s="26"/>
      <c r="G622" s="26"/>
    </row>
    <row r="623" spans="1:7">
      <c r="A623" s="26"/>
      <c r="B623" s="26"/>
      <c r="C623" s="51"/>
      <c r="D623" s="49"/>
      <c r="E623" s="50"/>
      <c r="F623" s="26"/>
      <c r="G623" s="26"/>
    </row>
    <row r="624" spans="1:7">
      <c r="A624" s="26"/>
      <c r="B624" s="26"/>
      <c r="C624" s="51"/>
      <c r="D624" s="49"/>
      <c r="E624" s="50"/>
      <c r="F624" s="26"/>
      <c r="G624" s="26"/>
    </row>
    <row r="625" spans="1:7">
      <c r="A625" s="26"/>
      <c r="B625" s="26"/>
      <c r="C625" s="51"/>
      <c r="D625" s="49"/>
      <c r="E625" s="50"/>
      <c r="F625" s="26"/>
      <c r="G625" s="26"/>
    </row>
    <row r="626" spans="1:7">
      <c r="A626" s="26"/>
      <c r="B626" s="26"/>
      <c r="C626" s="51"/>
      <c r="D626" s="49"/>
      <c r="E626" s="50"/>
      <c r="F626" s="26"/>
      <c r="G626" s="26"/>
    </row>
    <row r="627" spans="1:7">
      <c r="A627" s="26"/>
      <c r="B627" s="26"/>
      <c r="C627" s="51"/>
      <c r="D627" s="49"/>
      <c r="E627" s="50"/>
      <c r="F627" s="26"/>
      <c r="G627" s="26"/>
    </row>
    <row r="628" spans="1:7">
      <c r="A628" s="26"/>
      <c r="B628" s="26"/>
      <c r="C628" s="51"/>
      <c r="D628" s="49"/>
      <c r="E628" s="50"/>
      <c r="F628" s="26"/>
      <c r="G628" s="26"/>
    </row>
    <row r="629" spans="1:7">
      <c r="A629" s="26"/>
      <c r="B629" s="26"/>
      <c r="C629" s="51"/>
      <c r="D629" s="49"/>
      <c r="E629" s="50"/>
      <c r="F629" s="26"/>
      <c r="G629" s="26"/>
    </row>
    <row r="630" spans="1:7">
      <c r="A630" s="26"/>
      <c r="B630" s="26"/>
      <c r="C630" s="51"/>
      <c r="D630" s="49"/>
      <c r="E630" s="50"/>
      <c r="F630" s="26"/>
      <c r="G630" s="26"/>
    </row>
    <row r="631" spans="1:7">
      <c r="A631" s="26"/>
      <c r="B631" s="26"/>
      <c r="C631" s="51"/>
      <c r="D631" s="49"/>
      <c r="E631" s="50"/>
      <c r="F631" s="26"/>
      <c r="G631" s="26"/>
    </row>
    <row r="632" spans="1:7">
      <c r="A632" s="26"/>
      <c r="B632" s="26"/>
      <c r="C632" s="51"/>
      <c r="D632" s="49"/>
      <c r="E632" s="50"/>
      <c r="F632" s="26"/>
      <c r="G632" s="26"/>
    </row>
    <row r="633" spans="1:7">
      <c r="A633" s="26"/>
      <c r="B633" s="26"/>
      <c r="C633" s="51"/>
      <c r="D633" s="49"/>
      <c r="E633" s="50"/>
      <c r="F633" s="26"/>
      <c r="G633" s="26"/>
    </row>
    <row r="634" spans="1:7">
      <c r="A634" s="26"/>
      <c r="B634" s="26"/>
      <c r="C634" s="51"/>
      <c r="D634" s="49"/>
      <c r="E634" s="50"/>
      <c r="F634" s="26"/>
      <c r="G634" s="26"/>
    </row>
    <row r="635" spans="1:7">
      <c r="A635" s="26"/>
      <c r="B635" s="26"/>
      <c r="C635" s="51"/>
      <c r="D635" s="49"/>
      <c r="E635" s="50"/>
      <c r="F635" s="26"/>
      <c r="G635" s="26"/>
    </row>
    <row r="636" spans="1:7">
      <c r="A636" s="26"/>
      <c r="B636" s="26"/>
      <c r="C636" s="51"/>
      <c r="D636" s="49"/>
      <c r="E636" s="50"/>
      <c r="F636" s="26"/>
      <c r="G636" s="26"/>
    </row>
    <row r="637" spans="1:7">
      <c r="A637" s="26"/>
      <c r="B637" s="26"/>
      <c r="C637" s="51"/>
      <c r="D637" s="49"/>
      <c r="E637" s="50"/>
      <c r="F637" s="26"/>
      <c r="G637" s="26"/>
    </row>
    <row r="638" spans="1:7">
      <c r="A638" s="26"/>
      <c r="B638" s="26"/>
      <c r="C638" s="51"/>
      <c r="D638" s="49"/>
      <c r="E638" s="50"/>
      <c r="F638" s="26"/>
      <c r="G638" s="26"/>
    </row>
    <row r="639" spans="1:7">
      <c r="A639" s="26"/>
      <c r="B639" s="26"/>
      <c r="C639" s="51"/>
      <c r="D639" s="49"/>
      <c r="E639" s="50"/>
      <c r="F639" s="26"/>
      <c r="G639" s="26"/>
    </row>
    <row r="640" spans="1:7">
      <c r="A640" s="26"/>
      <c r="B640" s="26"/>
      <c r="C640" s="51"/>
      <c r="D640" s="49"/>
      <c r="E640" s="50"/>
      <c r="F640" s="26"/>
      <c r="G640" s="26"/>
    </row>
    <row r="641" spans="1:7">
      <c r="A641" s="26"/>
      <c r="B641" s="26"/>
      <c r="C641" s="51"/>
      <c r="D641" s="49"/>
      <c r="E641" s="50"/>
      <c r="F641" s="26"/>
      <c r="G641" s="26"/>
    </row>
    <row r="642" spans="1:7">
      <c r="A642" s="26"/>
      <c r="B642" s="26"/>
      <c r="C642" s="51"/>
      <c r="D642" s="49"/>
      <c r="E642" s="50"/>
      <c r="F642" s="26"/>
      <c r="G642" s="26"/>
    </row>
    <row r="643" spans="1:7">
      <c r="A643" s="26"/>
      <c r="B643" s="26"/>
      <c r="C643" s="51"/>
      <c r="D643" s="49"/>
      <c r="E643" s="50"/>
      <c r="F643" s="26"/>
      <c r="G643" s="26"/>
    </row>
    <row r="644" spans="1:7">
      <c r="A644" s="26"/>
      <c r="B644" s="26"/>
      <c r="C644" s="51"/>
      <c r="D644" s="49"/>
      <c r="E644" s="50"/>
      <c r="F644" s="26"/>
      <c r="G644" s="26"/>
    </row>
    <row r="645" spans="1:7">
      <c r="A645" s="26"/>
      <c r="B645" s="26"/>
      <c r="C645" s="51"/>
      <c r="D645" s="49"/>
      <c r="E645" s="50"/>
      <c r="F645" s="26"/>
      <c r="G645" s="26"/>
    </row>
    <row r="646" spans="1:7">
      <c r="A646" s="26"/>
      <c r="B646" s="26"/>
      <c r="C646" s="51"/>
      <c r="D646" s="49"/>
      <c r="E646" s="50"/>
      <c r="F646" s="26"/>
      <c r="G646" s="26"/>
    </row>
    <row r="647" spans="1:7">
      <c r="A647" s="26"/>
      <c r="B647" s="26"/>
      <c r="C647" s="51"/>
      <c r="D647" s="49"/>
      <c r="E647" s="50"/>
      <c r="F647" s="26"/>
      <c r="G647" s="26"/>
    </row>
    <row r="648" spans="1:7">
      <c r="A648" s="26"/>
      <c r="B648" s="26"/>
      <c r="C648" s="51"/>
      <c r="D648" s="49"/>
      <c r="E648" s="50"/>
      <c r="F648" s="26"/>
      <c r="G648" s="26"/>
    </row>
    <row r="649" spans="1:7">
      <c r="A649" s="26"/>
      <c r="B649" s="26"/>
      <c r="C649" s="51"/>
      <c r="D649" s="49"/>
      <c r="E649" s="50"/>
      <c r="F649" s="26"/>
      <c r="G649" s="26"/>
    </row>
    <row r="650" spans="1:7">
      <c r="A650" s="26"/>
      <c r="B650" s="26"/>
      <c r="C650" s="51"/>
      <c r="D650" s="49"/>
      <c r="E650" s="50"/>
      <c r="F650" s="26"/>
      <c r="G650" s="26"/>
    </row>
    <row r="651" spans="1:7">
      <c r="A651" s="26"/>
      <c r="B651" s="26"/>
      <c r="C651" s="51"/>
      <c r="D651" s="49"/>
      <c r="E651" s="50"/>
      <c r="F651" s="26"/>
      <c r="G651" s="26"/>
    </row>
    <row r="652" spans="1:7">
      <c r="A652" s="26"/>
      <c r="B652" s="26"/>
      <c r="C652" s="51"/>
      <c r="D652" s="49"/>
      <c r="E652" s="50"/>
      <c r="F652" s="26"/>
      <c r="G652" s="26"/>
    </row>
    <row r="653" spans="1:7">
      <c r="A653" s="26"/>
      <c r="B653" s="26"/>
      <c r="C653" s="51"/>
      <c r="D653" s="49"/>
      <c r="E653" s="50"/>
      <c r="F653" s="26"/>
      <c r="G653" s="26"/>
    </row>
    <row r="654" spans="1:7">
      <c r="A654" s="26"/>
      <c r="B654" s="26"/>
      <c r="C654" s="51"/>
      <c r="D654" s="49"/>
      <c r="E654" s="50"/>
      <c r="F654" s="26"/>
      <c r="G654" s="26"/>
    </row>
    <row r="655" spans="1:7">
      <c r="A655" s="26"/>
      <c r="B655" s="26"/>
      <c r="C655" s="51"/>
      <c r="D655" s="49"/>
      <c r="E655" s="50"/>
      <c r="F655" s="26"/>
      <c r="G655" s="26"/>
    </row>
    <row r="656" spans="1:7">
      <c r="A656" s="26"/>
      <c r="B656" s="26"/>
      <c r="C656" s="51"/>
      <c r="D656" s="49"/>
      <c r="E656" s="50"/>
      <c r="F656" s="26"/>
      <c r="G656" s="26"/>
    </row>
    <row r="657" spans="1:7">
      <c r="A657" s="26"/>
      <c r="B657" s="26"/>
      <c r="C657" s="51"/>
      <c r="D657" s="49"/>
      <c r="E657" s="50"/>
      <c r="F657" s="26"/>
      <c r="G657" s="26"/>
    </row>
    <row r="658" spans="1:7">
      <c r="A658" s="26"/>
      <c r="B658" s="26"/>
      <c r="C658" s="51"/>
      <c r="D658" s="49"/>
      <c r="E658" s="50"/>
      <c r="F658" s="26"/>
      <c r="G658" s="26"/>
    </row>
    <row r="659" spans="1:7">
      <c r="A659" s="26"/>
      <c r="B659" s="26"/>
      <c r="C659" s="51"/>
      <c r="D659" s="49"/>
      <c r="E659" s="50"/>
      <c r="F659" s="26"/>
      <c r="G659" s="26"/>
    </row>
    <row r="660" spans="1:7">
      <c r="A660" s="26"/>
      <c r="B660" s="26"/>
      <c r="C660" s="51"/>
      <c r="D660" s="49"/>
      <c r="E660" s="50"/>
      <c r="F660" s="26"/>
      <c r="G660" s="26"/>
    </row>
    <row r="661" spans="1:7">
      <c r="A661" s="26"/>
      <c r="B661" s="26"/>
      <c r="C661" s="51"/>
      <c r="D661" s="49"/>
      <c r="E661" s="50"/>
      <c r="F661" s="26"/>
      <c r="G661" s="26"/>
    </row>
    <row r="662" spans="1:7">
      <c r="A662" s="26"/>
      <c r="B662" s="26"/>
      <c r="C662" s="51"/>
      <c r="D662" s="49"/>
      <c r="E662" s="50"/>
      <c r="F662" s="26"/>
      <c r="G662" s="26"/>
    </row>
    <row r="663" spans="1:7">
      <c r="A663" s="26"/>
      <c r="B663" s="26"/>
      <c r="C663" s="51"/>
      <c r="D663" s="49"/>
      <c r="E663" s="50"/>
      <c r="F663" s="26"/>
      <c r="G663" s="26"/>
    </row>
    <row r="664" spans="1:7">
      <c r="A664" s="26"/>
      <c r="B664" s="26"/>
      <c r="C664" s="51"/>
      <c r="D664" s="49"/>
      <c r="E664" s="50"/>
      <c r="F664" s="26"/>
      <c r="G664" s="26"/>
    </row>
    <row r="665" spans="1:7">
      <c r="A665" s="26"/>
      <c r="B665" s="26"/>
      <c r="C665" s="51"/>
      <c r="D665" s="49"/>
      <c r="E665" s="50"/>
      <c r="F665" s="26"/>
      <c r="G665" s="26"/>
    </row>
    <row r="666" spans="1:7">
      <c r="A666" s="26"/>
      <c r="B666" s="26"/>
      <c r="C666" s="51"/>
      <c r="D666" s="49"/>
      <c r="E666" s="50"/>
      <c r="F666" s="26"/>
      <c r="G666" s="26"/>
    </row>
    <row r="667" spans="1:7">
      <c r="A667" s="26"/>
      <c r="B667" s="26"/>
      <c r="C667" s="51"/>
      <c r="D667" s="49"/>
      <c r="E667" s="50"/>
      <c r="F667" s="26"/>
      <c r="G667" s="26"/>
    </row>
    <row r="668" spans="1:7">
      <c r="A668" s="26"/>
      <c r="B668" s="26"/>
      <c r="C668" s="51"/>
      <c r="D668" s="49"/>
      <c r="E668" s="50"/>
      <c r="F668" s="26"/>
      <c r="G668" s="26"/>
    </row>
    <row r="669" spans="1:7">
      <c r="A669" s="26"/>
      <c r="B669" s="26"/>
      <c r="C669" s="51"/>
      <c r="D669" s="49"/>
      <c r="E669" s="50"/>
      <c r="F669" s="26"/>
      <c r="G669" s="26"/>
    </row>
    <row r="670" spans="1:7">
      <c r="A670" s="26"/>
      <c r="B670" s="26"/>
      <c r="C670" s="51"/>
      <c r="D670" s="49"/>
      <c r="E670" s="50"/>
      <c r="F670" s="26"/>
      <c r="G670" s="26"/>
    </row>
    <row r="671" spans="1:7">
      <c r="A671" s="26"/>
      <c r="B671" s="26"/>
      <c r="C671" s="51"/>
      <c r="D671" s="49"/>
      <c r="E671" s="50"/>
      <c r="F671" s="26"/>
      <c r="G671" s="26"/>
    </row>
    <row r="672" spans="1:7">
      <c r="A672" s="26"/>
      <c r="B672" s="26"/>
      <c r="C672" s="51"/>
      <c r="D672" s="49"/>
      <c r="E672" s="50"/>
      <c r="F672" s="26"/>
      <c r="G672" s="26"/>
    </row>
    <row r="673" spans="1:7">
      <c r="A673" s="26"/>
      <c r="B673" s="26"/>
      <c r="C673" s="51"/>
      <c r="D673" s="49"/>
      <c r="E673" s="50"/>
      <c r="F673" s="26"/>
      <c r="G673" s="26"/>
    </row>
    <row r="674" spans="1:7">
      <c r="A674" s="26"/>
      <c r="B674" s="26"/>
      <c r="C674" s="51"/>
      <c r="D674" s="49"/>
      <c r="E674" s="50"/>
      <c r="F674" s="26"/>
      <c r="G674" s="26"/>
    </row>
    <row r="675" spans="1:7">
      <c r="A675" s="26"/>
      <c r="B675" s="26"/>
      <c r="C675" s="51"/>
      <c r="D675" s="49"/>
      <c r="E675" s="50"/>
      <c r="F675" s="26"/>
      <c r="G675" s="26"/>
    </row>
    <row r="676" spans="1:7">
      <c r="A676" s="26"/>
      <c r="B676" s="26"/>
      <c r="C676" s="51"/>
      <c r="D676" s="49"/>
      <c r="E676" s="50"/>
      <c r="F676" s="26"/>
      <c r="G676" s="26"/>
    </row>
    <row r="677" spans="1:7">
      <c r="A677" s="26"/>
      <c r="B677" s="26"/>
      <c r="C677" s="51"/>
      <c r="D677" s="49"/>
      <c r="E677" s="50"/>
      <c r="F677" s="26"/>
      <c r="G677" s="26"/>
    </row>
    <row r="678" spans="1:7">
      <c r="A678" s="26"/>
      <c r="B678" s="26"/>
      <c r="C678" s="51"/>
      <c r="D678" s="49"/>
      <c r="E678" s="50"/>
      <c r="F678" s="26"/>
      <c r="G678" s="26"/>
    </row>
    <row r="679" spans="1:7">
      <c r="A679" s="26"/>
      <c r="B679" s="26"/>
      <c r="C679" s="51"/>
      <c r="D679" s="49"/>
      <c r="E679" s="50"/>
      <c r="F679" s="26"/>
      <c r="G679" s="26"/>
    </row>
    <row r="680" spans="1:7">
      <c r="A680" s="26"/>
      <c r="B680" s="26"/>
      <c r="C680" s="51"/>
      <c r="D680" s="49"/>
      <c r="E680" s="50"/>
      <c r="F680" s="26"/>
      <c r="G680" s="26"/>
    </row>
    <row r="681" spans="1:7">
      <c r="A681" s="26"/>
      <c r="B681" s="26"/>
      <c r="C681" s="51"/>
      <c r="D681" s="49"/>
      <c r="E681" s="50"/>
      <c r="F681" s="26"/>
      <c r="G681" s="26"/>
    </row>
    <row r="682" spans="1:7">
      <c r="A682" s="26"/>
      <c r="B682" s="26"/>
      <c r="C682" s="51"/>
      <c r="D682" s="49"/>
      <c r="E682" s="50"/>
      <c r="F682" s="26"/>
      <c r="G682" s="26"/>
    </row>
    <row r="683" spans="1:7">
      <c r="A683" s="26"/>
      <c r="B683" s="26"/>
      <c r="C683" s="51"/>
      <c r="D683" s="49"/>
      <c r="E683" s="50"/>
      <c r="F683" s="26"/>
      <c r="G683" s="26"/>
    </row>
    <row r="684" spans="1:7">
      <c r="A684" s="26"/>
      <c r="B684" s="26"/>
      <c r="C684" s="51"/>
      <c r="D684" s="49"/>
      <c r="E684" s="50"/>
      <c r="F684" s="26"/>
      <c r="G684" s="26"/>
    </row>
    <row r="685" spans="1:7">
      <c r="A685" s="26"/>
      <c r="B685" s="26"/>
      <c r="C685" s="51"/>
      <c r="D685" s="49"/>
      <c r="E685" s="50"/>
      <c r="F685" s="26"/>
      <c r="G685" s="26"/>
    </row>
    <row r="686" spans="1:7">
      <c r="A686" s="26"/>
      <c r="B686" s="26"/>
      <c r="C686" s="51"/>
      <c r="D686" s="49"/>
      <c r="E686" s="50"/>
      <c r="F686" s="26"/>
      <c r="G686" s="26"/>
    </row>
    <row r="687" spans="1:7">
      <c r="A687" s="26"/>
      <c r="B687" s="26"/>
      <c r="C687" s="51"/>
      <c r="D687" s="49"/>
      <c r="E687" s="50"/>
      <c r="F687" s="26"/>
      <c r="G687" s="26"/>
    </row>
    <row r="688" spans="1:7">
      <c r="A688" s="26"/>
      <c r="B688" s="26"/>
      <c r="C688" s="51"/>
      <c r="D688" s="49"/>
      <c r="E688" s="50"/>
      <c r="F688" s="26"/>
      <c r="G688" s="26"/>
    </row>
    <row r="689" spans="1:7">
      <c r="A689" s="26"/>
      <c r="B689" s="26"/>
      <c r="C689" s="51"/>
      <c r="D689" s="49"/>
      <c r="E689" s="50"/>
      <c r="F689" s="26"/>
      <c r="G689" s="26"/>
    </row>
    <row r="690" spans="1:7">
      <c r="A690" s="26"/>
      <c r="B690" s="26"/>
      <c r="C690" s="51"/>
      <c r="D690" s="49"/>
      <c r="E690" s="50"/>
      <c r="F690" s="26"/>
      <c r="G690" s="26"/>
    </row>
    <row r="691" spans="1:7">
      <c r="A691" s="26"/>
      <c r="B691" s="26"/>
      <c r="C691" s="51"/>
      <c r="D691" s="49"/>
      <c r="E691" s="50"/>
      <c r="F691" s="26"/>
      <c r="G691" s="26"/>
    </row>
    <row r="692" spans="1:7">
      <c r="A692" s="26"/>
      <c r="B692" s="26"/>
      <c r="C692" s="51"/>
      <c r="D692" s="49"/>
      <c r="E692" s="50"/>
      <c r="F692" s="26"/>
      <c r="G692" s="26"/>
    </row>
    <row r="693" spans="1:7">
      <c r="A693" s="26"/>
      <c r="B693" s="26"/>
      <c r="C693" s="51"/>
      <c r="D693" s="49"/>
      <c r="E693" s="50"/>
      <c r="F693" s="26"/>
      <c r="G693" s="26"/>
    </row>
    <row r="694" spans="1:7">
      <c r="A694" s="26"/>
      <c r="B694" s="26"/>
      <c r="C694" s="51"/>
      <c r="D694" s="49"/>
      <c r="E694" s="50"/>
      <c r="F694" s="26"/>
      <c r="G694" s="26"/>
    </row>
    <row r="695" spans="1:7">
      <c r="A695" s="26"/>
      <c r="B695" s="26"/>
      <c r="C695" s="51"/>
      <c r="D695" s="49"/>
      <c r="E695" s="50"/>
      <c r="F695" s="26"/>
      <c r="G695" s="26"/>
    </row>
    <row r="696" spans="1:7">
      <c r="A696" s="26"/>
      <c r="B696" s="26"/>
      <c r="C696" s="51"/>
      <c r="D696" s="49"/>
      <c r="E696" s="50"/>
      <c r="F696" s="26"/>
      <c r="G696" s="26"/>
    </row>
    <row r="697" spans="1:7">
      <c r="A697" s="26"/>
      <c r="B697" s="26"/>
      <c r="C697" s="51"/>
      <c r="D697" s="49"/>
      <c r="E697" s="50"/>
      <c r="F697" s="26"/>
      <c r="G697" s="26"/>
    </row>
    <row r="698" spans="1:7">
      <c r="A698" s="26"/>
      <c r="B698" s="26"/>
      <c r="C698" s="51"/>
      <c r="D698" s="49"/>
      <c r="E698" s="50"/>
      <c r="F698" s="26"/>
      <c r="G698" s="26"/>
    </row>
    <row r="699" spans="1:7">
      <c r="A699" s="26"/>
      <c r="B699" s="26"/>
      <c r="C699" s="51"/>
      <c r="D699" s="49"/>
      <c r="E699" s="50"/>
      <c r="F699" s="26"/>
      <c r="G699" s="26"/>
    </row>
    <row r="700" spans="1:7">
      <c r="A700" s="26"/>
      <c r="B700" s="26"/>
      <c r="C700" s="51"/>
      <c r="D700" s="49"/>
      <c r="E700" s="50"/>
      <c r="F700" s="26"/>
      <c r="G700" s="26"/>
    </row>
    <row r="701" spans="1:7">
      <c r="A701" s="26"/>
      <c r="B701" s="26"/>
      <c r="C701" s="51"/>
      <c r="D701" s="49"/>
      <c r="E701" s="50"/>
      <c r="F701" s="26"/>
      <c r="G701" s="26"/>
    </row>
    <row r="702" spans="1:7">
      <c r="A702" s="26"/>
      <c r="B702" s="26"/>
      <c r="C702" s="51"/>
      <c r="D702" s="49"/>
      <c r="E702" s="50"/>
      <c r="F702" s="26"/>
      <c r="G702" s="26"/>
    </row>
    <row r="703" spans="1:7">
      <c r="A703" s="26"/>
      <c r="B703" s="26"/>
      <c r="C703" s="51"/>
      <c r="D703" s="49"/>
      <c r="E703" s="50"/>
      <c r="F703" s="26"/>
      <c r="G703" s="26"/>
    </row>
    <row r="704" spans="1:7">
      <c r="A704" s="26"/>
      <c r="B704" s="26"/>
      <c r="C704" s="51"/>
      <c r="D704" s="49"/>
      <c r="E704" s="50"/>
      <c r="F704" s="26"/>
      <c r="G704" s="26"/>
    </row>
    <row r="705" spans="1:7">
      <c r="A705" s="26"/>
      <c r="B705" s="26"/>
      <c r="C705" s="51"/>
      <c r="D705" s="49"/>
      <c r="E705" s="50"/>
      <c r="F705" s="26"/>
      <c r="G705" s="26"/>
    </row>
    <row r="706" spans="1:7">
      <c r="A706" s="26"/>
      <c r="B706" s="26"/>
      <c r="C706" s="51"/>
      <c r="D706" s="49"/>
      <c r="E706" s="50"/>
      <c r="F706" s="26"/>
      <c r="G706" s="26"/>
    </row>
    <row r="707" spans="1:7">
      <c r="A707" s="26"/>
      <c r="B707" s="26"/>
      <c r="C707" s="51"/>
      <c r="D707" s="49"/>
      <c r="E707" s="50"/>
      <c r="F707" s="26"/>
      <c r="G707" s="26"/>
    </row>
    <row r="708" spans="1:7">
      <c r="A708" s="26"/>
      <c r="B708" s="26"/>
      <c r="C708" s="51"/>
      <c r="D708" s="49"/>
      <c r="E708" s="50"/>
      <c r="F708" s="26"/>
      <c r="G708" s="26"/>
    </row>
    <row r="709" spans="1:7">
      <c r="A709" s="26"/>
      <c r="B709" s="26"/>
      <c r="C709" s="51"/>
      <c r="D709" s="49"/>
      <c r="E709" s="50"/>
      <c r="F709" s="26"/>
      <c r="G709" s="26"/>
    </row>
    <row r="710" spans="1:7">
      <c r="A710" s="26"/>
      <c r="B710" s="26"/>
      <c r="C710" s="51"/>
      <c r="D710" s="49"/>
      <c r="E710" s="50"/>
      <c r="F710" s="26"/>
      <c r="G710" s="26"/>
    </row>
    <row r="711" spans="1:7">
      <c r="A711" s="26"/>
      <c r="B711" s="26"/>
      <c r="C711" s="51"/>
      <c r="D711" s="49"/>
      <c r="E711" s="50"/>
      <c r="F711" s="26"/>
      <c r="G711" s="26"/>
    </row>
    <row r="712" spans="1:7">
      <c r="A712" s="26"/>
      <c r="B712" s="26"/>
      <c r="C712" s="51"/>
      <c r="D712" s="49"/>
      <c r="E712" s="50"/>
      <c r="F712" s="26"/>
      <c r="G712" s="26"/>
    </row>
    <row r="713" spans="1:7">
      <c r="A713" s="26"/>
      <c r="B713" s="26"/>
      <c r="C713" s="51"/>
      <c r="D713" s="49"/>
      <c r="E713" s="50"/>
      <c r="F713" s="26"/>
      <c r="G713" s="26"/>
    </row>
    <row r="714" spans="1:7">
      <c r="A714" s="26"/>
      <c r="B714" s="26"/>
      <c r="C714" s="51"/>
      <c r="D714" s="49"/>
      <c r="E714" s="50"/>
      <c r="F714" s="26"/>
      <c r="G714" s="26"/>
    </row>
    <row r="715" spans="1:7">
      <c r="A715" s="26"/>
      <c r="B715" s="26"/>
      <c r="C715" s="51"/>
      <c r="D715" s="49"/>
      <c r="E715" s="50"/>
      <c r="F715" s="26"/>
      <c r="G715" s="26"/>
    </row>
    <row r="716" spans="1:7">
      <c r="A716" s="26"/>
      <c r="B716" s="26"/>
      <c r="C716" s="51"/>
      <c r="D716" s="49"/>
      <c r="E716" s="50"/>
      <c r="F716" s="26"/>
      <c r="G716" s="26"/>
    </row>
    <row r="717" spans="1:7">
      <c r="A717" s="26"/>
      <c r="B717" s="26"/>
      <c r="C717" s="51"/>
      <c r="D717" s="49"/>
      <c r="E717" s="50"/>
      <c r="F717" s="26"/>
      <c r="G717" s="26"/>
    </row>
    <row r="718" spans="1:7">
      <c r="A718" s="26"/>
      <c r="B718" s="26"/>
      <c r="C718" s="51"/>
      <c r="D718" s="49"/>
      <c r="E718" s="50"/>
      <c r="F718" s="26"/>
      <c r="G718" s="26"/>
    </row>
    <row r="719" spans="1:7">
      <c r="A719" s="26"/>
      <c r="B719" s="26"/>
      <c r="C719" s="51"/>
      <c r="D719" s="49"/>
      <c r="E719" s="50"/>
      <c r="F719" s="26"/>
      <c r="G719" s="26"/>
    </row>
    <row r="720" spans="1:7">
      <c r="A720" s="26"/>
      <c r="B720" s="26"/>
      <c r="C720" s="51"/>
      <c r="D720" s="49"/>
      <c r="E720" s="50"/>
      <c r="F720" s="26"/>
      <c r="G720" s="26"/>
    </row>
    <row r="721" spans="1:7">
      <c r="A721" s="26"/>
      <c r="B721" s="26"/>
      <c r="C721" s="51"/>
      <c r="D721" s="49"/>
      <c r="E721" s="50"/>
      <c r="F721" s="26"/>
      <c r="G721" s="26"/>
    </row>
    <row r="722" spans="1:7">
      <c r="A722" s="26"/>
      <c r="B722" s="26"/>
      <c r="C722" s="51"/>
      <c r="D722" s="49"/>
      <c r="E722" s="50"/>
      <c r="F722" s="26"/>
      <c r="G722" s="26"/>
    </row>
    <row r="723" spans="1:7">
      <c r="A723" s="26"/>
      <c r="B723" s="26"/>
      <c r="C723" s="51"/>
      <c r="D723" s="49"/>
      <c r="E723" s="50"/>
      <c r="F723" s="26"/>
      <c r="G723" s="26"/>
    </row>
    <row r="724" spans="1:7">
      <c r="A724" s="26"/>
      <c r="B724" s="26"/>
      <c r="C724" s="51"/>
      <c r="D724" s="49"/>
      <c r="E724" s="50"/>
      <c r="F724" s="26"/>
      <c r="G724" s="26"/>
    </row>
    <row r="725" spans="1:7">
      <c r="A725" s="26"/>
      <c r="B725" s="26"/>
      <c r="C725" s="51"/>
      <c r="D725" s="49"/>
      <c r="E725" s="50"/>
      <c r="F725" s="26"/>
      <c r="G725" s="26"/>
    </row>
    <row r="726" spans="1:7">
      <c r="A726" s="26"/>
      <c r="B726" s="26"/>
      <c r="C726" s="51"/>
      <c r="D726" s="49"/>
      <c r="E726" s="50"/>
      <c r="F726" s="26"/>
      <c r="G726" s="26"/>
    </row>
    <row r="727" spans="1:7">
      <c r="A727" s="26"/>
      <c r="B727" s="26"/>
      <c r="C727" s="51"/>
      <c r="D727" s="49"/>
      <c r="E727" s="50"/>
      <c r="F727" s="26"/>
      <c r="G727" s="26"/>
    </row>
    <row r="728" spans="1:7">
      <c r="A728" s="26"/>
      <c r="B728" s="26"/>
      <c r="C728" s="51"/>
      <c r="D728" s="49"/>
      <c r="E728" s="50"/>
      <c r="F728" s="26"/>
      <c r="G728" s="26"/>
    </row>
    <row r="729" spans="1:7">
      <c r="A729" s="26"/>
      <c r="B729" s="26"/>
      <c r="C729" s="51"/>
      <c r="D729" s="49"/>
      <c r="E729" s="50"/>
      <c r="F729" s="26"/>
      <c r="G729" s="26"/>
    </row>
    <row r="730" spans="1:7">
      <c r="A730" s="26"/>
      <c r="B730" s="26"/>
      <c r="C730" s="51"/>
      <c r="D730" s="49"/>
      <c r="E730" s="50"/>
      <c r="F730" s="26"/>
      <c r="G730" s="26"/>
    </row>
    <row r="731" spans="1:7">
      <c r="A731" s="26"/>
      <c r="B731" s="26"/>
      <c r="C731" s="51"/>
      <c r="D731" s="49"/>
      <c r="E731" s="50"/>
      <c r="F731" s="26"/>
      <c r="G731" s="26"/>
    </row>
    <row r="732" spans="1:7">
      <c r="A732" s="26"/>
      <c r="B732" s="26"/>
      <c r="C732" s="51"/>
      <c r="D732" s="49"/>
      <c r="E732" s="50"/>
      <c r="F732" s="26"/>
      <c r="G732" s="26"/>
    </row>
    <row r="733" spans="1:7">
      <c r="A733" s="26"/>
      <c r="B733" s="26"/>
      <c r="C733" s="51"/>
      <c r="D733" s="49"/>
      <c r="E733" s="50"/>
      <c r="F733" s="26"/>
      <c r="G733" s="26"/>
    </row>
    <row r="734" spans="1:7">
      <c r="A734" s="26"/>
      <c r="B734" s="26"/>
      <c r="C734" s="51"/>
      <c r="D734" s="49"/>
      <c r="E734" s="50"/>
      <c r="F734" s="26"/>
      <c r="G734" s="26"/>
    </row>
    <row r="735" spans="1:7">
      <c r="A735" s="26"/>
      <c r="B735" s="26"/>
      <c r="C735" s="51"/>
      <c r="D735" s="49"/>
      <c r="E735" s="50"/>
      <c r="F735" s="26"/>
      <c r="G735" s="26"/>
    </row>
    <row r="736" spans="1:7">
      <c r="A736" s="26"/>
      <c r="B736" s="26"/>
      <c r="C736" s="51"/>
      <c r="D736" s="49"/>
      <c r="E736" s="50"/>
      <c r="F736" s="26"/>
      <c r="G736" s="26"/>
    </row>
    <row r="737" spans="1:7">
      <c r="A737" s="26"/>
      <c r="B737" s="26"/>
      <c r="C737" s="51"/>
      <c r="D737" s="49"/>
      <c r="E737" s="50"/>
      <c r="F737" s="26"/>
      <c r="G737" s="26"/>
    </row>
    <row r="738" spans="1:7">
      <c r="A738" s="26"/>
      <c r="B738" s="26"/>
      <c r="C738" s="51"/>
      <c r="D738" s="49"/>
      <c r="E738" s="50"/>
      <c r="F738" s="26"/>
      <c r="G738" s="26"/>
    </row>
    <row r="739" spans="1:7">
      <c r="A739" s="26"/>
      <c r="B739" s="26"/>
      <c r="C739" s="51"/>
      <c r="D739" s="49"/>
      <c r="E739" s="50"/>
      <c r="F739" s="26"/>
      <c r="G739" s="26"/>
    </row>
    <row r="740" spans="1:7">
      <c r="A740" s="26"/>
      <c r="B740" s="26"/>
      <c r="C740" s="51"/>
      <c r="D740" s="49"/>
      <c r="E740" s="50"/>
      <c r="F740" s="26"/>
      <c r="G740" s="26"/>
    </row>
    <row r="741" spans="1:7">
      <c r="A741" s="26"/>
      <c r="B741" s="26"/>
      <c r="C741" s="51"/>
      <c r="D741" s="49"/>
      <c r="E741" s="50"/>
      <c r="F741" s="26"/>
      <c r="G741" s="26"/>
    </row>
    <row r="742" spans="1:7">
      <c r="A742" s="26"/>
      <c r="B742" s="26"/>
      <c r="C742" s="51"/>
      <c r="D742" s="49"/>
      <c r="E742" s="50"/>
      <c r="F742" s="26"/>
      <c r="G742" s="26"/>
    </row>
    <row r="743" spans="1:7">
      <c r="A743" s="26"/>
      <c r="B743" s="26"/>
      <c r="C743" s="51"/>
      <c r="D743" s="49"/>
      <c r="E743" s="50"/>
      <c r="F743" s="26"/>
      <c r="G743" s="26"/>
    </row>
    <row r="744" spans="1:7">
      <c r="A744" s="26"/>
      <c r="B744" s="26"/>
      <c r="C744" s="51"/>
      <c r="D744" s="49"/>
      <c r="E744" s="50"/>
      <c r="F744" s="26"/>
      <c r="G744" s="26"/>
    </row>
    <row r="745" spans="1:7">
      <c r="A745" s="26"/>
      <c r="B745" s="26"/>
      <c r="C745" s="51"/>
      <c r="D745" s="49"/>
      <c r="E745" s="50"/>
      <c r="F745" s="26"/>
      <c r="G745" s="26"/>
    </row>
    <row r="746" spans="1:7">
      <c r="A746" s="26"/>
      <c r="B746" s="26"/>
      <c r="C746" s="51"/>
      <c r="D746" s="49"/>
      <c r="E746" s="50"/>
      <c r="F746" s="26"/>
      <c r="G746" s="26"/>
    </row>
    <row r="747" spans="1:7">
      <c r="A747" s="26"/>
      <c r="B747" s="26"/>
      <c r="C747" s="51"/>
      <c r="D747" s="49"/>
      <c r="E747" s="50"/>
      <c r="F747" s="26"/>
      <c r="G747" s="26"/>
    </row>
    <row r="748" spans="1:7">
      <c r="A748" s="26"/>
      <c r="B748" s="26"/>
      <c r="C748" s="51"/>
      <c r="D748" s="49"/>
      <c r="E748" s="50"/>
      <c r="F748" s="26"/>
      <c r="G748" s="26"/>
    </row>
    <row r="749" spans="1:7">
      <c r="A749" s="26"/>
      <c r="B749" s="26"/>
      <c r="C749" s="51"/>
      <c r="D749" s="49"/>
      <c r="E749" s="50"/>
      <c r="F749" s="26"/>
      <c r="G749" s="26"/>
    </row>
    <row r="750" spans="1:7">
      <c r="A750" s="26"/>
      <c r="B750" s="26"/>
      <c r="C750" s="51"/>
      <c r="D750" s="49"/>
      <c r="E750" s="50"/>
      <c r="F750" s="26"/>
      <c r="G750" s="26"/>
    </row>
    <row r="751" spans="1:7">
      <c r="A751" s="26"/>
      <c r="B751" s="26"/>
      <c r="C751" s="51"/>
      <c r="D751" s="49"/>
      <c r="E751" s="50"/>
      <c r="F751" s="26"/>
      <c r="G751" s="26"/>
    </row>
    <row r="752" spans="1:7">
      <c r="A752" s="26"/>
      <c r="B752" s="26"/>
      <c r="C752" s="51"/>
      <c r="D752" s="49"/>
      <c r="E752" s="50"/>
      <c r="F752" s="26"/>
      <c r="G752" s="26"/>
    </row>
    <row r="753" spans="1:7">
      <c r="A753" s="26"/>
      <c r="B753" s="26"/>
      <c r="C753" s="51"/>
      <c r="D753" s="49"/>
      <c r="E753" s="50"/>
      <c r="F753" s="26"/>
      <c r="G753" s="26"/>
    </row>
    <row r="754" spans="1:7">
      <c r="A754" s="26"/>
      <c r="B754" s="26"/>
      <c r="C754" s="51"/>
      <c r="D754" s="49"/>
      <c r="E754" s="50"/>
      <c r="F754" s="26"/>
      <c r="G754" s="26"/>
    </row>
    <row r="755" spans="1:7">
      <c r="A755" s="26"/>
      <c r="B755" s="26"/>
      <c r="C755" s="51"/>
      <c r="D755" s="49"/>
      <c r="E755" s="50"/>
      <c r="F755" s="26"/>
      <c r="G755" s="26"/>
    </row>
    <row r="756" spans="1:7">
      <c r="A756" s="26"/>
      <c r="B756" s="26"/>
      <c r="C756" s="51"/>
      <c r="D756" s="49"/>
      <c r="E756" s="50"/>
      <c r="F756" s="26"/>
      <c r="G756" s="26"/>
    </row>
    <row r="757" spans="1:7">
      <c r="A757" s="26"/>
      <c r="B757" s="26"/>
      <c r="C757" s="51"/>
      <c r="D757" s="49"/>
      <c r="E757" s="50"/>
      <c r="F757" s="26"/>
      <c r="G757" s="26"/>
    </row>
    <row r="758" spans="1:7">
      <c r="A758" s="26"/>
      <c r="B758" s="26"/>
      <c r="C758" s="51"/>
      <c r="D758" s="49"/>
      <c r="E758" s="50"/>
      <c r="F758" s="26"/>
      <c r="G758" s="26"/>
    </row>
    <row r="759" spans="1:7">
      <c r="A759" s="26"/>
      <c r="B759" s="26"/>
      <c r="C759" s="51"/>
      <c r="D759" s="49"/>
      <c r="E759" s="50"/>
      <c r="F759" s="26"/>
      <c r="G759" s="26"/>
    </row>
    <row r="760" spans="1:7">
      <c r="A760" s="26"/>
      <c r="B760" s="26"/>
      <c r="C760" s="51"/>
      <c r="D760" s="49"/>
      <c r="E760" s="50"/>
      <c r="F760" s="26"/>
      <c r="G760" s="26"/>
    </row>
    <row r="761" spans="1:7">
      <c r="A761" s="26"/>
      <c r="B761" s="26"/>
      <c r="C761" s="51"/>
      <c r="D761" s="49"/>
      <c r="E761" s="50"/>
      <c r="F761" s="26"/>
      <c r="G761" s="26"/>
    </row>
    <row r="762" spans="1:7">
      <c r="A762" s="26"/>
      <c r="B762" s="26"/>
      <c r="C762" s="51"/>
      <c r="D762" s="49"/>
      <c r="E762" s="50"/>
      <c r="F762" s="26"/>
      <c r="G762" s="26"/>
    </row>
    <row r="763" spans="1:7">
      <c r="A763" s="26"/>
      <c r="B763" s="26"/>
      <c r="C763" s="51"/>
      <c r="D763" s="49"/>
      <c r="E763" s="50"/>
      <c r="F763" s="26"/>
      <c r="G763" s="26"/>
    </row>
    <row r="764" spans="1:7">
      <c r="A764" s="26"/>
      <c r="B764" s="26"/>
      <c r="C764" s="51"/>
      <c r="D764" s="49"/>
      <c r="E764" s="50"/>
      <c r="F764" s="26"/>
      <c r="G764" s="26"/>
    </row>
    <row r="765" spans="1:7">
      <c r="A765" s="26"/>
      <c r="B765" s="26"/>
      <c r="C765" s="51"/>
      <c r="D765" s="49"/>
      <c r="E765" s="50"/>
      <c r="F765" s="26"/>
      <c r="G765" s="26"/>
    </row>
    <row r="766" spans="1:7">
      <c r="A766" s="26"/>
      <c r="B766" s="26"/>
      <c r="C766" s="51"/>
      <c r="D766" s="49"/>
      <c r="E766" s="50"/>
      <c r="F766" s="26"/>
      <c r="G766" s="26"/>
    </row>
    <row r="767" spans="1:7">
      <c r="A767" s="26"/>
      <c r="B767" s="26"/>
      <c r="C767" s="51"/>
      <c r="D767" s="49"/>
      <c r="E767" s="50"/>
      <c r="F767" s="26"/>
      <c r="G767" s="26"/>
    </row>
    <row r="768" spans="1:7">
      <c r="A768" s="26"/>
      <c r="B768" s="26"/>
      <c r="C768" s="51"/>
      <c r="D768" s="49"/>
      <c r="E768" s="50"/>
      <c r="F768" s="26"/>
      <c r="G768" s="26"/>
    </row>
    <row r="769" spans="1:7">
      <c r="A769" s="26"/>
      <c r="B769" s="26"/>
      <c r="C769" s="51"/>
      <c r="D769" s="49"/>
      <c r="E769" s="50"/>
      <c r="F769" s="26"/>
      <c r="G769" s="26"/>
    </row>
    <row r="770" spans="1:7">
      <c r="A770" s="26"/>
      <c r="B770" s="26"/>
      <c r="C770" s="51"/>
      <c r="D770" s="49"/>
      <c r="E770" s="50"/>
      <c r="F770" s="26"/>
      <c r="G770" s="26"/>
    </row>
    <row r="771" spans="1:7">
      <c r="A771" s="26"/>
      <c r="B771" s="26"/>
      <c r="C771" s="51"/>
      <c r="D771" s="49"/>
      <c r="E771" s="50"/>
      <c r="F771" s="26"/>
      <c r="G771" s="26"/>
    </row>
    <row r="772" spans="1:7">
      <c r="A772" s="26"/>
      <c r="B772" s="26"/>
      <c r="C772" s="51"/>
      <c r="D772" s="49"/>
      <c r="E772" s="50"/>
      <c r="F772" s="26"/>
      <c r="G772" s="26"/>
    </row>
    <row r="773" spans="1:7">
      <c r="A773" s="26"/>
      <c r="B773" s="26"/>
      <c r="C773" s="51"/>
      <c r="D773" s="49"/>
      <c r="E773" s="50"/>
      <c r="F773" s="26"/>
      <c r="G773" s="26"/>
    </row>
    <row r="774" spans="1:7">
      <c r="A774" s="26"/>
      <c r="B774" s="26"/>
      <c r="C774" s="51"/>
      <c r="D774" s="49"/>
      <c r="E774" s="50"/>
      <c r="F774" s="26"/>
      <c r="G774" s="26"/>
    </row>
    <row r="775" spans="1:7">
      <c r="A775" s="26"/>
      <c r="B775" s="26"/>
      <c r="C775" s="51"/>
      <c r="D775" s="49"/>
      <c r="E775" s="50"/>
      <c r="F775" s="26"/>
      <c r="G775" s="26"/>
    </row>
    <row r="776" spans="1:7">
      <c r="A776" s="26"/>
      <c r="B776" s="26"/>
      <c r="C776" s="51"/>
      <c r="D776" s="49"/>
      <c r="E776" s="50"/>
      <c r="F776" s="26"/>
      <c r="G776" s="26"/>
    </row>
    <row r="777" spans="1:7">
      <c r="A777" s="26"/>
      <c r="B777" s="26"/>
      <c r="C777" s="51"/>
      <c r="D777" s="49"/>
      <c r="E777" s="50"/>
      <c r="F777" s="26"/>
      <c r="G777" s="26"/>
    </row>
    <row r="778" spans="1:7">
      <c r="A778" s="26"/>
      <c r="B778" s="26"/>
      <c r="C778" s="51"/>
      <c r="D778" s="49"/>
      <c r="E778" s="50"/>
      <c r="F778" s="26"/>
      <c r="G778" s="26"/>
    </row>
    <row r="779" spans="1:7">
      <c r="A779" s="26"/>
      <c r="B779" s="26"/>
      <c r="C779" s="51"/>
      <c r="D779" s="49"/>
      <c r="E779" s="50"/>
      <c r="F779" s="26"/>
      <c r="G779" s="26"/>
    </row>
    <row r="780" spans="1:7">
      <c r="A780" s="26"/>
      <c r="B780" s="26"/>
      <c r="C780" s="51"/>
      <c r="D780" s="49"/>
      <c r="E780" s="50"/>
      <c r="F780" s="26"/>
      <c r="G780" s="26"/>
    </row>
    <row r="781" spans="1:7">
      <c r="A781" s="26"/>
      <c r="B781" s="26"/>
      <c r="C781" s="51"/>
      <c r="D781" s="49"/>
      <c r="E781" s="50"/>
      <c r="F781" s="26"/>
      <c r="G781" s="26"/>
    </row>
    <row r="782" spans="1:7">
      <c r="A782" s="26"/>
      <c r="B782" s="26"/>
      <c r="C782" s="51"/>
      <c r="D782" s="49"/>
      <c r="E782" s="50"/>
      <c r="F782" s="26"/>
      <c r="G782" s="26"/>
    </row>
    <row r="783" spans="1:7">
      <c r="A783" s="26"/>
      <c r="B783" s="26"/>
      <c r="C783" s="51"/>
      <c r="D783" s="49"/>
      <c r="E783" s="50"/>
      <c r="F783" s="26"/>
      <c r="G783" s="26"/>
    </row>
    <row r="784" spans="1:7">
      <c r="A784" s="26"/>
      <c r="B784" s="26"/>
      <c r="C784" s="51"/>
      <c r="D784" s="49"/>
      <c r="E784" s="50"/>
      <c r="F784" s="26"/>
      <c r="G784" s="26"/>
    </row>
    <row r="785" spans="1:7">
      <c r="A785" s="26"/>
      <c r="B785" s="26"/>
      <c r="C785" s="51"/>
      <c r="D785" s="49"/>
      <c r="E785" s="50"/>
      <c r="F785" s="26"/>
      <c r="G785" s="26"/>
    </row>
    <row r="786" spans="1:7">
      <c r="A786" s="26"/>
      <c r="B786" s="26"/>
      <c r="C786" s="51"/>
      <c r="D786" s="49"/>
      <c r="E786" s="50"/>
      <c r="F786" s="26"/>
      <c r="G786" s="26"/>
    </row>
    <row r="787" spans="1:7">
      <c r="A787" s="26"/>
      <c r="B787" s="26"/>
      <c r="C787" s="51"/>
      <c r="D787" s="49"/>
      <c r="E787" s="50"/>
      <c r="F787" s="26"/>
      <c r="G787" s="26"/>
    </row>
    <row r="788" spans="1:7">
      <c r="A788" s="26"/>
      <c r="B788" s="26"/>
      <c r="C788" s="51"/>
      <c r="D788" s="49"/>
      <c r="E788" s="50"/>
      <c r="F788" s="26"/>
      <c r="G788" s="26"/>
    </row>
    <row r="789" spans="1:7">
      <c r="A789" s="26"/>
      <c r="B789" s="26"/>
      <c r="C789" s="51"/>
      <c r="D789" s="49"/>
      <c r="E789" s="50"/>
      <c r="F789" s="26"/>
      <c r="G789" s="26"/>
    </row>
    <row r="790" spans="1:7">
      <c r="A790" s="26"/>
      <c r="B790" s="26"/>
      <c r="C790" s="51"/>
      <c r="D790" s="49"/>
      <c r="E790" s="50"/>
      <c r="F790" s="26"/>
      <c r="G790" s="26"/>
    </row>
    <row r="791" spans="1:7">
      <c r="A791" s="26"/>
      <c r="B791" s="26"/>
      <c r="C791" s="51"/>
      <c r="D791" s="49"/>
      <c r="E791" s="50"/>
      <c r="F791" s="26"/>
      <c r="G791" s="26"/>
    </row>
    <row r="792" spans="1:7">
      <c r="A792" s="26"/>
      <c r="B792" s="26"/>
      <c r="C792" s="51"/>
      <c r="D792" s="49"/>
      <c r="E792" s="50"/>
      <c r="F792" s="26"/>
      <c r="G792" s="26"/>
    </row>
    <row r="793" spans="1:7">
      <c r="A793" s="26"/>
      <c r="B793" s="26"/>
      <c r="C793" s="51"/>
      <c r="D793" s="49"/>
      <c r="E793" s="50"/>
      <c r="F793" s="26"/>
      <c r="G793" s="26"/>
    </row>
    <row r="794" spans="1:7">
      <c r="A794" s="26"/>
      <c r="B794" s="26"/>
      <c r="C794" s="51"/>
      <c r="D794" s="49"/>
      <c r="E794" s="50"/>
      <c r="F794" s="26"/>
      <c r="G794" s="26"/>
    </row>
    <row r="795" spans="1:7">
      <c r="A795" s="26"/>
      <c r="B795" s="26"/>
      <c r="C795" s="51"/>
      <c r="D795" s="49"/>
      <c r="E795" s="50"/>
      <c r="F795" s="26"/>
      <c r="G795" s="26"/>
    </row>
    <row r="796" spans="1:7">
      <c r="A796" s="26"/>
      <c r="B796" s="26"/>
      <c r="C796" s="51"/>
      <c r="D796" s="49"/>
      <c r="E796" s="50"/>
      <c r="F796" s="26"/>
      <c r="G796" s="26"/>
    </row>
    <row r="797" spans="1:7">
      <c r="A797" s="26"/>
      <c r="B797" s="26"/>
      <c r="C797" s="51"/>
      <c r="D797" s="49"/>
      <c r="E797" s="50"/>
      <c r="F797" s="26"/>
      <c r="G797" s="26"/>
    </row>
    <row r="798" spans="1:7">
      <c r="A798" s="26"/>
      <c r="B798" s="26"/>
      <c r="C798" s="51"/>
      <c r="D798" s="49"/>
      <c r="E798" s="50"/>
      <c r="F798" s="26"/>
      <c r="G798" s="26"/>
    </row>
    <row r="799" spans="1:7">
      <c r="A799" s="26"/>
      <c r="B799" s="26"/>
      <c r="C799" s="51"/>
      <c r="D799" s="49"/>
      <c r="E799" s="50"/>
      <c r="F799" s="26"/>
      <c r="G799" s="26"/>
    </row>
    <row r="800" spans="1:7">
      <c r="A800" s="26"/>
      <c r="B800" s="26"/>
      <c r="C800" s="51"/>
      <c r="D800" s="49"/>
      <c r="E800" s="50"/>
      <c r="F800" s="26"/>
      <c r="G800" s="26"/>
    </row>
    <row r="801" spans="1:7">
      <c r="A801" s="26"/>
      <c r="B801" s="26"/>
      <c r="C801" s="51"/>
      <c r="D801" s="49"/>
      <c r="E801" s="50"/>
      <c r="F801" s="26"/>
      <c r="G801" s="26"/>
    </row>
    <row r="802" spans="1:7">
      <c r="A802" s="26"/>
      <c r="B802" s="26"/>
      <c r="C802" s="51"/>
      <c r="D802" s="49"/>
      <c r="E802" s="50"/>
      <c r="F802" s="26"/>
      <c r="G802" s="26"/>
    </row>
    <row r="803" spans="1:7">
      <c r="A803" s="26"/>
      <c r="B803" s="26"/>
      <c r="C803" s="51"/>
      <c r="D803" s="49"/>
      <c r="E803" s="50"/>
      <c r="F803" s="26"/>
      <c r="G803" s="26"/>
    </row>
    <row r="804" spans="1:7">
      <c r="A804" s="26"/>
      <c r="B804" s="26"/>
      <c r="C804" s="51"/>
      <c r="D804" s="49"/>
      <c r="E804" s="50"/>
      <c r="F804" s="26"/>
      <c r="G804" s="26"/>
    </row>
    <row r="805" spans="1:7">
      <c r="A805" s="26"/>
      <c r="B805" s="26"/>
      <c r="C805" s="51"/>
      <c r="D805" s="49"/>
      <c r="E805" s="50"/>
      <c r="F805" s="26"/>
      <c r="G805" s="26"/>
    </row>
    <row r="806" spans="1:7">
      <c r="A806" s="26"/>
      <c r="B806" s="26"/>
      <c r="C806" s="51"/>
      <c r="D806" s="49"/>
      <c r="E806" s="50"/>
      <c r="F806" s="26"/>
      <c r="G806" s="26"/>
    </row>
    <row r="807" spans="1:7">
      <c r="A807" s="26"/>
      <c r="B807" s="26"/>
      <c r="C807" s="51"/>
      <c r="D807" s="49"/>
      <c r="E807" s="50"/>
      <c r="F807" s="26"/>
      <c r="G807" s="26"/>
    </row>
    <row r="808" spans="1:7">
      <c r="A808" s="26"/>
      <c r="B808" s="26"/>
      <c r="C808" s="51"/>
      <c r="D808" s="49"/>
      <c r="E808" s="50"/>
      <c r="F808" s="26"/>
      <c r="G808" s="26"/>
    </row>
    <row r="809" spans="1:7">
      <c r="A809" s="26"/>
      <c r="B809" s="26"/>
      <c r="C809" s="51"/>
      <c r="D809" s="49"/>
      <c r="E809" s="50"/>
      <c r="F809" s="26"/>
      <c r="G809" s="26"/>
    </row>
    <row r="810" spans="1:7">
      <c r="A810" s="26"/>
      <c r="B810" s="26"/>
      <c r="C810" s="51"/>
      <c r="D810" s="49"/>
      <c r="E810" s="50"/>
      <c r="F810" s="26"/>
      <c r="G810" s="26"/>
    </row>
    <row r="811" spans="1:7">
      <c r="A811" s="26"/>
      <c r="B811" s="26"/>
      <c r="C811" s="51"/>
      <c r="D811" s="49"/>
      <c r="E811" s="50"/>
      <c r="F811" s="26"/>
      <c r="G811" s="26"/>
    </row>
    <row r="812" spans="1:7">
      <c r="A812" s="26"/>
      <c r="B812" s="26"/>
      <c r="C812" s="51"/>
      <c r="D812" s="49"/>
      <c r="E812" s="50"/>
      <c r="F812" s="26"/>
      <c r="G812" s="26"/>
    </row>
    <row r="813" spans="1:7">
      <c r="A813" s="26"/>
      <c r="B813" s="26"/>
      <c r="C813" s="51"/>
      <c r="D813" s="49"/>
      <c r="E813" s="50"/>
      <c r="F813" s="26"/>
      <c r="G813" s="26"/>
    </row>
    <row r="814" spans="1:7">
      <c r="A814" s="26"/>
      <c r="B814" s="26"/>
      <c r="C814" s="51"/>
      <c r="D814" s="49"/>
      <c r="E814" s="50"/>
      <c r="F814" s="26"/>
      <c r="G814" s="26"/>
    </row>
    <row r="815" spans="1:7">
      <c r="A815" s="26"/>
      <c r="B815" s="26"/>
      <c r="C815" s="51"/>
      <c r="D815" s="49"/>
      <c r="E815" s="50"/>
      <c r="F815" s="26"/>
      <c r="G815" s="26"/>
    </row>
    <row r="816" spans="1:7">
      <c r="A816" s="26"/>
      <c r="B816" s="26"/>
      <c r="C816" s="51"/>
      <c r="D816" s="49"/>
      <c r="E816" s="50"/>
      <c r="F816" s="26"/>
      <c r="G816" s="26"/>
    </row>
    <row r="817" spans="1:7">
      <c r="A817" s="26"/>
      <c r="B817" s="26"/>
      <c r="C817" s="51"/>
      <c r="D817" s="49"/>
      <c r="E817" s="50"/>
      <c r="F817" s="26"/>
      <c r="G817" s="26"/>
    </row>
    <row r="818" spans="1:7">
      <c r="A818" s="26"/>
      <c r="B818" s="26"/>
      <c r="C818" s="51"/>
      <c r="D818" s="49"/>
      <c r="E818" s="50"/>
      <c r="F818" s="26"/>
      <c r="G818" s="26"/>
    </row>
    <row r="819" spans="1:7">
      <c r="A819" s="26"/>
      <c r="B819" s="26"/>
      <c r="C819" s="51"/>
      <c r="D819" s="49"/>
      <c r="E819" s="50"/>
      <c r="F819" s="26"/>
      <c r="G819" s="26"/>
    </row>
    <row r="820" spans="1:7">
      <c r="A820" s="26"/>
      <c r="B820" s="26"/>
      <c r="C820" s="51"/>
      <c r="D820" s="49"/>
      <c r="E820" s="50"/>
      <c r="F820" s="26"/>
      <c r="G820" s="26"/>
    </row>
    <row r="821" spans="1:7">
      <c r="A821" s="26"/>
      <c r="B821" s="26"/>
      <c r="C821" s="51"/>
      <c r="D821" s="49"/>
      <c r="E821" s="50"/>
      <c r="F821" s="26"/>
      <c r="G821" s="26"/>
    </row>
    <row r="822" spans="1:7">
      <c r="A822" s="26"/>
      <c r="B822" s="26"/>
      <c r="C822" s="51"/>
      <c r="D822" s="49"/>
      <c r="E822" s="50"/>
      <c r="F822" s="26"/>
      <c r="G822" s="26"/>
    </row>
    <row r="823" spans="1:7">
      <c r="A823" s="26"/>
      <c r="B823" s="26"/>
      <c r="C823" s="51"/>
      <c r="D823" s="49"/>
      <c r="E823" s="50"/>
      <c r="F823" s="26"/>
      <c r="G823" s="26"/>
    </row>
    <row r="824" spans="1:7">
      <c r="A824" s="26"/>
      <c r="B824" s="26"/>
      <c r="C824" s="51"/>
      <c r="D824" s="49"/>
      <c r="E824" s="50"/>
      <c r="F824" s="26"/>
      <c r="G824" s="26"/>
    </row>
    <row r="825" spans="1:7">
      <c r="A825" s="26"/>
      <c r="B825" s="26"/>
      <c r="C825" s="51"/>
      <c r="D825" s="49"/>
      <c r="E825" s="50"/>
      <c r="F825" s="26"/>
      <c r="G825" s="26"/>
    </row>
    <row r="826" spans="1:7">
      <c r="A826" s="26"/>
      <c r="B826" s="26"/>
      <c r="C826" s="51"/>
      <c r="D826" s="49"/>
      <c r="E826" s="50"/>
      <c r="F826" s="26"/>
      <c r="G826" s="26"/>
    </row>
    <row r="827" spans="1:7">
      <c r="A827" s="26"/>
      <c r="B827" s="26"/>
      <c r="C827" s="51"/>
      <c r="D827" s="49"/>
      <c r="E827" s="50"/>
      <c r="F827" s="26"/>
      <c r="G827" s="26"/>
    </row>
    <row r="828" spans="1:7">
      <c r="A828" s="26"/>
      <c r="B828" s="26"/>
      <c r="C828" s="51"/>
      <c r="D828" s="49"/>
      <c r="E828" s="50"/>
      <c r="F828" s="26"/>
      <c r="G828" s="26"/>
    </row>
    <row r="829" spans="1:7">
      <c r="A829" s="26"/>
      <c r="B829" s="26"/>
      <c r="C829" s="51"/>
      <c r="D829" s="49"/>
      <c r="E829" s="50"/>
      <c r="F829" s="26"/>
      <c r="G829" s="26"/>
    </row>
    <row r="830" spans="1:7">
      <c r="A830" s="26"/>
      <c r="B830" s="26"/>
      <c r="C830" s="51"/>
      <c r="D830" s="49"/>
      <c r="E830" s="50"/>
      <c r="F830" s="26"/>
      <c r="G830" s="26"/>
    </row>
    <row r="831" spans="1:7">
      <c r="A831" s="26"/>
      <c r="B831" s="26"/>
      <c r="C831" s="51"/>
      <c r="D831" s="49"/>
      <c r="E831" s="50"/>
      <c r="F831" s="26"/>
      <c r="G831" s="26"/>
    </row>
    <row r="832" spans="1:7">
      <c r="A832" s="26"/>
      <c r="B832" s="26"/>
      <c r="C832" s="51"/>
      <c r="D832" s="49"/>
      <c r="E832" s="50"/>
      <c r="F832" s="26"/>
      <c r="G832" s="26"/>
    </row>
    <row r="833" spans="1:7">
      <c r="A833" s="26"/>
      <c r="B833" s="26"/>
      <c r="C833" s="51"/>
      <c r="D833" s="49"/>
      <c r="E833" s="50"/>
      <c r="F833" s="26"/>
      <c r="G833" s="26"/>
    </row>
    <row r="834" spans="1:7">
      <c r="A834" s="26"/>
      <c r="B834" s="26"/>
      <c r="C834" s="51"/>
      <c r="D834" s="49"/>
      <c r="E834" s="50"/>
      <c r="F834" s="26"/>
      <c r="G834" s="26"/>
    </row>
    <row r="835" spans="1:7">
      <c r="A835" s="26"/>
      <c r="B835" s="26"/>
      <c r="C835" s="51"/>
      <c r="D835" s="49"/>
      <c r="E835" s="50"/>
      <c r="F835" s="26"/>
      <c r="G835" s="26"/>
    </row>
    <row r="836" spans="1:7">
      <c r="A836" s="26"/>
      <c r="B836" s="26"/>
      <c r="C836" s="51"/>
      <c r="D836" s="49"/>
      <c r="E836" s="50"/>
      <c r="F836" s="26"/>
      <c r="G836" s="26"/>
    </row>
    <row r="837" spans="1:7">
      <c r="A837" s="26"/>
      <c r="B837" s="26"/>
      <c r="C837" s="51"/>
      <c r="D837" s="49"/>
      <c r="E837" s="50"/>
      <c r="F837" s="26"/>
      <c r="G837" s="26"/>
    </row>
    <row r="838" spans="1:7">
      <c r="A838" s="26"/>
      <c r="B838" s="26"/>
      <c r="C838" s="51"/>
      <c r="D838" s="49"/>
      <c r="E838" s="50"/>
      <c r="F838" s="26"/>
      <c r="G838" s="26"/>
    </row>
    <row r="839" spans="1:7">
      <c r="A839" s="26"/>
      <c r="B839" s="26"/>
      <c r="C839" s="51"/>
      <c r="D839" s="49"/>
      <c r="E839" s="50"/>
      <c r="F839" s="26"/>
      <c r="G839" s="26"/>
    </row>
    <row r="840" spans="1:7">
      <c r="A840" s="26"/>
      <c r="B840" s="26"/>
      <c r="C840" s="51"/>
      <c r="D840" s="49"/>
      <c r="E840" s="50"/>
      <c r="F840" s="26"/>
      <c r="G840" s="26"/>
    </row>
    <row r="841" spans="1:7">
      <c r="A841" s="26"/>
      <c r="B841" s="26"/>
      <c r="C841" s="51"/>
      <c r="D841" s="49"/>
      <c r="E841" s="50"/>
      <c r="F841" s="26"/>
      <c r="G841" s="26"/>
    </row>
    <row r="842" spans="1:7">
      <c r="A842" s="26"/>
      <c r="B842" s="26"/>
      <c r="C842" s="51"/>
      <c r="D842" s="49"/>
      <c r="E842" s="50"/>
      <c r="F842" s="26"/>
      <c r="G842" s="26"/>
    </row>
    <row r="843" spans="1:7">
      <c r="A843" s="26"/>
      <c r="B843" s="26"/>
      <c r="C843" s="51"/>
      <c r="D843" s="49"/>
      <c r="E843" s="50"/>
      <c r="F843" s="26"/>
      <c r="G843" s="26"/>
    </row>
    <row r="844" spans="1:7">
      <c r="A844" s="26"/>
      <c r="B844" s="26"/>
      <c r="C844" s="51"/>
      <c r="D844" s="49"/>
      <c r="E844" s="50"/>
      <c r="F844" s="26"/>
      <c r="G844" s="26"/>
    </row>
    <row r="845" spans="1:7">
      <c r="A845" s="26"/>
      <c r="B845" s="26"/>
      <c r="C845" s="51"/>
      <c r="D845" s="49"/>
      <c r="E845" s="50"/>
      <c r="F845" s="26"/>
      <c r="G845" s="26"/>
    </row>
    <row r="846" spans="1:7">
      <c r="A846" s="26"/>
      <c r="B846" s="26"/>
      <c r="C846" s="51"/>
      <c r="D846" s="49"/>
      <c r="E846" s="50"/>
      <c r="F846" s="26"/>
      <c r="G846" s="26"/>
    </row>
    <row r="847" spans="1:7">
      <c r="A847" s="26"/>
      <c r="B847" s="26"/>
      <c r="C847" s="51"/>
      <c r="D847" s="49"/>
      <c r="E847" s="50"/>
      <c r="F847" s="26"/>
      <c r="G847" s="26"/>
    </row>
    <row r="848" spans="1:7">
      <c r="A848" s="26"/>
      <c r="B848" s="26"/>
      <c r="C848" s="51"/>
      <c r="D848" s="49"/>
      <c r="E848" s="50"/>
      <c r="F848" s="26"/>
      <c r="G848" s="26"/>
    </row>
    <row r="849" spans="1:7">
      <c r="A849" s="26"/>
      <c r="B849" s="26"/>
      <c r="C849" s="51"/>
      <c r="D849" s="49"/>
      <c r="E849" s="50"/>
      <c r="F849" s="26"/>
      <c r="G849" s="26"/>
    </row>
    <row r="850" spans="1:7">
      <c r="A850" s="26"/>
      <c r="B850" s="26"/>
      <c r="C850" s="51"/>
      <c r="D850" s="49"/>
      <c r="E850" s="50"/>
      <c r="F850" s="26"/>
      <c r="G850" s="26"/>
    </row>
    <row r="851" spans="1:7">
      <c r="A851" s="26"/>
      <c r="B851" s="26"/>
      <c r="C851" s="51"/>
      <c r="D851" s="49"/>
      <c r="E851" s="50"/>
      <c r="F851" s="26"/>
      <c r="G851" s="26"/>
    </row>
    <row r="852" spans="1:7">
      <c r="A852" s="26"/>
      <c r="B852" s="26"/>
      <c r="C852" s="51"/>
      <c r="D852" s="49"/>
      <c r="E852" s="50"/>
      <c r="F852" s="26"/>
      <c r="G852" s="26"/>
    </row>
    <row r="853" spans="1:7">
      <c r="A853" s="26"/>
      <c r="B853" s="26"/>
      <c r="C853" s="51"/>
      <c r="D853" s="49"/>
      <c r="E853" s="50"/>
      <c r="F853" s="26"/>
      <c r="G853" s="26"/>
    </row>
    <row r="854" spans="1:7">
      <c r="A854" s="26"/>
      <c r="B854" s="26"/>
      <c r="C854" s="51"/>
      <c r="D854" s="49"/>
      <c r="E854" s="50"/>
      <c r="F854" s="26"/>
      <c r="G854" s="26"/>
    </row>
    <row r="855" spans="1:7">
      <c r="A855" s="26"/>
      <c r="B855" s="26"/>
      <c r="C855" s="51"/>
      <c r="D855" s="49"/>
      <c r="E855" s="50"/>
      <c r="F855" s="26"/>
      <c r="G855" s="26"/>
    </row>
    <row r="856" spans="1:7">
      <c r="A856" s="26"/>
      <c r="B856" s="26"/>
      <c r="C856" s="51"/>
      <c r="D856" s="49"/>
      <c r="E856" s="50"/>
      <c r="F856" s="26"/>
      <c r="G856" s="26"/>
    </row>
    <row r="857" spans="1:7">
      <c r="A857" s="26"/>
      <c r="B857" s="26"/>
      <c r="C857" s="51"/>
      <c r="D857" s="49"/>
      <c r="E857" s="50"/>
      <c r="F857" s="26"/>
      <c r="G857" s="26"/>
    </row>
    <row r="858" spans="1:7">
      <c r="A858" s="26"/>
      <c r="B858" s="26"/>
      <c r="C858" s="51"/>
      <c r="D858" s="49"/>
      <c r="E858" s="50"/>
      <c r="F858" s="26"/>
      <c r="G858" s="26"/>
    </row>
    <row r="859" spans="1:7">
      <c r="A859" s="26"/>
      <c r="B859" s="26"/>
      <c r="C859" s="51"/>
      <c r="D859" s="49"/>
      <c r="E859" s="50"/>
      <c r="F859" s="26"/>
      <c r="G859" s="26"/>
    </row>
    <row r="860" spans="1:7">
      <c r="A860" s="26"/>
      <c r="B860" s="26"/>
      <c r="C860" s="51"/>
      <c r="D860" s="49"/>
      <c r="E860" s="50"/>
      <c r="F860" s="26"/>
      <c r="G860" s="26"/>
    </row>
    <row r="861" spans="1:7">
      <c r="A861" s="26"/>
      <c r="B861" s="26"/>
      <c r="C861" s="51"/>
      <c r="D861" s="49"/>
      <c r="E861" s="50"/>
      <c r="F861" s="26"/>
      <c r="G861" s="26"/>
    </row>
    <row r="862" spans="1:7">
      <c r="A862" s="26"/>
      <c r="B862" s="26"/>
      <c r="C862" s="51"/>
      <c r="D862" s="49"/>
      <c r="E862" s="50"/>
      <c r="F862" s="26"/>
      <c r="G862" s="26"/>
    </row>
    <row r="863" spans="1:7">
      <c r="A863" s="26"/>
      <c r="B863" s="26"/>
      <c r="C863" s="51"/>
      <c r="D863" s="49"/>
      <c r="E863" s="50"/>
      <c r="F863" s="26"/>
      <c r="G863" s="26"/>
    </row>
    <row r="864" spans="1:7">
      <c r="A864" s="26"/>
      <c r="B864" s="26"/>
      <c r="C864" s="51"/>
      <c r="D864" s="49"/>
      <c r="E864" s="50"/>
      <c r="F864" s="26"/>
      <c r="G864" s="26"/>
    </row>
    <row r="865" spans="1:7">
      <c r="A865" s="26"/>
      <c r="B865" s="26"/>
      <c r="C865" s="51"/>
      <c r="D865" s="49"/>
      <c r="E865" s="50"/>
      <c r="F865" s="26"/>
      <c r="G865" s="26"/>
    </row>
    <row r="866" spans="1:7">
      <c r="A866" s="26"/>
      <c r="B866" s="26"/>
      <c r="C866" s="51"/>
      <c r="D866" s="49"/>
      <c r="E866" s="50"/>
      <c r="F866" s="26"/>
      <c r="G866" s="26"/>
    </row>
    <row r="867" spans="1:7">
      <c r="A867" s="26"/>
      <c r="B867" s="26"/>
      <c r="C867" s="51"/>
      <c r="D867" s="49"/>
      <c r="E867" s="50"/>
      <c r="F867" s="26"/>
      <c r="G867" s="26"/>
    </row>
    <row r="868" spans="1:7">
      <c r="A868" s="26"/>
      <c r="B868" s="26"/>
      <c r="C868" s="51"/>
      <c r="D868" s="49"/>
      <c r="E868" s="50"/>
      <c r="F868" s="26"/>
      <c r="G868" s="26"/>
    </row>
    <row r="869" spans="1:7">
      <c r="A869" s="26"/>
      <c r="B869" s="26"/>
      <c r="C869" s="51"/>
      <c r="D869" s="49"/>
      <c r="E869" s="50"/>
      <c r="F869" s="26"/>
      <c r="G869" s="26"/>
    </row>
    <row r="870" spans="1:7">
      <c r="A870" s="26"/>
      <c r="B870" s="26"/>
      <c r="C870" s="51"/>
      <c r="D870" s="49"/>
      <c r="E870" s="50"/>
      <c r="F870" s="26"/>
      <c r="G870" s="26"/>
    </row>
    <row r="871" spans="1:7">
      <c r="A871" s="26"/>
      <c r="B871" s="26"/>
      <c r="C871" s="51"/>
      <c r="D871" s="49"/>
      <c r="E871" s="50"/>
      <c r="F871" s="26"/>
      <c r="G871" s="26"/>
    </row>
    <row r="872" spans="1:7">
      <c r="A872" s="26"/>
      <c r="B872" s="26"/>
      <c r="C872" s="51"/>
      <c r="D872" s="49"/>
      <c r="E872" s="50"/>
      <c r="F872" s="26"/>
      <c r="G872" s="26"/>
    </row>
    <row r="873" spans="1:7">
      <c r="A873" s="26"/>
      <c r="B873" s="26"/>
      <c r="C873" s="51"/>
      <c r="D873" s="49"/>
      <c r="E873" s="50"/>
      <c r="F873" s="26"/>
      <c r="G873" s="26"/>
    </row>
    <row r="874" spans="1:7">
      <c r="A874" s="26"/>
      <c r="B874" s="26"/>
      <c r="C874" s="51"/>
      <c r="D874" s="49"/>
      <c r="E874" s="50"/>
      <c r="F874" s="26"/>
      <c r="G874" s="26"/>
    </row>
    <row r="875" spans="1:7">
      <c r="A875" s="26"/>
      <c r="B875" s="26"/>
      <c r="C875" s="51"/>
      <c r="D875" s="49"/>
      <c r="E875" s="50"/>
      <c r="F875" s="26"/>
      <c r="G875" s="26"/>
    </row>
    <row r="876" spans="1:7">
      <c r="A876" s="26"/>
      <c r="B876" s="26"/>
      <c r="C876" s="51"/>
      <c r="D876" s="49"/>
      <c r="E876" s="50"/>
      <c r="F876" s="26"/>
      <c r="G876" s="26"/>
    </row>
    <row r="877" spans="1:7">
      <c r="A877" s="26"/>
      <c r="B877" s="26"/>
      <c r="C877" s="51"/>
      <c r="D877" s="49"/>
      <c r="E877" s="50"/>
      <c r="F877" s="26"/>
      <c r="G877" s="26"/>
    </row>
    <row r="878" spans="1:7">
      <c r="A878" s="26"/>
      <c r="B878" s="26"/>
      <c r="C878" s="51"/>
      <c r="D878" s="49"/>
      <c r="E878" s="50"/>
      <c r="F878" s="26"/>
      <c r="G878" s="26"/>
    </row>
    <row r="879" spans="1:7">
      <c r="A879" s="26"/>
      <c r="B879" s="26"/>
      <c r="C879" s="51"/>
      <c r="D879" s="49"/>
      <c r="E879" s="50"/>
      <c r="F879" s="26"/>
      <c r="G879" s="26"/>
    </row>
    <row r="880" spans="1:7">
      <c r="A880" s="26"/>
      <c r="B880" s="26"/>
      <c r="C880" s="51"/>
      <c r="D880" s="49"/>
      <c r="E880" s="50"/>
      <c r="F880" s="26"/>
      <c r="G880" s="26"/>
    </row>
    <row r="881" spans="1:7">
      <c r="A881" s="26"/>
      <c r="B881" s="26"/>
      <c r="C881" s="51"/>
      <c r="D881" s="49"/>
      <c r="E881" s="50"/>
      <c r="F881" s="26"/>
      <c r="G881" s="26"/>
    </row>
    <row r="882" spans="1:7">
      <c r="A882" s="26"/>
      <c r="B882" s="26"/>
      <c r="C882" s="51"/>
      <c r="D882" s="49"/>
      <c r="E882" s="50"/>
      <c r="F882" s="26"/>
      <c r="G882" s="26"/>
    </row>
    <row r="883" spans="1:7">
      <c r="A883" s="26"/>
      <c r="B883" s="26"/>
      <c r="C883" s="51"/>
      <c r="D883" s="49"/>
      <c r="E883" s="50"/>
      <c r="F883" s="26"/>
      <c r="G883" s="26"/>
    </row>
    <row r="884" spans="1:7">
      <c r="A884" s="26"/>
      <c r="B884" s="26"/>
      <c r="C884" s="51"/>
      <c r="D884" s="49"/>
      <c r="E884" s="50"/>
      <c r="F884" s="26"/>
      <c r="G884" s="26"/>
    </row>
    <row r="885" spans="1:7">
      <c r="A885" s="26"/>
      <c r="B885" s="26"/>
      <c r="C885" s="51"/>
      <c r="D885" s="49"/>
      <c r="E885" s="50"/>
      <c r="F885" s="26"/>
      <c r="G885" s="26"/>
    </row>
    <row r="886" spans="1:7">
      <c r="A886" s="26"/>
      <c r="B886" s="26"/>
      <c r="C886" s="51"/>
      <c r="D886" s="49"/>
      <c r="E886" s="50"/>
      <c r="F886" s="26"/>
      <c r="G886" s="26"/>
    </row>
    <row r="887" spans="1:7">
      <c r="A887" s="26"/>
      <c r="B887" s="26"/>
      <c r="C887" s="51"/>
      <c r="D887" s="49"/>
      <c r="E887" s="50"/>
      <c r="F887" s="26"/>
      <c r="G887" s="26"/>
    </row>
    <row r="888" spans="1:7">
      <c r="A888" s="26"/>
      <c r="B888" s="26"/>
      <c r="C888" s="51"/>
      <c r="D888" s="49"/>
      <c r="E888" s="50"/>
      <c r="F888" s="26"/>
      <c r="G888" s="26"/>
    </row>
    <row r="889" spans="1:7">
      <c r="A889" s="26"/>
      <c r="B889" s="26"/>
      <c r="C889" s="51"/>
      <c r="D889" s="49"/>
      <c r="E889" s="50"/>
      <c r="F889" s="26"/>
      <c r="G889" s="26"/>
    </row>
    <row r="890" spans="1:7">
      <c r="A890" s="26"/>
      <c r="B890" s="26"/>
      <c r="C890" s="51"/>
      <c r="D890" s="49"/>
      <c r="E890" s="50"/>
      <c r="F890" s="26"/>
      <c r="G890" s="26"/>
    </row>
    <row r="891" spans="1:7">
      <c r="A891" s="26"/>
      <c r="B891" s="26"/>
      <c r="C891" s="51"/>
      <c r="D891" s="49"/>
      <c r="E891" s="50"/>
      <c r="F891" s="26"/>
      <c r="G891" s="26"/>
    </row>
    <row r="892" spans="1:7">
      <c r="A892" s="26"/>
      <c r="B892" s="26"/>
      <c r="C892" s="51"/>
      <c r="D892" s="49"/>
      <c r="E892" s="50"/>
      <c r="F892" s="26"/>
      <c r="G892" s="26"/>
    </row>
    <row r="893" spans="1:7">
      <c r="A893" s="26"/>
      <c r="B893" s="26"/>
      <c r="C893" s="51"/>
      <c r="D893" s="49"/>
      <c r="E893" s="50"/>
      <c r="F893" s="26"/>
      <c r="G893" s="26"/>
    </row>
    <row r="894" spans="1:7">
      <c r="A894" s="26"/>
      <c r="B894" s="26"/>
      <c r="C894" s="51"/>
      <c r="D894" s="49"/>
      <c r="E894" s="50"/>
      <c r="F894" s="26"/>
      <c r="G894" s="26"/>
    </row>
    <row r="895" spans="1:7">
      <c r="A895" s="26"/>
      <c r="B895" s="26"/>
      <c r="C895" s="51"/>
      <c r="D895" s="49"/>
      <c r="E895" s="50"/>
      <c r="F895" s="26"/>
      <c r="G895" s="26"/>
    </row>
    <row r="896" spans="1:7">
      <c r="A896" s="26"/>
      <c r="B896" s="26"/>
      <c r="C896" s="51"/>
      <c r="D896" s="49"/>
      <c r="E896" s="50"/>
      <c r="F896" s="26"/>
      <c r="G896" s="26"/>
    </row>
    <row r="897" spans="1:7">
      <c r="A897" s="26"/>
      <c r="B897" s="26"/>
      <c r="C897" s="51"/>
      <c r="D897" s="49"/>
      <c r="E897" s="50"/>
      <c r="F897" s="26"/>
      <c r="G897" s="26"/>
    </row>
    <row r="898" spans="1:7">
      <c r="A898" s="26"/>
      <c r="B898" s="26"/>
      <c r="C898" s="51"/>
      <c r="D898" s="49"/>
      <c r="E898" s="50"/>
      <c r="F898" s="26"/>
      <c r="G898" s="26"/>
    </row>
    <row r="899" spans="1:7">
      <c r="A899" s="26"/>
      <c r="B899" s="26"/>
      <c r="C899" s="51"/>
      <c r="D899" s="49"/>
      <c r="E899" s="50"/>
      <c r="F899" s="26"/>
      <c r="G899" s="26"/>
    </row>
    <row r="900" spans="1:7">
      <c r="A900" s="26"/>
      <c r="B900" s="26"/>
      <c r="C900" s="51"/>
      <c r="D900" s="49"/>
      <c r="E900" s="50"/>
      <c r="F900" s="26"/>
      <c r="G900" s="26"/>
    </row>
    <row r="901" spans="1:7">
      <c r="A901" s="26"/>
      <c r="B901" s="26"/>
      <c r="C901" s="51"/>
      <c r="D901" s="49"/>
      <c r="E901" s="50"/>
      <c r="F901" s="26"/>
      <c r="G901" s="26"/>
    </row>
    <row r="902" spans="1:7">
      <c r="A902" s="26"/>
      <c r="B902" s="26"/>
      <c r="C902" s="51"/>
      <c r="D902" s="49"/>
      <c r="E902" s="50"/>
      <c r="F902" s="26"/>
      <c r="G902" s="26"/>
    </row>
    <row r="903" spans="1:7">
      <c r="A903" s="26"/>
      <c r="B903" s="26"/>
      <c r="C903" s="51"/>
      <c r="D903" s="49"/>
      <c r="E903" s="50"/>
      <c r="F903" s="26"/>
      <c r="G903" s="26"/>
    </row>
    <row r="904" spans="1:7">
      <c r="A904" s="26"/>
      <c r="B904" s="26"/>
      <c r="C904" s="51"/>
      <c r="D904" s="49"/>
      <c r="E904" s="50"/>
      <c r="F904" s="26"/>
      <c r="G904" s="26"/>
    </row>
    <row r="905" spans="1:7">
      <c r="A905" s="26"/>
      <c r="B905" s="26"/>
      <c r="C905" s="51"/>
      <c r="D905" s="49"/>
      <c r="E905" s="50"/>
      <c r="F905" s="26"/>
      <c r="G905" s="26"/>
    </row>
    <row r="906" spans="1:7">
      <c r="A906" s="26"/>
      <c r="B906" s="26"/>
      <c r="C906" s="51"/>
      <c r="D906" s="49"/>
      <c r="E906" s="50"/>
      <c r="F906" s="26"/>
      <c r="G906" s="26"/>
    </row>
    <row r="907" spans="1:7">
      <c r="A907" s="26"/>
      <c r="B907" s="26"/>
      <c r="C907" s="51"/>
      <c r="D907" s="49"/>
      <c r="E907" s="50"/>
      <c r="F907" s="26"/>
      <c r="G907" s="26"/>
    </row>
    <row r="908" spans="1:7">
      <c r="A908" s="26"/>
      <c r="B908" s="26"/>
      <c r="C908" s="51"/>
      <c r="D908" s="49"/>
      <c r="E908" s="50"/>
      <c r="F908" s="26"/>
      <c r="G908" s="26"/>
    </row>
    <row r="909" spans="1:7">
      <c r="A909" s="26"/>
      <c r="B909" s="26"/>
      <c r="C909" s="51"/>
      <c r="D909" s="49"/>
      <c r="E909" s="50"/>
      <c r="F909" s="26"/>
      <c r="G909" s="26"/>
    </row>
    <row r="910" spans="1:7">
      <c r="A910" s="26"/>
      <c r="B910" s="26"/>
      <c r="C910" s="51"/>
      <c r="D910" s="49"/>
      <c r="E910" s="50"/>
      <c r="F910" s="26"/>
      <c r="G910" s="26"/>
    </row>
    <row r="911" spans="1:7">
      <c r="A911" s="26"/>
      <c r="B911" s="26"/>
      <c r="C911" s="51"/>
      <c r="D911" s="49"/>
      <c r="E911" s="50"/>
      <c r="F911" s="26"/>
      <c r="G911" s="26"/>
    </row>
    <row r="912" spans="1:7">
      <c r="A912" s="26"/>
      <c r="B912" s="26"/>
      <c r="C912" s="51"/>
      <c r="D912" s="49"/>
      <c r="E912" s="50"/>
      <c r="F912" s="26"/>
      <c r="G912" s="26"/>
    </row>
    <row r="913" spans="1:7">
      <c r="A913" s="26"/>
      <c r="B913" s="26"/>
      <c r="C913" s="51"/>
      <c r="D913" s="49"/>
      <c r="E913" s="50"/>
      <c r="F913" s="26"/>
      <c r="G913" s="26"/>
    </row>
    <row r="914" spans="1:7">
      <c r="A914" s="26"/>
      <c r="B914" s="26"/>
      <c r="C914" s="51"/>
      <c r="D914" s="49"/>
      <c r="E914" s="50"/>
      <c r="F914" s="26"/>
      <c r="G914" s="26"/>
    </row>
    <row r="915" spans="1:7">
      <c r="A915" s="26"/>
      <c r="B915" s="26"/>
      <c r="C915" s="51"/>
      <c r="D915" s="49"/>
      <c r="E915" s="50"/>
      <c r="F915" s="26"/>
      <c r="G915" s="26"/>
    </row>
    <row r="916" spans="1:7">
      <c r="A916" s="26"/>
      <c r="B916" s="26"/>
      <c r="C916" s="51"/>
      <c r="D916" s="49"/>
      <c r="E916" s="50"/>
      <c r="F916" s="26"/>
      <c r="G916" s="26"/>
    </row>
    <row r="917" spans="1:7">
      <c r="A917" s="26"/>
      <c r="B917" s="26"/>
      <c r="C917" s="51"/>
      <c r="D917" s="49"/>
      <c r="E917" s="50"/>
      <c r="F917" s="26"/>
      <c r="G917" s="26"/>
    </row>
    <row r="918" spans="1:7">
      <c r="A918" s="26"/>
      <c r="B918" s="26"/>
      <c r="C918" s="51"/>
      <c r="D918" s="49"/>
      <c r="E918" s="50"/>
      <c r="F918" s="26"/>
      <c r="G918" s="26"/>
    </row>
    <row r="919" spans="1:7">
      <c r="A919" s="26"/>
      <c r="B919" s="26"/>
      <c r="C919" s="51"/>
      <c r="D919" s="49"/>
      <c r="E919" s="50"/>
      <c r="F919" s="26"/>
      <c r="G919" s="26"/>
    </row>
    <row r="920" spans="1:7">
      <c r="A920" s="26"/>
      <c r="B920" s="26"/>
      <c r="C920" s="51"/>
      <c r="D920" s="49"/>
      <c r="E920" s="50"/>
      <c r="F920" s="26"/>
      <c r="G920" s="26"/>
    </row>
    <row r="921" spans="1:7">
      <c r="A921" s="26"/>
      <c r="B921" s="26"/>
      <c r="C921" s="51"/>
      <c r="D921" s="49"/>
      <c r="E921" s="50"/>
      <c r="F921" s="26"/>
      <c r="G921" s="26"/>
    </row>
    <row r="922" spans="1:7">
      <c r="A922" s="26"/>
      <c r="B922" s="26"/>
      <c r="C922" s="51"/>
      <c r="D922" s="49"/>
      <c r="E922" s="50"/>
      <c r="F922" s="26"/>
      <c r="G922" s="26"/>
    </row>
    <row r="923" spans="1:7">
      <c r="A923" s="26"/>
      <c r="B923" s="26"/>
      <c r="C923" s="51"/>
      <c r="D923" s="49"/>
      <c r="E923" s="50"/>
      <c r="F923" s="26"/>
      <c r="G923" s="26"/>
    </row>
    <row r="924" spans="1:7">
      <c r="A924" s="26"/>
      <c r="B924" s="26"/>
      <c r="C924" s="51"/>
      <c r="D924" s="49"/>
      <c r="E924" s="50"/>
      <c r="F924" s="26"/>
      <c r="G924" s="26"/>
    </row>
    <row r="925" spans="1:7">
      <c r="A925" s="26"/>
      <c r="B925" s="26"/>
      <c r="C925" s="51"/>
      <c r="D925" s="49"/>
      <c r="E925" s="50"/>
      <c r="F925" s="26"/>
      <c r="G925" s="26"/>
    </row>
    <row r="926" spans="1:7">
      <c r="A926" s="26"/>
      <c r="B926" s="26"/>
      <c r="C926" s="51"/>
      <c r="D926" s="49"/>
      <c r="E926" s="50"/>
      <c r="F926" s="26"/>
      <c r="G926" s="26"/>
    </row>
    <row r="927" spans="1:7">
      <c r="A927" s="26"/>
      <c r="B927" s="26"/>
      <c r="C927" s="51"/>
      <c r="D927" s="49"/>
      <c r="E927" s="50"/>
      <c r="F927" s="26"/>
      <c r="G927" s="26"/>
    </row>
    <row r="928" spans="1:7">
      <c r="A928" s="26"/>
      <c r="B928" s="26"/>
      <c r="C928" s="51"/>
      <c r="D928" s="49"/>
      <c r="E928" s="50"/>
      <c r="F928" s="26"/>
      <c r="G928" s="26"/>
    </row>
    <row r="929" spans="1:7">
      <c r="A929" s="26"/>
      <c r="B929" s="26"/>
      <c r="C929" s="51"/>
      <c r="D929" s="49"/>
      <c r="E929" s="50"/>
      <c r="F929" s="26"/>
      <c r="G929" s="26"/>
    </row>
    <row r="930" spans="1:7">
      <c r="A930" s="26"/>
      <c r="B930" s="26"/>
      <c r="C930" s="51"/>
      <c r="D930" s="49"/>
      <c r="E930" s="50"/>
      <c r="F930" s="26"/>
      <c r="G930" s="26"/>
    </row>
    <row r="931" spans="1:7">
      <c r="A931" s="26"/>
      <c r="B931" s="26"/>
      <c r="C931" s="51"/>
      <c r="D931" s="49"/>
      <c r="E931" s="50"/>
      <c r="F931" s="26"/>
      <c r="G931" s="26"/>
    </row>
    <row r="932" spans="1:7">
      <c r="A932" s="26"/>
      <c r="B932" s="26"/>
      <c r="C932" s="51"/>
      <c r="D932" s="49"/>
      <c r="E932" s="50"/>
      <c r="F932" s="26"/>
      <c r="G932" s="26"/>
    </row>
    <row r="933" spans="1:7">
      <c r="A933" s="26"/>
      <c r="B933" s="26"/>
      <c r="C933" s="51"/>
      <c r="D933" s="49"/>
      <c r="E933" s="50"/>
      <c r="F933" s="26"/>
      <c r="G933" s="26"/>
    </row>
    <row r="934" spans="1:7">
      <c r="A934" s="26"/>
      <c r="B934" s="26"/>
      <c r="C934" s="51"/>
      <c r="D934" s="49"/>
      <c r="E934" s="50"/>
      <c r="F934" s="26"/>
      <c r="G934" s="26"/>
    </row>
    <row r="935" spans="1:7">
      <c r="A935" s="26"/>
      <c r="B935" s="26"/>
      <c r="C935" s="51"/>
      <c r="D935" s="49"/>
      <c r="E935" s="50"/>
      <c r="F935" s="26"/>
      <c r="G935" s="26"/>
    </row>
    <row r="936" spans="1:7">
      <c r="A936" s="26"/>
      <c r="B936" s="26"/>
      <c r="C936" s="51"/>
      <c r="D936" s="49"/>
      <c r="E936" s="50"/>
      <c r="F936" s="26"/>
      <c r="G936" s="26"/>
    </row>
    <row r="937" spans="1:7">
      <c r="A937" s="26"/>
      <c r="B937" s="26"/>
      <c r="C937" s="51"/>
      <c r="D937" s="49"/>
      <c r="E937" s="50"/>
      <c r="F937" s="26"/>
      <c r="G937" s="26"/>
    </row>
    <row r="938" spans="1:7">
      <c r="A938" s="26"/>
      <c r="B938" s="26"/>
      <c r="C938" s="51"/>
      <c r="D938" s="49"/>
      <c r="E938" s="50"/>
      <c r="F938" s="26"/>
      <c r="G938" s="26"/>
    </row>
    <row r="939" spans="1:7">
      <c r="A939" s="26"/>
      <c r="B939" s="26"/>
      <c r="C939" s="51"/>
      <c r="D939" s="49"/>
      <c r="E939" s="50"/>
      <c r="F939" s="26"/>
      <c r="G939" s="26"/>
    </row>
    <row r="940" spans="1:7">
      <c r="A940" s="26"/>
      <c r="B940" s="26"/>
      <c r="C940" s="51"/>
      <c r="D940" s="49"/>
      <c r="E940" s="50"/>
      <c r="F940" s="26"/>
      <c r="G940" s="26"/>
    </row>
    <row r="941" spans="1:7">
      <c r="A941" s="26"/>
      <c r="B941" s="26"/>
      <c r="C941" s="51"/>
      <c r="D941" s="49"/>
      <c r="E941" s="50"/>
      <c r="F941" s="26"/>
      <c r="G941" s="26"/>
    </row>
    <row r="942" spans="1:7">
      <c r="A942" s="26"/>
      <c r="B942" s="26"/>
      <c r="C942" s="51"/>
      <c r="D942" s="49"/>
      <c r="E942" s="50"/>
      <c r="F942" s="26"/>
      <c r="G942" s="26"/>
    </row>
    <row r="943" spans="1:7">
      <c r="A943" s="26"/>
      <c r="B943" s="26"/>
      <c r="C943" s="51"/>
      <c r="D943" s="49"/>
      <c r="E943" s="50"/>
      <c r="F943" s="26"/>
      <c r="G943" s="26"/>
    </row>
    <row r="944" spans="1:7">
      <c r="A944" s="26"/>
      <c r="B944" s="26"/>
      <c r="C944" s="51"/>
      <c r="D944" s="49"/>
      <c r="E944" s="50"/>
      <c r="F944" s="26"/>
      <c r="G944" s="26"/>
    </row>
    <row r="945" spans="1:7">
      <c r="A945" s="26"/>
      <c r="B945" s="26"/>
      <c r="C945" s="51"/>
      <c r="D945" s="49"/>
      <c r="E945" s="50"/>
      <c r="F945" s="26"/>
      <c r="G945" s="26"/>
    </row>
    <row r="946" spans="1:7">
      <c r="A946" s="26"/>
      <c r="B946" s="26"/>
      <c r="C946" s="51"/>
      <c r="D946" s="49"/>
      <c r="E946" s="50"/>
      <c r="F946" s="26"/>
      <c r="G946" s="26"/>
    </row>
    <row r="947" spans="1:7">
      <c r="A947" s="26"/>
      <c r="B947" s="26"/>
      <c r="C947" s="51"/>
      <c r="D947" s="49"/>
      <c r="E947" s="50"/>
      <c r="F947" s="26"/>
      <c r="G947" s="26"/>
    </row>
    <row r="948" spans="1:7">
      <c r="A948" s="26"/>
      <c r="B948" s="26"/>
      <c r="C948" s="51"/>
      <c r="D948" s="49"/>
      <c r="E948" s="50"/>
      <c r="F948" s="26"/>
      <c r="G948" s="26"/>
    </row>
    <row r="949" spans="1:7">
      <c r="A949" s="26"/>
      <c r="B949" s="26"/>
      <c r="C949" s="51"/>
      <c r="D949" s="49"/>
      <c r="E949" s="50"/>
      <c r="F949" s="26"/>
      <c r="G949" s="26"/>
    </row>
    <row r="950" spans="1:7">
      <c r="A950" s="26"/>
      <c r="B950" s="26"/>
      <c r="C950" s="51"/>
      <c r="D950" s="49"/>
      <c r="E950" s="50"/>
      <c r="F950" s="26"/>
      <c r="G950" s="26"/>
    </row>
    <row r="951" spans="1:7">
      <c r="A951" s="26"/>
      <c r="B951" s="26"/>
      <c r="C951" s="51"/>
      <c r="D951" s="49"/>
      <c r="E951" s="50"/>
      <c r="F951" s="26"/>
      <c r="G951" s="26"/>
    </row>
    <row r="952" spans="1:7">
      <c r="A952" s="26"/>
      <c r="B952" s="26"/>
      <c r="C952" s="51"/>
      <c r="D952" s="49"/>
      <c r="E952" s="50"/>
      <c r="F952" s="26"/>
      <c r="G952" s="26"/>
    </row>
    <row r="953" spans="1:7">
      <c r="A953" s="26"/>
      <c r="B953" s="26"/>
      <c r="C953" s="51"/>
      <c r="D953" s="49"/>
      <c r="E953" s="50"/>
      <c r="F953" s="26"/>
      <c r="G953" s="26"/>
    </row>
    <row r="954" spans="1:7">
      <c r="A954" s="26"/>
      <c r="B954" s="26"/>
      <c r="C954" s="51"/>
      <c r="D954" s="49"/>
      <c r="E954" s="50"/>
      <c r="F954" s="26"/>
      <c r="G954" s="26"/>
    </row>
    <row r="955" spans="1:7">
      <c r="A955" s="26"/>
      <c r="B955" s="26"/>
      <c r="C955" s="51"/>
      <c r="D955" s="49"/>
      <c r="E955" s="50"/>
      <c r="F955" s="26"/>
      <c r="G955" s="26"/>
    </row>
    <row r="956" spans="1:7">
      <c r="A956" s="26"/>
      <c r="B956" s="26"/>
      <c r="C956" s="51"/>
      <c r="D956" s="49"/>
      <c r="E956" s="50"/>
      <c r="F956" s="26"/>
      <c r="G956" s="26"/>
    </row>
    <row r="957" spans="1:7">
      <c r="A957" s="26"/>
      <c r="B957" s="26"/>
      <c r="C957" s="51"/>
      <c r="D957" s="49"/>
      <c r="E957" s="50"/>
      <c r="F957" s="26"/>
      <c r="G957" s="26"/>
    </row>
    <row r="958" spans="1:7">
      <c r="A958" s="26"/>
      <c r="B958" s="26"/>
      <c r="C958" s="51"/>
      <c r="D958" s="49"/>
      <c r="E958" s="50"/>
      <c r="F958" s="26"/>
      <c r="G958" s="26"/>
    </row>
    <row r="959" spans="1:7">
      <c r="A959" s="26"/>
      <c r="B959" s="26"/>
      <c r="C959" s="51"/>
      <c r="D959" s="49"/>
      <c r="E959" s="50"/>
      <c r="F959" s="26"/>
      <c r="G959" s="26"/>
    </row>
    <row r="960" spans="1:7">
      <c r="A960" s="26"/>
      <c r="B960" s="26"/>
      <c r="C960" s="51"/>
      <c r="D960" s="49"/>
      <c r="E960" s="50"/>
      <c r="F960" s="26"/>
      <c r="G960" s="26"/>
    </row>
    <row r="961" spans="1:7">
      <c r="A961" s="26"/>
      <c r="B961" s="26"/>
      <c r="C961" s="51"/>
      <c r="D961" s="49"/>
      <c r="E961" s="50"/>
      <c r="F961" s="26"/>
      <c r="G961" s="26"/>
    </row>
    <row r="962" spans="1:7">
      <c r="A962" s="26"/>
      <c r="B962" s="26"/>
      <c r="C962" s="51"/>
      <c r="D962" s="49"/>
      <c r="E962" s="50"/>
      <c r="F962" s="26"/>
      <c r="G962" s="26"/>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defaultColWidth="12.5703125" defaultRowHeight="15.75" customHeight="1"/>
  <sheetData>
    <row r="1" spans="1:1">
      <c r="A1" s="57" t="s">
        <v>1899</v>
      </c>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196"/>
  <sheetViews>
    <sheetView workbookViewId="0"/>
  </sheetViews>
  <sheetFormatPr defaultColWidth="12.5703125" defaultRowHeight="15.75" customHeight="1"/>
  <cols>
    <col min="1" max="1" width="37.140625" customWidth="1"/>
    <col min="2" max="2" width="24.7109375" customWidth="1"/>
    <col min="3" max="3" width="17" customWidth="1"/>
    <col min="4" max="4" width="17.42578125" customWidth="1"/>
    <col min="5" max="5" width="21.28515625" customWidth="1"/>
    <col min="6" max="6" width="19.5703125" customWidth="1"/>
    <col min="7" max="7" width="24.28515625" customWidth="1"/>
    <col min="8" max="8" width="23" customWidth="1"/>
  </cols>
  <sheetData>
    <row r="1" spans="1:21">
      <c r="A1" s="1" t="s">
        <v>424</v>
      </c>
      <c r="B1" s="1" t="s">
        <v>423</v>
      </c>
      <c r="C1" s="1" t="s">
        <v>1900</v>
      </c>
      <c r="D1" s="1" t="s">
        <v>1901</v>
      </c>
      <c r="E1" s="1" t="s">
        <v>422</v>
      </c>
      <c r="F1" s="1" t="s">
        <v>1902</v>
      </c>
      <c r="G1" s="1" t="s">
        <v>1903</v>
      </c>
      <c r="H1" s="1" t="s">
        <v>1904</v>
      </c>
      <c r="I1" s="1" t="s">
        <v>1905</v>
      </c>
      <c r="J1" s="1" t="s">
        <v>1906</v>
      </c>
      <c r="K1" s="1" t="s">
        <v>1907</v>
      </c>
      <c r="L1" s="1" t="s">
        <v>1908</v>
      </c>
      <c r="M1" s="1" t="s">
        <v>1909</v>
      </c>
      <c r="N1" s="1" t="s">
        <v>1910</v>
      </c>
      <c r="O1" s="1" t="s">
        <v>1911</v>
      </c>
      <c r="P1" s="1" t="s">
        <v>1912</v>
      </c>
      <c r="Q1" s="1" t="s">
        <v>1913</v>
      </c>
      <c r="R1" s="1" t="s">
        <v>1914</v>
      </c>
      <c r="S1" s="1" t="s">
        <v>1915</v>
      </c>
      <c r="T1" s="1" t="s">
        <v>1916</v>
      </c>
      <c r="U1" s="1" t="s">
        <v>1917</v>
      </c>
    </row>
    <row r="2" spans="1:21">
      <c r="A2" s="1" t="s">
        <v>1155</v>
      </c>
      <c r="B2" s="1" t="s">
        <v>1918</v>
      </c>
      <c r="C2" s="1" t="s">
        <v>1154</v>
      </c>
      <c r="D2" s="1" t="s">
        <v>1919</v>
      </c>
      <c r="E2" s="1" t="s">
        <v>1920</v>
      </c>
      <c r="F2" s="1" t="s">
        <v>34</v>
      </c>
      <c r="G2" s="1" t="s">
        <v>1921</v>
      </c>
      <c r="H2" s="1" t="s">
        <v>1922</v>
      </c>
      <c r="I2" s="1" t="s">
        <v>1922</v>
      </c>
      <c r="J2" s="1" t="s">
        <v>1922</v>
      </c>
      <c r="K2" s="1" t="s">
        <v>1922</v>
      </c>
      <c r="L2" s="1" t="s">
        <v>1922</v>
      </c>
      <c r="M2" s="1" t="s">
        <v>1922</v>
      </c>
      <c r="N2" s="1" t="s">
        <v>1922</v>
      </c>
      <c r="O2" s="1" t="s">
        <v>1922</v>
      </c>
      <c r="P2" s="1" t="s">
        <v>1922</v>
      </c>
      <c r="Q2" s="1" t="s">
        <v>1922</v>
      </c>
      <c r="R2" s="1" t="s">
        <v>1922</v>
      </c>
      <c r="S2" s="1" t="s">
        <v>1922</v>
      </c>
      <c r="T2" s="1" t="s">
        <v>1922</v>
      </c>
      <c r="U2" s="1" t="s">
        <v>1922</v>
      </c>
    </row>
    <row r="3" spans="1:21">
      <c r="A3" s="1" t="s">
        <v>1223</v>
      </c>
      <c r="B3" s="1" t="s">
        <v>1923</v>
      </c>
      <c r="C3" s="1" t="s">
        <v>1222</v>
      </c>
      <c r="D3" s="1" t="s">
        <v>1919</v>
      </c>
      <c r="E3" s="1" t="s">
        <v>1924</v>
      </c>
      <c r="F3" s="1" t="s">
        <v>1548</v>
      </c>
      <c r="G3" s="1" t="s">
        <v>1465</v>
      </c>
      <c r="H3" s="1" t="s">
        <v>1922</v>
      </c>
      <c r="I3" s="1" t="s">
        <v>1922</v>
      </c>
      <c r="J3" s="1" t="s">
        <v>1922</v>
      </c>
      <c r="K3" s="1" t="s">
        <v>1922</v>
      </c>
      <c r="L3" s="1" t="s">
        <v>1922</v>
      </c>
      <c r="M3" s="1" t="s">
        <v>1922</v>
      </c>
      <c r="N3" s="1" t="s">
        <v>1922</v>
      </c>
      <c r="O3" s="1" t="s">
        <v>1922</v>
      </c>
      <c r="P3" s="1" t="s">
        <v>1922</v>
      </c>
      <c r="Q3" s="1" t="s">
        <v>1922</v>
      </c>
      <c r="R3" s="1" t="s">
        <v>1922</v>
      </c>
      <c r="S3" s="1" t="s">
        <v>1922</v>
      </c>
      <c r="T3" s="1" t="s">
        <v>1922</v>
      </c>
      <c r="U3" s="1" t="s">
        <v>1922</v>
      </c>
    </row>
    <row r="4" spans="1:21">
      <c r="A4" s="26" t="s">
        <v>1227</v>
      </c>
      <c r="B4" s="26" t="s">
        <v>1925</v>
      </c>
      <c r="C4" s="26" t="s">
        <v>1226</v>
      </c>
      <c r="D4" s="26" t="s">
        <v>1919</v>
      </c>
      <c r="E4" s="26" t="s">
        <v>1926</v>
      </c>
      <c r="F4" s="26" t="s">
        <v>409</v>
      </c>
      <c r="G4" s="26" t="s">
        <v>1927</v>
      </c>
      <c r="H4" s="26" t="s">
        <v>1922</v>
      </c>
      <c r="I4" s="26" t="s">
        <v>1922</v>
      </c>
      <c r="J4" s="26" t="s">
        <v>1922</v>
      </c>
      <c r="K4" s="26" t="s">
        <v>1922</v>
      </c>
      <c r="L4" s="26" t="s">
        <v>1922</v>
      </c>
      <c r="M4" s="26" t="s">
        <v>1922</v>
      </c>
      <c r="N4" s="26" t="s">
        <v>1922</v>
      </c>
      <c r="O4" s="26" t="s">
        <v>1922</v>
      </c>
      <c r="P4" s="26" t="s">
        <v>1922</v>
      </c>
      <c r="Q4" s="26" t="s">
        <v>1922</v>
      </c>
      <c r="R4" s="26" t="s">
        <v>1922</v>
      </c>
      <c r="S4" s="26" t="s">
        <v>1922</v>
      </c>
      <c r="T4" s="26" t="s">
        <v>1922</v>
      </c>
      <c r="U4" s="26" t="s">
        <v>1922</v>
      </c>
    </row>
    <row r="5" spans="1:21">
      <c r="A5" s="1" t="s">
        <v>1212</v>
      </c>
      <c r="B5" s="1" t="s">
        <v>1928</v>
      </c>
      <c r="C5" s="1" t="s">
        <v>1211</v>
      </c>
      <c r="D5" s="1" t="s">
        <v>1919</v>
      </c>
      <c r="E5" s="1" t="s">
        <v>1929</v>
      </c>
      <c r="F5" s="1" t="s">
        <v>390</v>
      </c>
      <c r="G5" s="1" t="s">
        <v>1930</v>
      </c>
      <c r="H5" s="1" t="s">
        <v>1922</v>
      </c>
      <c r="I5" s="1" t="s">
        <v>1922</v>
      </c>
      <c r="J5" s="1" t="s">
        <v>1922</v>
      </c>
      <c r="K5" s="1" t="s">
        <v>1922</v>
      </c>
      <c r="L5" s="1" t="s">
        <v>1922</v>
      </c>
      <c r="M5" s="1" t="s">
        <v>1922</v>
      </c>
      <c r="N5" s="1" t="s">
        <v>1922</v>
      </c>
      <c r="O5" s="1" t="s">
        <v>1922</v>
      </c>
      <c r="P5" s="1" t="s">
        <v>1922</v>
      </c>
      <c r="Q5" s="1" t="s">
        <v>1922</v>
      </c>
      <c r="R5" s="1" t="s">
        <v>1922</v>
      </c>
      <c r="S5" s="1" t="s">
        <v>1922</v>
      </c>
      <c r="T5" s="1" t="s">
        <v>1922</v>
      </c>
      <c r="U5" s="1" t="s">
        <v>1922</v>
      </c>
    </row>
    <row r="6" spans="1:21">
      <c r="A6" s="1" t="s">
        <v>1150</v>
      </c>
      <c r="B6" s="1" t="s">
        <v>1931</v>
      </c>
      <c r="C6" s="1" t="s">
        <v>1149</v>
      </c>
      <c r="D6" s="1" t="s">
        <v>1932</v>
      </c>
      <c r="E6" s="1" t="s">
        <v>1933</v>
      </c>
      <c r="F6" s="1" t="s">
        <v>34</v>
      </c>
      <c r="G6" s="1" t="s">
        <v>1922</v>
      </c>
      <c r="H6" s="1" t="s">
        <v>1922</v>
      </c>
      <c r="I6" s="1" t="s">
        <v>1922</v>
      </c>
      <c r="J6" s="1" t="s">
        <v>1922</v>
      </c>
      <c r="K6" s="1" t="s">
        <v>1922</v>
      </c>
      <c r="L6" s="1" t="s">
        <v>1922</v>
      </c>
      <c r="M6" s="1" t="s">
        <v>1922</v>
      </c>
      <c r="N6" s="1" t="s">
        <v>1922</v>
      </c>
      <c r="O6" s="1" t="s">
        <v>1922</v>
      </c>
      <c r="P6" s="1" t="s">
        <v>1922</v>
      </c>
      <c r="Q6" s="1" t="s">
        <v>1922</v>
      </c>
      <c r="R6" s="1" t="s">
        <v>1922</v>
      </c>
      <c r="S6" s="1" t="s">
        <v>1922</v>
      </c>
      <c r="T6" s="1" t="s">
        <v>1922</v>
      </c>
      <c r="U6" s="1" t="s">
        <v>1922</v>
      </c>
    </row>
    <row r="7" spans="1:21">
      <c r="A7" s="1" t="s">
        <v>1202</v>
      </c>
      <c r="B7" s="1" t="s">
        <v>1934</v>
      </c>
      <c r="C7" s="1" t="s">
        <v>1935</v>
      </c>
      <c r="D7" s="1" t="s">
        <v>1932</v>
      </c>
      <c r="E7" s="1" t="s">
        <v>1936</v>
      </c>
      <c r="F7" s="1" t="s">
        <v>391</v>
      </c>
      <c r="G7" s="1" t="s">
        <v>1922</v>
      </c>
      <c r="H7" s="1" t="s">
        <v>1922</v>
      </c>
      <c r="I7" s="1" t="s">
        <v>1922</v>
      </c>
      <c r="J7" s="1" t="s">
        <v>1922</v>
      </c>
      <c r="K7" s="1" t="s">
        <v>1922</v>
      </c>
      <c r="L7" s="1" t="s">
        <v>1922</v>
      </c>
      <c r="M7" s="1" t="s">
        <v>1922</v>
      </c>
      <c r="N7" s="1" t="s">
        <v>1922</v>
      </c>
      <c r="O7" s="1" t="s">
        <v>1922</v>
      </c>
      <c r="P7" s="1" t="s">
        <v>1922</v>
      </c>
      <c r="Q7" s="1" t="s">
        <v>1922</v>
      </c>
      <c r="R7" s="1" t="s">
        <v>1922</v>
      </c>
      <c r="S7" s="1" t="s">
        <v>1922</v>
      </c>
      <c r="T7" s="1" t="s">
        <v>1922</v>
      </c>
      <c r="U7" s="1" t="s">
        <v>1922</v>
      </c>
    </row>
    <row r="8" spans="1:21">
      <c r="A8" s="1" t="s">
        <v>1006</v>
      </c>
      <c r="B8" s="1" t="s">
        <v>1937</v>
      </c>
      <c r="C8" s="1" t="s">
        <v>1005</v>
      </c>
      <c r="D8" s="1" t="s">
        <v>1932</v>
      </c>
      <c r="E8" s="1" t="s">
        <v>1938</v>
      </c>
      <c r="F8" s="1" t="s">
        <v>1939</v>
      </c>
      <c r="G8" s="1" t="s">
        <v>1922</v>
      </c>
      <c r="H8" s="1" t="s">
        <v>1922</v>
      </c>
      <c r="I8" s="1" t="s">
        <v>1922</v>
      </c>
      <c r="J8" s="1" t="s">
        <v>1922</v>
      </c>
      <c r="K8" s="1" t="s">
        <v>1922</v>
      </c>
      <c r="L8" s="1" t="s">
        <v>1922</v>
      </c>
      <c r="M8" s="1" t="s">
        <v>1922</v>
      </c>
      <c r="N8" s="1" t="s">
        <v>1922</v>
      </c>
      <c r="O8" s="1" t="s">
        <v>1922</v>
      </c>
      <c r="P8" s="1" t="s">
        <v>1922</v>
      </c>
      <c r="Q8" s="1" t="s">
        <v>1922</v>
      </c>
      <c r="R8" s="1" t="s">
        <v>1922</v>
      </c>
      <c r="S8" s="1" t="s">
        <v>1922</v>
      </c>
      <c r="T8" s="1" t="s">
        <v>1922</v>
      </c>
      <c r="U8" s="1" t="s">
        <v>1922</v>
      </c>
    </row>
    <row r="9" spans="1:21">
      <c r="A9" s="1" t="s">
        <v>73</v>
      </c>
      <c r="B9" s="1" t="s">
        <v>1940</v>
      </c>
      <c r="C9" s="1" t="s">
        <v>1941</v>
      </c>
      <c r="D9" s="1" t="s">
        <v>1942</v>
      </c>
      <c r="E9" s="1" t="s">
        <v>1943</v>
      </c>
      <c r="F9" s="1" t="s">
        <v>1944</v>
      </c>
      <c r="G9" s="1" t="s">
        <v>1922</v>
      </c>
      <c r="H9" s="1" t="s">
        <v>1922</v>
      </c>
      <c r="I9" s="1" t="s">
        <v>1922</v>
      </c>
      <c r="J9" s="1" t="s">
        <v>1922</v>
      </c>
      <c r="K9" s="1" t="s">
        <v>1922</v>
      </c>
      <c r="L9" s="1" t="s">
        <v>1922</v>
      </c>
      <c r="M9" s="1" t="s">
        <v>1922</v>
      </c>
      <c r="N9" s="1" t="s">
        <v>1922</v>
      </c>
      <c r="O9" s="1" t="s">
        <v>1922</v>
      </c>
      <c r="P9" s="1" t="s">
        <v>1922</v>
      </c>
      <c r="Q9" s="1" t="s">
        <v>1922</v>
      </c>
      <c r="R9" s="1" t="s">
        <v>1922</v>
      </c>
      <c r="S9" s="1" t="s">
        <v>1922</v>
      </c>
      <c r="T9" s="1" t="s">
        <v>1922</v>
      </c>
      <c r="U9" s="1" t="s">
        <v>1922</v>
      </c>
    </row>
    <row r="10" spans="1:21">
      <c r="A10" s="1" t="s">
        <v>1163</v>
      </c>
      <c r="B10" s="1" t="s">
        <v>1945</v>
      </c>
      <c r="C10" s="1" t="s">
        <v>1162</v>
      </c>
      <c r="D10" s="1" t="s">
        <v>1946</v>
      </c>
      <c r="E10" s="1" t="s">
        <v>1947</v>
      </c>
      <c r="F10" s="1" t="s">
        <v>100</v>
      </c>
      <c r="G10" s="1" t="s">
        <v>1888</v>
      </c>
      <c r="H10" s="1" t="s">
        <v>1948</v>
      </c>
      <c r="I10" s="1" t="s">
        <v>1949</v>
      </c>
      <c r="J10" s="1" t="s">
        <v>1950</v>
      </c>
      <c r="K10" s="1" t="s">
        <v>392</v>
      </c>
      <c r="L10" s="1" t="s">
        <v>398</v>
      </c>
      <c r="M10" s="1" t="s">
        <v>1951</v>
      </c>
      <c r="N10" s="1" t="s">
        <v>1952</v>
      </c>
      <c r="O10" s="1" t="s">
        <v>351</v>
      </c>
      <c r="P10" s="1" t="s">
        <v>1953</v>
      </c>
      <c r="Q10" s="1" t="s">
        <v>1954</v>
      </c>
      <c r="R10" s="1" t="s">
        <v>1955</v>
      </c>
      <c r="S10" s="1" t="s">
        <v>1922</v>
      </c>
      <c r="T10" s="1" t="s">
        <v>1922</v>
      </c>
      <c r="U10" s="1" t="s">
        <v>1922</v>
      </c>
    </row>
    <row r="11" spans="1:21">
      <c r="A11" s="1" t="s">
        <v>1956</v>
      </c>
      <c r="B11" s="1" t="s">
        <v>1957</v>
      </c>
      <c r="C11" s="1" t="s">
        <v>1958</v>
      </c>
      <c r="D11" s="1" t="s">
        <v>1932</v>
      </c>
      <c r="E11" s="1" t="s">
        <v>1959</v>
      </c>
      <c r="F11" s="1" t="s">
        <v>1960</v>
      </c>
      <c r="G11" s="1" t="s">
        <v>1961</v>
      </c>
      <c r="H11" s="1" t="s">
        <v>1939</v>
      </c>
      <c r="I11" s="1" t="s">
        <v>1922</v>
      </c>
      <c r="J11" s="1" t="s">
        <v>1922</v>
      </c>
      <c r="K11" s="1" t="s">
        <v>1922</v>
      </c>
      <c r="L11" s="1" t="s">
        <v>1922</v>
      </c>
      <c r="M11" s="1" t="s">
        <v>1922</v>
      </c>
      <c r="N11" s="1" t="s">
        <v>1922</v>
      </c>
      <c r="O11" s="1" t="s">
        <v>1922</v>
      </c>
      <c r="P11" s="1" t="s">
        <v>1922</v>
      </c>
      <c r="Q11" s="1" t="s">
        <v>1922</v>
      </c>
      <c r="R11" s="1" t="s">
        <v>1922</v>
      </c>
      <c r="S11" s="1" t="s">
        <v>1922</v>
      </c>
      <c r="T11" s="1" t="s">
        <v>1922</v>
      </c>
      <c r="U11" s="1" t="s">
        <v>1922</v>
      </c>
    </row>
    <row r="12" spans="1:21">
      <c r="A12" s="1" t="s">
        <v>1198</v>
      </c>
      <c r="B12" s="1" t="s">
        <v>1962</v>
      </c>
      <c r="C12" s="1" t="s">
        <v>1197</v>
      </c>
      <c r="D12" s="1" t="s">
        <v>1919</v>
      </c>
      <c r="E12" s="1" t="s">
        <v>1963</v>
      </c>
      <c r="F12" s="1" t="s">
        <v>409</v>
      </c>
      <c r="G12" s="1" t="s">
        <v>77</v>
      </c>
      <c r="H12" s="1" t="s">
        <v>1964</v>
      </c>
      <c r="I12" s="1" t="s">
        <v>1922</v>
      </c>
      <c r="J12" s="1" t="s">
        <v>1922</v>
      </c>
      <c r="K12" s="1" t="s">
        <v>1922</v>
      </c>
      <c r="L12" s="1" t="s">
        <v>1922</v>
      </c>
      <c r="M12" s="1" t="s">
        <v>1922</v>
      </c>
      <c r="N12" s="1" t="s">
        <v>1922</v>
      </c>
      <c r="O12" s="1" t="s">
        <v>1922</v>
      </c>
      <c r="P12" s="1" t="s">
        <v>1922</v>
      </c>
      <c r="Q12" s="1" t="s">
        <v>1922</v>
      </c>
      <c r="R12" s="1" t="s">
        <v>1922</v>
      </c>
      <c r="S12" s="1" t="s">
        <v>1922</v>
      </c>
      <c r="T12" s="1" t="s">
        <v>1922</v>
      </c>
      <c r="U12" s="1" t="s">
        <v>1922</v>
      </c>
    </row>
    <row r="13" spans="1:21">
      <c r="A13" s="1" t="s">
        <v>1965</v>
      </c>
      <c r="B13" s="1" t="s">
        <v>1966</v>
      </c>
      <c r="C13" s="1" t="s">
        <v>1184</v>
      </c>
      <c r="D13" s="1" t="s">
        <v>1919</v>
      </c>
      <c r="E13" s="1" t="s">
        <v>1967</v>
      </c>
      <c r="F13" s="1" t="s">
        <v>409</v>
      </c>
      <c r="G13" s="1" t="s">
        <v>1964</v>
      </c>
      <c r="H13" s="1" t="s">
        <v>1922</v>
      </c>
      <c r="I13" s="1" t="s">
        <v>1922</v>
      </c>
      <c r="J13" s="1" t="s">
        <v>1922</v>
      </c>
      <c r="K13" s="1" t="s">
        <v>1922</v>
      </c>
      <c r="L13" s="1" t="s">
        <v>1922</v>
      </c>
      <c r="M13" s="1" t="s">
        <v>1922</v>
      </c>
      <c r="N13" s="1" t="s">
        <v>1922</v>
      </c>
      <c r="O13" s="1" t="s">
        <v>1922</v>
      </c>
      <c r="P13" s="1" t="s">
        <v>1922</v>
      </c>
      <c r="Q13" s="1" t="s">
        <v>1922</v>
      </c>
      <c r="R13" s="1" t="s">
        <v>1922</v>
      </c>
      <c r="S13" s="1" t="s">
        <v>1922</v>
      </c>
      <c r="T13" s="1" t="s">
        <v>1922</v>
      </c>
      <c r="U13" s="1" t="s">
        <v>1922</v>
      </c>
    </row>
    <row r="14" spans="1:21">
      <c r="A14" s="58" t="s">
        <v>1189</v>
      </c>
      <c r="B14" s="58" t="s">
        <v>1968</v>
      </c>
      <c r="C14" s="58" t="s">
        <v>1188</v>
      </c>
      <c r="D14" s="58" t="s">
        <v>1919</v>
      </c>
      <c r="E14" s="58" t="s">
        <v>1969</v>
      </c>
      <c r="F14" s="58" t="s">
        <v>1970</v>
      </c>
      <c r="G14" s="58" t="s">
        <v>23</v>
      </c>
      <c r="H14" s="58" t="s">
        <v>1922</v>
      </c>
      <c r="I14" s="58" t="s">
        <v>1922</v>
      </c>
      <c r="J14" s="58" t="s">
        <v>1922</v>
      </c>
      <c r="K14" s="58" t="s">
        <v>1922</v>
      </c>
      <c r="L14" s="58" t="s">
        <v>1922</v>
      </c>
      <c r="M14" s="58" t="s">
        <v>1922</v>
      </c>
      <c r="N14" s="58" t="s">
        <v>1922</v>
      </c>
      <c r="O14" s="58" t="s">
        <v>1922</v>
      </c>
      <c r="P14" s="58" t="s">
        <v>1922</v>
      </c>
      <c r="Q14" s="58" t="s">
        <v>1922</v>
      </c>
      <c r="R14" s="58" t="s">
        <v>1922</v>
      </c>
      <c r="S14" s="58" t="s">
        <v>1922</v>
      </c>
      <c r="T14" s="58" t="s">
        <v>1922</v>
      </c>
      <c r="U14" s="58" t="s">
        <v>1922</v>
      </c>
    </row>
    <row r="15" spans="1:21">
      <c r="A15" s="58" t="s">
        <v>1971</v>
      </c>
      <c r="B15" s="58" t="s">
        <v>1972</v>
      </c>
      <c r="C15" s="58" t="s">
        <v>1973</v>
      </c>
      <c r="D15" s="58" t="s">
        <v>1919</v>
      </c>
      <c r="E15" s="58" t="s">
        <v>1974</v>
      </c>
      <c r="F15" s="58" t="s">
        <v>1970</v>
      </c>
      <c r="G15" s="58" t="s">
        <v>23</v>
      </c>
      <c r="H15" s="58" t="s">
        <v>1975</v>
      </c>
      <c r="I15" s="58" t="s">
        <v>1976</v>
      </c>
      <c r="J15" s="58" t="s">
        <v>1977</v>
      </c>
      <c r="K15" s="58" t="s">
        <v>1922</v>
      </c>
      <c r="L15" s="58" t="s">
        <v>1922</v>
      </c>
      <c r="M15" s="58" t="s">
        <v>1922</v>
      </c>
      <c r="N15" s="58" t="s">
        <v>1922</v>
      </c>
      <c r="O15" s="58" t="s">
        <v>1922</v>
      </c>
      <c r="P15" s="58" t="s">
        <v>1922</v>
      </c>
      <c r="Q15" s="58" t="s">
        <v>1922</v>
      </c>
      <c r="R15" s="58" t="s">
        <v>1922</v>
      </c>
      <c r="S15" s="58" t="s">
        <v>1922</v>
      </c>
      <c r="T15" s="58" t="s">
        <v>1922</v>
      </c>
      <c r="U15" s="58" t="s">
        <v>1922</v>
      </c>
    </row>
    <row r="16" spans="1:21">
      <c r="A16" s="1" t="s">
        <v>1176</v>
      </c>
      <c r="B16" s="1" t="s">
        <v>1978</v>
      </c>
      <c r="C16" s="1" t="s">
        <v>1175</v>
      </c>
      <c r="D16" s="1" t="s">
        <v>1919</v>
      </c>
      <c r="E16" s="1" t="s">
        <v>1979</v>
      </c>
      <c r="F16" s="1" t="s">
        <v>1548</v>
      </c>
      <c r="G16" s="1" t="s">
        <v>1976</v>
      </c>
      <c r="H16" s="1" t="s">
        <v>1922</v>
      </c>
      <c r="I16" s="1" t="s">
        <v>1922</v>
      </c>
      <c r="J16" s="1" t="s">
        <v>1922</v>
      </c>
      <c r="K16" s="1" t="s">
        <v>1922</v>
      </c>
      <c r="L16" s="1" t="s">
        <v>1922</v>
      </c>
      <c r="M16" s="1" t="s">
        <v>1922</v>
      </c>
      <c r="N16" s="1" t="s">
        <v>1922</v>
      </c>
      <c r="O16" s="1" t="s">
        <v>1922</v>
      </c>
      <c r="P16" s="1" t="s">
        <v>1922</v>
      </c>
      <c r="Q16" s="1" t="s">
        <v>1922</v>
      </c>
      <c r="R16" s="1" t="s">
        <v>1922</v>
      </c>
      <c r="S16" s="1" t="s">
        <v>1922</v>
      </c>
      <c r="T16" s="1" t="s">
        <v>1922</v>
      </c>
      <c r="U16" s="1" t="s">
        <v>1922</v>
      </c>
    </row>
    <row r="17" spans="1:21">
      <c r="A17" s="1" t="s">
        <v>1144</v>
      </c>
      <c r="B17" s="1" t="s">
        <v>1980</v>
      </c>
      <c r="C17" s="1" t="s">
        <v>1143</v>
      </c>
      <c r="D17" s="1" t="s">
        <v>1932</v>
      </c>
      <c r="E17" s="1" t="s">
        <v>1981</v>
      </c>
      <c r="F17" s="1" t="s">
        <v>413</v>
      </c>
      <c r="G17" s="1" t="s">
        <v>1982</v>
      </c>
      <c r="H17" s="1" t="s">
        <v>1922</v>
      </c>
      <c r="I17" s="1" t="s">
        <v>1922</v>
      </c>
      <c r="J17" s="1" t="s">
        <v>1922</v>
      </c>
      <c r="K17" s="1" t="s">
        <v>1922</v>
      </c>
      <c r="L17" s="1" t="s">
        <v>1922</v>
      </c>
      <c r="M17" s="1" t="s">
        <v>1922</v>
      </c>
      <c r="N17" s="1" t="s">
        <v>1922</v>
      </c>
      <c r="O17" s="1" t="s">
        <v>1922</v>
      </c>
      <c r="P17" s="1" t="s">
        <v>1922</v>
      </c>
      <c r="Q17" s="1" t="s">
        <v>1922</v>
      </c>
      <c r="R17" s="1" t="s">
        <v>1922</v>
      </c>
      <c r="S17" s="1" t="s">
        <v>1922</v>
      </c>
      <c r="T17" s="1" t="s">
        <v>1922</v>
      </c>
      <c r="U17" s="1" t="s">
        <v>1922</v>
      </c>
    </row>
    <row r="18" spans="1:21">
      <c r="A18" s="1" t="s">
        <v>740</v>
      </c>
      <c r="B18" s="1" t="s">
        <v>1983</v>
      </c>
      <c r="C18" s="1" t="s">
        <v>739</v>
      </c>
      <c r="D18" s="1" t="s">
        <v>1919</v>
      </c>
      <c r="E18" s="1" t="s">
        <v>1984</v>
      </c>
      <c r="F18" s="1" t="s">
        <v>409</v>
      </c>
      <c r="G18" s="1" t="s">
        <v>1985</v>
      </c>
      <c r="H18" s="1" t="s">
        <v>1922</v>
      </c>
      <c r="I18" s="1" t="s">
        <v>1922</v>
      </c>
      <c r="J18" s="1" t="s">
        <v>1922</v>
      </c>
      <c r="K18" s="1" t="s">
        <v>1922</v>
      </c>
      <c r="L18" s="1" t="s">
        <v>1922</v>
      </c>
      <c r="M18" s="1" t="s">
        <v>1922</v>
      </c>
      <c r="N18" s="1" t="s">
        <v>1922</v>
      </c>
      <c r="O18" s="1" t="s">
        <v>1922</v>
      </c>
      <c r="P18" s="1" t="s">
        <v>1922</v>
      </c>
      <c r="Q18" s="1" t="s">
        <v>1922</v>
      </c>
      <c r="R18" s="1" t="s">
        <v>1922</v>
      </c>
      <c r="S18" s="1" t="s">
        <v>1922</v>
      </c>
      <c r="T18" s="1" t="s">
        <v>1922</v>
      </c>
      <c r="U18" s="1" t="s">
        <v>1922</v>
      </c>
    </row>
    <row r="19" spans="1:21">
      <c r="A19" s="1" t="s">
        <v>759</v>
      </c>
      <c r="B19" s="1" t="s">
        <v>1986</v>
      </c>
      <c r="C19" s="1" t="s">
        <v>1987</v>
      </c>
      <c r="D19" s="1" t="s">
        <v>1919</v>
      </c>
      <c r="E19" s="1" t="s">
        <v>1988</v>
      </c>
      <c r="F19" s="1" t="s">
        <v>409</v>
      </c>
      <c r="G19" s="1" t="s">
        <v>1985</v>
      </c>
      <c r="H19" s="1" t="s">
        <v>1922</v>
      </c>
      <c r="I19" s="1" t="s">
        <v>1922</v>
      </c>
      <c r="J19" s="1" t="s">
        <v>1922</v>
      </c>
      <c r="K19" s="1" t="s">
        <v>1922</v>
      </c>
      <c r="L19" s="1" t="s">
        <v>1922</v>
      </c>
      <c r="M19" s="1" t="s">
        <v>1922</v>
      </c>
      <c r="N19" s="1" t="s">
        <v>1922</v>
      </c>
      <c r="O19" s="1" t="s">
        <v>1922</v>
      </c>
      <c r="P19" s="1" t="s">
        <v>1922</v>
      </c>
      <c r="Q19" s="1" t="s">
        <v>1922</v>
      </c>
      <c r="R19" s="1" t="s">
        <v>1922</v>
      </c>
      <c r="S19" s="1" t="s">
        <v>1922</v>
      </c>
      <c r="T19" s="1" t="s">
        <v>1922</v>
      </c>
      <c r="U19" s="1" t="s">
        <v>1922</v>
      </c>
    </row>
    <row r="20" spans="1:21">
      <c r="A20" s="1" t="s">
        <v>754</v>
      </c>
      <c r="B20" s="1" t="s">
        <v>1989</v>
      </c>
      <c r="C20" s="1" t="s">
        <v>753</v>
      </c>
      <c r="D20" s="1" t="s">
        <v>1919</v>
      </c>
      <c r="E20" s="1" t="s">
        <v>1990</v>
      </c>
      <c r="F20" s="1" t="s">
        <v>409</v>
      </c>
      <c r="G20" s="1" t="s">
        <v>1985</v>
      </c>
      <c r="H20" s="1" t="s">
        <v>1922</v>
      </c>
      <c r="I20" s="1" t="s">
        <v>1922</v>
      </c>
      <c r="J20" s="1" t="s">
        <v>1922</v>
      </c>
      <c r="K20" s="1" t="s">
        <v>1922</v>
      </c>
      <c r="L20" s="1" t="s">
        <v>1922</v>
      </c>
      <c r="M20" s="1" t="s">
        <v>1922</v>
      </c>
      <c r="N20" s="1" t="s">
        <v>1922</v>
      </c>
      <c r="O20" s="1" t="s">
        <v>1922</v>
      </c>
      <c r="P20" s="1" t="s">
        <v>1922</v>
      </c>
      <c r="Q20" s="1" t="s">
        <v>1922</v>
      </c>
      <c r="R20" s="1" t="s">
        <v>1922</v>
      </c>
      <c r="S20" s="1" t="s">
        <v>1922</v>
      </c>
      <c r="T20" s="1" t="s">
        <v>1922</v>
      </c>
      <c r="U20" s="1" t="s">
        <v>1922</v>
      </c>
    </row>
    <row r="21" spans="1:21">
      <c r="A21" s="1" t="s">
        <v>749</v>
      </c>
      <c r="B21" s="1" t="s">
        <v>1991</v>
      </c>
      <c r="C21" s="1" t="s">
        <v>748</v>
      </c>
      <c r="D21" s="1" t="s">
        <v>1919</v>
      </c>
      <c r="E21" s="1" t="s">
        <v>1992</v>
      </c>
      <c r="F21" s="1" t="s">
        <v>409</v>
      </c>
      <c r="G21" s="1" t="s">
        <v>1985</v>
      </c>
      <c r="H21" s="1" t="s">
        <v>1922</v>
      </c>
      <c r="I21" s="1" t="s">
        <v>1922</v>
      </c>
      <c r="J21" s="1" t="s">
        <v>1922</v>
      </c>
      <c r="K21" s="1" t="s">
        <v>1922</v>
      </c>
      <c r="L21" s="1" t="s">
        <v>1922</v>
      </c>
      <c r="M21" s="1" t="s">
        <v>1922</v>
      </c>
      <c r="N21" s="1" t="s">
        <v>1922</v>
      </c>
      <c r="O21" s="1" t="s">
        <v>1922</v>
      </c>
      <c r="P21" s="1" t="s">
        <v>1922</v>
      </c>
      <c r="Q21" s="1" t="s">
        <v>1922</v>
      </c>
      <c r="R21" s="1" t="s">
        <v>1922</v>
      </c>
      <c r="S21" s="1" t="s">
        <v>1922</v>
      </c>
      <c r="T21" s="1" t="s">
        <v>1922</v>
      </c>
      <c r="U21" s="1" t="s">
        <v>1922</v>
      </c>
    </row>
    <row r="22" spans="1:21">
      <c r="A22" s="1" t="s">
        <v>745</v>
      </c>
      <c r="B22" s="1" t="s">
        <v>1993</v>
      </c>
      <c r="C22" s="1" t="s">
        <v>1994</v>
      </c>
      <c r="D22" s="1" t="s">
        <v>1919</v>
      </c>
      <c r="E22" s="1" t="s">
        <v>1995</v>
      </c>
      <c r="F22" s="1" t="s">
        <v>409</v>
      </c>
      <c r="G22" s="1" t="s">
        <v>1985</v>
      </c>
      <c r="H22" s="1" t="s">
        <v>1922</v>
      </c>
      <c r="I22" s="1" t="s">
        <v>1922</v>
      </c>
      <c r="J22" s="1" t="s">
        <v>1922</v>
      </c>
      <c r="K22" s="1" t="s">
        <v>1922</v>
      </c>
      <c r="L22" s="1" t="s">
        <v>1922</v>
      </c>
      <c r="M22" s="1" t="s">
        <v>1922</v>
      </c>
      <c r="N22" s="1" t="s">
        <v>1922</v>
      </c>
      <c r="O22" s="1" t="s">
        <v>1922</v>
      </c>
      <c r="P22" s="1" t="s">
        <v>1922</v>
      </c>
      <c r="Q22" s="1" t="s">
        <v>1922</v>
      </c>
      <c r="R22" s="1" t="s">
        <v>1922</v>
      </c>
      <c r="S22" s="1" t="s">
        <v>1922</v>
      </c>
      <c r="T22" s="1" t="s">
        <v>1922</v>
      </c>
      <c r="U22" s="1" t="s">
        <v>1922</v>
      </c>
    </row>
    <row r="23" spans="1:21">
      <c r="A23" s="26" t="s">
        <v>583</v>
      </c>
      <c r="B23" s="26" t="s">
        <v>1996</v>
      </c>
      <c r="C23" s="26" t="s">
        <v>582</v>
      </c>
      <c r="D23" s="26" t="s">
        <v>1919</v>
      </c>
      <c r="E23" s="26" t="s">
        <v>1997</v>
      </c>
      <c r="F23" s="26" t="s">
        <v>100</v>
      </c>
      <c r="G23" s="26" t="s">
        <v>99</v>
      </c>
      <c r="H23" s="26" t="s">
        <v>1998</v>
      </c>
      <c r="I23" s="26" t="s">
        <v>1955</v>
      </c>
      <c r="J23" s="26" t="s">
        <v>1999</v>
      </c>
      <c r="K23" s="26" t="s">
        <v>1922</v>
      </c>
      <c r="L23" s="26" t="s">
        <v>1922</v>
      </c>
      <c r="M23" s="26" t="s">
        <v>1922</v>
      </c>
      <c r="N23" s="26" t="s">
        <v>1922</v>
      </c>
      <c r="O23" s="26" t="s">
        <v>1922</v>
      </c>
      <c r="P23" s="26" t="s">
        <v>1922</v>
      </c>
      <c r="Q23" s="26" t="s">
        <v>1922</v>
      </c>
      <c r="R23" s="26" t="s">
        <v>1922</v>
      </c>
      <c r="S23" s="26" t="s">
        <v>1922</v>
      </c>
      <c r="T23" s="26" t="s">
        <v>1922</v>
      </c>
      <c r="U23" s="26" t="s">
        <v>1922</v>
      </c>
    </row>
    <row r="24" spans="1:21">
      <c r="A24" s="26" t="s">
        <v>578</v>
      </c>
      <c r="B24" s="26" t="s">
        <v>2000</v>
      </c>
      <c r="C24" s="26" t="s">
        <v>577</v>
      </c>
      <c r="D24" s="26" t="s">
        <v>1919</v>
      </c>
      <c r="E24" s="26" t="s">
        <v>2001</v>
      </c>
      <c r="F24" s="26" t="s">
        <v>100</v>
      </c>
      <c r="G24" s="26" t="s">
        <v>99</v>
      </c>
      <c r="H24" s="26" t="s">
        <v>2002</v>
      </c>
      <c r="I24" s="26" t="s">
        <v>1955</v>
      </c>
      <c r="J24" s="26" t="s">
        <v>1922</v>
      </c>
      <c r="K24" s="26" t="s">
        <v>1922</v>
      </c>
      <c r="L24" s="26" t="s">
        <v>1922</v>
      </c>
      <c r="M24" s="26" t="s">
        <v>1922</v>
      </c>
      <c r="N24" s="26" t="s">
        <v>1922</v>
      </c>
      <c r="O24" s="26" t="s">
        <v>1922</v>
      </c>
      <c r="P24" s="26" t="s">
        <v>1922</v>
      </c>
      <c r="Q24" s="26" t="s">
        <v>1922</v>
      </c>
      <c r="R24" s="26" t="s">
        <v>1922</v>
      </c>
      <c r="S24" s="26" t="s">
        <v>1922</v>
      </c>
      <c r="T24" s="26" t="s">
        <v>1922</v>
      </c>
      <c r="U24" s="26" t="s">
        <v>1922</v>
      </c>
    </row>
    <row r="25" spans="1:21">
      <c r="A25" s="26" t="s">
        <v>573</v>
      </c>
      <c r="B25" s="26" t="s">
        <v>2003</v>
      </c>
      <c r="C25" s="26" t="s">
        <v>572</v>
      </c>
      <c r="D25" s="26" t="s">
        <v>1919</v>
      </c>
      <c r="E25" s="26" t="s">
        <v>2004</v>
      </c>
      <c r="F25" s="26" t="s">
        <v>100</v>
      </c>
      <c r="G25" s="26" t="s">
        <v>99</v>
      </c>
      <c r="H25" s="26" t="s">
        <v>1998</v>
      </c>
      <c r="I25" s="26" t="s">
        <v>1955</v>
      </c>
      <c r="J25" s="26" t="s">
        <v>1922</v>
      </c>
      <c r="K25" s="26" t="s">
        <v>1922</v>
      </c>
      <c r="L25" s="26" t="s">
        <v>1922</v>
      </c>
      <c r="M25" s="26" t="s">
        <v>1922</v>
      </c>
      <c r="N25" s="26" t="s">
        <v>1922</v>
      </c>
      <c r="O25" s="26" t="s">
        <v>1922</v>
      </c>
      <c r="P25" s="26" t="s">
        <v>1922</v>
      </c>
      <c r="Q25" s="26" t="s">
        <v>1922</v>
      </c>
      <c r="R25" s="26" t="s">
        <v>1922</v>
      </c>
      <c r="S25" s="26" t="s">
        <v>1922</v>
      </c>
      <c r="T25" s="26" t="s">
        <v>1922</v>
      </c>
      <c r="U25" s="26" t="s">
        <v>1922</v>
      </c>
    </row>
    <row r="26" spans="1:21">
      <c r="A26" s="1" t="s">
        <v>591</v>
      </c>
      <c r="B26" s="1" t="s">
        <v>2005</v>
      </c>
      <c r="C26" s="1" t="s">
        <v>590</v>
      </c>
      <c r="D26" s="1" t="s">
        <v>1919</v>
      </c>
      <c r="E26" s="1" t="s">
        <v>2006</v>
      </c>
      <c r="F26" s="1" t="s">
        <v>100</v>
      </c>
      <c r="G26" s="1" t="s">
        <v>1888</v>
      </c>
      <c r="H26" s="1" t="s">
        <v>1952</v>
      </c>
      <c r="I26" s="1" t="s">
        <v>351</v>
      </c>
      <c r="J26" s="1" t="s">
        <v>99</v>
      </c>
      <c r="K26" s="1" t="s">
        <v>1998</v>
      </c>
      <c r="L26" s="1" t="s">
        <v>1955</v>
      </c>
      <c r="M26" s="1" t="s">
        <v>1922</v>
      </c>
      <c r="N26" s="1" t="s">
        <v>1922</v>
      </c>
      <c r="O26" s="1" t="s">
        <v>1922</v>
      </c>
      <c r="P26" s="1" t="s">
        <v>1922</v>
      </c>
      <c r="Q26" s="1" t="s">
        <v>1922</v>
      </c>
      <c r="R26" s="1" t="s">
        <v>1922</v>
      </c>
      <c r="S26" s="1" t="s">
        <v>1922</v>
      </c>
      <c r="T26" s="1" t="s">
        <v>1922</v>
      </c>
      <c r="U26" s="1" t="s">
        <v>1922</v>
      </c>
    </row>
    <row r="27" spans="1:21">
      <c r="A27" s="1" t="s">
        <v>594</v>
      </c>
      <c r="B27" s="1" t="s">
        <v>2007</v>
      </c>
      <c r="C27" s="1" t="s">
        <v>593</v>
      </c>
      <c r="D27" s="1" t="s">
        <v>1919</v>
      </c>
      <c r="E27" s="1" t="s">
        <v>2008</v>
      </c>
      <c r="F27" s="1" t="s">
        <v>100</v>
      </c>
      <c r="G27" s="1" t="s">
        <v>1888</v>
      </c>
      <c r="H27" s="1" t="s">
        <v>1893</v>
      </c>
      <c r="I27" s="1" t="s">
        <v>1952</v>
      </c>
      <c r="J27" s="1" t="s">
        <v>351</v>
      </c>
      <c r="K27" s="1" t="s">
        <v>99</v>
      </c>
      <c r="L27" s="1" t="s">
        <v>1954</v>
      </c>
      <c r="M27" s="1" t="s">
        <v>1955</v>
      </c>
      <c r="N27" s="1" t="s">
        <v>1922</v>
      </c>
      <c r="O27" s="1" t="s">
        <v>1922</v>
      </c>
      <c r="P27" s="1" t="s">
        <v>1922</v>
      </c>
      <c r="Q27" s="1" t="s">
        <v>1922</v>
      </c>
      <c r="R27" s="1" t="s">
        <v>1922</v>
      </c>
      <c r="S27" s="1" t="s">
        <v>1922</v>
      </c>
      <c r="T27" s="1" t="s">
        <v>1922</v>
      </c>
      <c r="U27" s="1" t="s">
        <v>1922</v>
      </c>
    </row>
    <row r="28" spans="1:21">
      <c r="A28" s="26" t="s">
        <v>668</v>
      </c>
      <c r="B28" s="26" t="s">
        <v>2009</v>
      </c>
      <c r="C28" s="26" t="s">
        <v>667</v>
      </c>
      <c r="D28" s="26" t="s">
        <v>1932</v>
      </c>
      <c r="E28" s="26" t="s">
        <v>2010</v>
      </c>
      <c r="F28" s="26" t="s">
        <v>100</v>
      </c>
      <c r="G28" s="26" t="s">
        <v>1952</v>
      </c>
      <c r="H28" s="26" t="s">
        <v>351</v>
      </c>
      <c r="I28" s="26" t="s">
        <v>99</v>
      </c>
      <c r="J28" s="26" t="s">
        <v>2002</v>
      </c>
      <c r="K28" s="26" t="s">
        <v>2011</v>
      </c>
      <c r="L28" s="26" t="s">
        <v>1922</v>
      </c>
      <c r="M28" s="26" t="s">
        <v>1922</v>
      </c>
      <c r="N28" s="26" t="s">
        <v>1922</v>
      </c>
      <c r="O28" s="26" t="s">
        <v>1922</v>
      </c>
      <c r="P28" s="26" t="s">
        <v>1922</v>
      </c>
      <c r="Q28" s="26" t="s">
        <v>1922</v>
      </c>
      <c r="R28" s="26" t="s">
        <v>1922</v>
      </c>
      <c r="S28" s="26" t="s">
        <v>1922</v>
      </c>
      <c r="T28" s="26" t="s">
        <v>1922</v>
      </c>
      <c r="U28" s="26" t="s">
        <v>1922</v>
      </c>
    </row>
    <row r="29" spans="1:21">
      <c r="A29" s="1" t="s">
        <v>1878</v>
      </c>
      <c r="B29" s="1" t="s">
        <v>2012</v>
      </c>
      <c r="C29" s="1" t="s">
        <v>2013</v>
      </c>
      <c r="D29" s="1" t="s">
        <v>1919</v>
      </c>
      <c r="E29" s="1" t="s">
        <v>2014</v>
      </c>
      <c r="F29" s="1" t="s">
        <v>100</v>
      </c>
      <c r="G29" s="1" t="s">
        <v>1888</v>
      </c>
      <c r="H29" s="1" t="s">
        <v>1952</v>
      </c>
      <c r="I29" s="1" t="s">
        <v>351</v>
      </c>
      <c r="J29" s="1" t="s">
        <v>1939</v>
      </c>
      <c r="K29" s="1" t="s">
        <v>1922</v>
      </c>
      <c r="L29" s="1" t="s">
        <v>1922</v>
      </c>
      <c r="M29" s="1" t="s">
        <v>1922</v>
      </c>
      <c r="N29" s="1" t="s">
        <v>1922</v>
      </c>
      <c r="O29" s="1" t="s">
        <v>1922</v>
      </c>
      <c r="P29" s="1" t="s">
        <v>1922</v>
      </c>
      <c r="Q29" s="1" t="s">
        <v>1922</v>
      </c>
      <c r="R29" s="1" t="s">
        <v>1922</v>
      </c>
      <c r="S29" s="1" t="s">
        <v>1922</v>
      </c>
      <c r="T29" s="1" t="s">
        <v>1922</v>
      </c>
      <c r="U29" s="1" t="s">
        <v>1922</v>
      </c>
    </row>
    <row r="30" spans="1:21">
      <c r="A30" s="1" t="s">
        <v>845</v>
      </c>
      <c r="B30" s="1" t="s">
        <v>2015</v>
      </c>
      <c r="C30" s="1" t="s">
        <v>844</v>
      </c>
      <c r="D30" s="1" t="s">
        <v>1919</v>
      </c>
      <c r="E30" s="1" t="s">
        <v>2016</v>
      </c>
      <c r="F30" s="1" t="s">
        <v>100</v>
      </c>
      <c r="G30" s="1" t="s">
        <v>1888</v>
      </c>
      <c r="H30" s="1" t="s">
        <v>392</v>
      </c>
      <c r="I30" s="1" t="s">
        <v>398</v>
      </c>
      <c r="J30" s="1" t="s">
        <v>1952</v>
      </c>
      <c r="K30" s="1" t="s">
        <v>2017</v>
      </c>
      <c r="L30" s="1" t="s">
        <v>1922</v>
      </c>
      <c r="M30" s="1" t="s">
        <v>1922</v>
      </c>
      <c r="N30" s="1" t="s">
        <v>1922</v>
      </c>
      <c r="O30" s="1" t="s">
        <v>1922</v>
      </c>
      <c r="P30" s="1" t="s">
        <v>1922</v>
      </c>
      <c r="Q30" s="1" t="s">
        <v>1922</v>
      </c>
      <c r="R30" s="1" t="s">
        <v>1922</v>
      </c>
      <c r="S30" s="1" t="s">
        <v>1922</v>
      </c>
      <c r="T30" s="1" t="s">
        <v>1922</v>
      </c>
      <c r="U30" s="1" t="s">
        <v>1922</v>
      </c>
    </row>
    <row r="31" spans="1:21">
      <c r="A31" s="1" t="s">
        <v>1139</v>
      </c>
      <c r="B31" s="1" t="s">
        <v>2018</v>
      </c>
      <c r="C31" s="1" t="s">
        <v>1138</v>
      </c>
      <c r="D31" s="1" t="s">
        <v>1932</v>
      </c>
      <c r="E31" s="1" t="s">
        <v>2019</v>
      </c>
      <c r="F31" s="1" t="s">
        <v>2020</v>
      </c>
      <c r="G31" s="1" t="s">
        <v>77</v>
      </c>
      <c r="H31" s="1" t="s">
        <v>1922</v>
      </c>
      <c r="I31" s="1" t="s">
        <v>1922</v>
      </c>
      <c r="J31" s="1" t="s">
        <v>1922</v>
      </c>
      <c r="K31" s="1" t="s">
        <v>1922</v>
      </c>
      <c r="L31" s="1" t="s">
        <v>1922</v>
      </c>
      <c r="M31" s="1" t="s">
        <v>1922</v>
      </c>
      <c r="N31" s="1" t="s">
        <v>1922</v>
      </c>
      <c r="O31" s="1" t="s">
        <v>1922</v>
      </c>
      <c r="P31" s="1" t="s">
        <v>1922</v>
      </c>
      <c r="Q31" s="1" t="s">
        <v>1922</v>
      </c>
      <c r="R31" s="1" t="s">
        <v>1922</v>
      </c>
      <c r="S31" s="1" t="s">
        <v>1922</v>
      </c>
      <c r="T31" s="1" t="s">
        <v>1922</v>
      </c>
      <c r="U31" s="1" t="s">
        <v>1922</v>
      </c>
    </row>
    <row r="32" spans="1:21">
      <c r="A32" s="1" t="s">
        <v>1791</v>
      </c>
      <c r="B32" s="1" t="s">
        <v>2021</v>
      </c>
      <c r="C32" s="1" t="s">
        <v>1168</v>
      </c>
      <c r="D32" s="1" t="s">
        <v>1919</v>
      </c>
      <c r="E32" s="1" t="s">
        <v>2022</v>
      </c>
      <c r="F32" s="1" t="s">
        <v>77</v>
      </c>
      <c r="G32" s="1" t="s">
        <v>1922</v>
      </c>
      <c r="H32" s="1" t="s">
        <v>1922</v>
      </c>
      <c r="I32" s="1" t="s">
        <v>1922</v>
      </c>
      <c r="J32" s="1" t="s">
        <v>1922</v>
      </c>
      <c r="K32" s="1" t="s">
        <v>1922</v>
      </c>
      <c r="L32" s="1" t="s">
        <v>1922</v>
      </c>
      <c r="M32" s="1" t="s">
        <v>1922</v>
      </c>
      <c r="N32" s="1" t="s">
        <v>1922</v>
      </c>
      <c r="O32" s="1" t="s">
        <v>1922</v>
      </c>
      <c r="P32" s="1" t="s">
        <v>1922</v>
      </c>
      <c r="Q32" s="1" t="s">
        <v>1922</v>
      </c>
      <c r="R32" s="1" t="s">
        <v>1922</v>
      </c>
      <c r="S32" s="1" t="s">
        <v>1922</v>
      </c>
      <c r="T32" s="1" t="s">
        <v>1922</v>
      </c>
      <c r="U32" s="1" t="s">
        <v>1922</v>
      </c>
    </row>
    <row r="33" spans="1:21">
      <c r="A33" s="1" t="s">
        <v>1772</v>
      </c>
      <c r="B33" s="1" t="s">
        <v>2023</v>
      </c>
      <c r="C33" s="1" t="s">
        <v>474</v>
      </c>
      <c r="D33" s="1" t="s">
        <v>1932</v>
      </c>
      <c r="E33" s="1" t="s">
        <v>2024</v>
      </c>
      <c r="F33" s="1" t="s">
        <v>381</v>
      </c>
      <c r="G33" s="1" t="s">
        <v>476</v>
      </c>
      <c r="H33" s="1" t="s">
        <v>90</v>
      </c>
      <c r="I33" s="1" t="s">
        <v>2025</v>
      </c>
      <c r="J33" s="1" t="s">
        <v>2026</v>
      </c>
      <c r="K33" s="1" t="s">
        <v>1939</v>
      </c>
      <c r="L33" s="1" t="s">
        <v>1922</v>
      </c>
      <c r="M33" s="1" t="s">
        <v>1922</v>
      </c>
      <c r="N33" s="1" t="s">
        <v>1922</v>
      </c>
      <c r="O33" s="1" t="s">
        <v>1922</v>
      </c>
      <c r="P33" s="1" t="s">
        <v>1922</v>
      </c>
      <c r="Q33" s="1" t="s">
        <v>1922</v>
      </c>
      <c r="R33" s="1" t="s">
        <v>1922</v>
      </c>
      <c r="S33" s="1" t="s">
        <v>1922</v>
      </c>
      <c r="T33" s="1" t="s">
        <v>1922</v>
      </c>
      <c r="U33" s="1" t="s">
        <v>1922</v>
      </c>
    </row>
    <row r="34" spans="1:21">
      <c r="A34" s="1" t="s">
        <v>1127</v>
      </c>
      <c r="B34" s="1" t="s">
        <v>2027</v>
      </c>
      <c r="C34" s="1" t="s">
        <v>2028</v>
      </c>
      <c r="D34" s="1" t="s">
        <v>1919</v>
      </c>
      <c r="E34" s="1" t="s">
        <v>2029</v>
      </c>
      <c r="F34" s="1" t="s">
        <v>409</v>
      </c>
      <c r="G34" s="1" t="s">
        <v>1964</v>
      </c>
      <c r="H34" s="1" t="s">
        <v>1922</v>
      </c>
      <c r="I34" s="1" t="s">
        <v>1922</v>
      </c>
      <c r="J34" s="1" t="s">
        <v>1922</v>
      </c>
      <c r="K34" s="1" t="s">
        <v>1922</v>
      </c>
      <c r="L34" s="1" t="s">
        <v>1922</v>
      </c>
      <c r="M34" s="1" t="s">
        <v>1922</v>
      </c>
      <c r="N34" s="1" t="s">
        <v>1922</v>
      </c>
      <c r="O34" s="1" t="s">
        <v>1922</v>
      </c>
      <c r="P34" s="1" t="s">
        <v>1922</v>
      </c>
      <c r="Q34" s="1" t="s">
        <v>1922</v>
      </c>
      <c r="R34" s="1" t="s">
        <v>1922</v>
      </c>
      <c r="S34" s="1" t="s">
        <v>1922</v>
      </c>
      <c r="T34" s="1" t="s">
        <v>1922</v>
      </c>
      <c r="U34" s="1" t="s">
        <v>1922</v>
      </c>
    </row>
    <row r="35" spans="1:21">
      <c r="A35" s="1" t="s">
        <v>1447</v>
      </c>
      <c r="B35" s="1" t="s">
        <v>2030</v>
      </c>
      <c r="C35" s="1" t="s">
        <v>1446</v>
      </c>
      <c r="D35" s="1" t="s">
        <v>1919</v>
      </c>
      <c r="E35" s="1" t="s">
        <v>2031</v>
      </c>
      <c r="F35" s="1" t="s">
        <v>2032</v>
      </c>
      <c r="G35" s="1" t="s">
        <v>1922</v>
      </c>
      <c r="H35" s="1" t="s">
        <v>1922</v>
      </c>
      <c r="I35" s="1" t="s">
        <v>1922</v>
      </c>
      <c r="J35" s="1" t="s">
        <v>1922</v>
      </c>
      <c r="K35" s="1" t="s">
        <v>1922</v>
      </c>
      <c r="L35" s="1" t="s">
        <v>1922</v>
      </c>
      <c r="M35" s="1" t="s">
        <v>1922</v>
      </c>
      <c r="N35" s="1" t="s">
        <v>1922</v>
      </c>
      <c r="O35" s="1" t="s">
        <v>1922</v>
      </c>
      <c r="P35" s="1" t="s">
        <v>1922</v>
      </c>
      <c r="Q35" s="1" t="s">
        <v>1922</v>
      </c>
      <c r="R35" s="1" t="s">
        <v>1922</v>
      </c>
      <c r="S35" s="1" t="s">
        <v>1922</v>
      </c>
      <c r="T35" s="1" t="s">
        <v>1922</v>
      </c>
      <c r="U35" s="1" t="s">
        <v>1922</v>
      </c>
    </row>
    <row r="36" spans="1:21">
      <c r="A36" s="1" t="s">
        <v>1442</v>
      </c>
      <c r="B36" s="1" t="s">
        <v>2033</v>
      </c>
      <c r="C36" s="1" t="s">
        <v>1441</v>
      </c>
      <c r="D36" s="1" t="s">
        <v>1919</v>
      </c>
      <c r="E36" s="1" t="s">
        <v>2034</v>
      </c>
      <c r="F36" s="1" t="s">
        <v>409</v>
      </c>
      <c r="G36" s="1" t="s">
        <v>1964</v>
      </c>
      <c r="H36" s="1" t="s">
        <v>1922</v>
      </c>
      <c r="I36" s="1" t="s">
        <v>1922</v>
      </c>
      <c r="J36" s="1" t="s">
        <v>1922</v>
      </c>
      <c r="K36" s="1" t="s">
        <v>1922</v>
      </c>
      <c r="L36" s="1" t="s">
        <v>1922</v>
      </c>
      <c r="M36" s="1" t="s">
        <v>1922</v>
      </c>
      <c r="N36" s="1" t="s">
        <v>1922</v>
      </c>
      <c r="O36" s="1" t="s">
        <v>1922</v>
      </c>
      <c r="P36" s="1" t="s">
        <v>1922</v>
      </c>
      <c r="Q36" s="1" t="s">
        <v>1922</v>
      </c>
      <c r="R36" s="1" t="s">
        <v>1922</v>
      </c>
      <c r="S36" s="1" t="s">
        <v>1922</v>
      </c>
      <c r="T36" s="1" t="s">
        <v>1922</v>
      </c>
      <c r="U36" s="1" t="s">
        <v>1922</v>
      </c>
    </row>
    <row r="37" spans="1:21">
      <c r="A37" s="1" t="s">
        <v>1133</v>
      </c>
      <c r="B37" s="1" t="s">
        <v>2035</v>
      </c>
      <c r="C37" s="1" t="s">
        <v>1132</v>
      </c>
      <c r="D37" s="1" t="s">
        <v>1919</v>
      </c>
      <c r="E37" s="1" t="s">
        <v>2036</v>
      </c>
      <c r="F37" s="1" t="s">
        <v>1944</v>
      </c>
      <c r="G37" s="1" t="s">
        <v>1922</v>
      </c>
      <c r="H37" s="1" t="s">
        <v>1922</v>
      </c>
      <c r="I37" s="1" t="s">
        <v>1922</v>
      </c>
      <c r="J37" s="1" t="s">
        <v>1922</v>
      </c>
      <c r="K37" s="1" t="s">
        <v>1922</v>
      </c>
      <c r="L37" s="1" t="s">
        <v>1922</v>
      </c>
      <c r="M37" s="1" t="s">
        <v>1922</v>
      </c>
      <c r="N37" s="1" t="s">
        <v>1922</v>
      </c>
      <c r="O37" s="1" t="s">
        <v>1922</v>
      </c>
      <c r="P37" s="1" t="s">
        <v>1922</v>
      </c>
      <c r="Q37" s="1" t="s">
        <v>1922</v>
      </c>
      <c r="R37" s="1" t="s">
        <v>1922</v>
      </c>
      <c r="S37" s="1" t="s">
        <v>1922</v>
      </c>
      <c r="T37" s="1" t="s">
        <v>1922</v>
      </c>
      <c r="U37" s="1" t="s">
        <v>1922</v>
      </c>
    </row>
    <row r="38" spans="1:21">
      <c r="A38" s="1" t="s">
        <v>1167</v>
      </c>
      <c r="B38" s="1" t="s">
        <v>2037</v>
      </c>
      <c r="C38" s="1" t="s">
        <v>1166</v>
      </c>
      <c r="D38" s="1" t="s">
        <v>1946</v>
      </c>
      <c r="E38" s="1" t="s">
        <v>2038</v>
      </c>
      <c r="F38" s="1" t="s">
        <v>409</v>
      </c>
      <c r="G38" s="1" t="s">
        <v>1964</v>
      </c>
      <c r="H38" s="1" t="s">
        <v>1922</v>
      </c>
      <c r="I38" s="1" t="s">
        <v>1922</v>
      </c>
      <c r="J38" s="1" t="s">
        <v>1922</v>
      </c>
      <c r="K38" s="1" t="s">
        <v>1922</v>
      </c>
      <c r="L38" s="1" t="s">
        <v>1922</v>
      </c>
      <c r="M38" s="1" t="s">
        <v>1922</v>
      </c>
      <c r="N38" s="1" t="s">
        <v>1922</v>
      </c>
      <c r="O38" s="1" t="s">
        <v>1922</v>
      </c>
      <c r="P38" s="1" t="s">
        <v>1922</v>
      </c>
      <c r="Q38" s="1" t="s">
        <v>1922</v>
      </c>
      <c r="R38" s="1" t="s">
        <v>1922</v>
      </c>
      <c r="S38" s="1" t="s">
        <v>1922</v>
      </c>
      <c r="T38" s="1" t="s">
        <v>1922</v>
      </c>
      <c r="U38" s="1" t="s">
        <v>1922</v>
      </c>
    </row>
    <row r="39" spans="1:21">
      <c r="A39" s="1" t="s">
        <v>1111</v>
      </c>
      <c r="B39" s="1" t="s">
        <v>2039</v>
      </c>
      <c r="C39" s="1" t="s">
        <v>1787</v>
      </c>
      <c r="D39" s="1" t="s">
        <v>1932</v>
      </c>
      <c r="E39" s="1" t="s">
        <v>2040</v>
      </c>
      <c r="F39" s="1" t="s">
        <v>1888</v>
      </c>
      <c r="G39" s="1" t="s">
        <v>398</v>
      </c>
      <c r="H39" s="1" t="s">
        <v>1952</v>
      </c>
      <c r="I39" s="1" t="s">
        <v>351</v>
      </c>
      <c r="J39" s="1" t="s">
        <v>1922</v>
      </c>
      <c r="K39" s="1" t="s">
        <v>1922</v>
      </c>
      <c r="L39" s="1" t="s">
        <v>1922</v>
      </c>
      <c r="M39" s="1" t="s">
        <v>1922</v>
      </c>
      <c r="N39" s="1" t="s">
        <v>1922</v>
      </c>
      <c r="O39" s="1" t="s">
        <v>1922</v>
      </c>
      <c r="P39" s="1" t="s">
        <v>1922</v>
      </c>
      <c r="Q39" s="1" t="s">
        <v>1922</v>
      </c>
      <c r="R39" s="1" t="s">
        <v>1922</v>
      </c>
      <c r="S39" s="1" t="s">
        <v>1922</v>
      </c>
      <c r="T39" s="1" t="s">
        <v>1922</v>
      </c>
      <c r="U39" s="1" t="s">
        <v>1922</v>
      </c>
    </row>
    <row r="40" spans="1:21">
      <c r="A40" s="58" t="s">
        <v>2041</v>
      </c>
      <c r="B40" s="58" t="s">
        <v>2042</v>
      </c>
      <c r="C40" s="58" t="s">
        <v>483</v>
      </c>
      <c r="D40" s="58" t="s">
        <v>1919</v>
      </c>
      <c r="E40" s="58" t="s">
        <v>2043</v>
      </c>
      <c r="F40" s="58" t="s">
        <v>396</v>
      </c>
      <c r="G40" s="58" t="s">
        <v>367</v>
      </c>
      <c r="H40" s="58" t="s">
        <v>2044</v>
      </c>
      <c r="I40" s="58" t="s">
        <v>1922</v>
      </c>
      <c r="J40" s="58" t="s">
        <v>1922</v>
      </c>
      <c r="K40" s="58" t="s">
        <v>1922</v>
      </c>
      <c r="L40" s="58" t="s">
        <v>1922</v>
      </c>
      <c r="M40" s="58" t="s">
        <v>1922</v>
      </c>
      <c r="N40" s="58" t="s">
        <v>1922</v>
      </c>
      <c r="O40" s="58" t="s">
        <v>1922</v>
      </c>
      <c r="P40" s="58" t="s">
        <v>1922</v>
      </c>
      <c r="Q40" s="58" t="s">
        <v>1922</v>
      </c>
      <c r="R40" s="58" t="s">
        <v>1922</v>
      </c>
      <c r="S40" s="58" t="s">
        <v>1922</v>
      </c>
      <c r="T40" s="58" t="s">
        <v>1922</v>
      </c>
      <c r="U40" s="58" t="s">
        <v>1922</v>
      </c>
    </row>
    <row r="41" spans="1:21">
      <c r="A41" s="1" t="s">
        <v>1119</v>
      </c>
      <c r="B41" s="1" t="s">
        <v>2045</v>
      </c>
      <c r="C41" s="1" t="s">
        <v>1118</v>
      </c>
      <c r="D41" s="1" t="s">
        <v>1919</v>
      </c>
      <c r="E41" s="1" t="s">
        <v>2046</v>
      </c>
      <c r="F41" s="1" t="s">
        <v>2032</v>
      </c>
      <c r="G41" s="1" t="s">
        <v>1922</v>
      </c>
      <c r="H41" s="1" t="s">
        <v>1922</v>
      </c>
      <c r="I41" s="1" t="s">
        <v>1922</v>
      </c>
      <c r="J41" s="1" t="s">
        <v>1922</v>
      </c>
      <c r="K41" s="1" t="s">
        <v>1922</v>
      </c>
      <c r="L41" s="1" t="s">
        <v>1922</v>
      </c>
      <c r="M41" s="1" t="s">
        <v>1922</v>
      </c>
      <c r="N41" s="1" t="s">
        <v>1922</v>
      </c>
      <c r="O41" s="1" t="s">
        <v>1922</v>
      </c>
      <c r="P41" s="1" t="s">
        <v>1922</v>
      </c>
      <c r="Q41" s="1" t="s">
        <v>1922</v>
      </c>
      <c r="R41" s="1" t="s">
        <v>1922</v>
      </c>
      <c r="S41" s="1" t="s">
        <v>1922</v>
      </c>
      <c r="T41" s="1" t="s">
        <v>1922</v>
      </c>
      <c r="U41" s="1" t="s">
        <v>1922</v>
      </c>
    </row>
    <row r="42" spans="1:21">
      <c r="A42" s="1" t="s">
        <v>2047</v>
      </c>
      <c r="B42" s="1" t="s">
        <v>2048</v>
      </c>
      <c r="C42" s="1" t="s">
        <v>2049</v>
      </c>
      <c r="D42" s="1" t="s">
        <v>1942</v>
      </c>
      <c r="E42" s="1" t="s">
        <v>2050</v>
      </c>
      <c r="F42" s="1" t="s">
        <v>1930</v>
      </c>
      <c r="G42" s="1" t="s">
        <v>1922</v>
      </c>
      <c r="H42" s="1" t="s">
        <v>1922</v>
      </c>
      <c r="I42" s="1" t="s">
        <v>1922</v>
      </c>
      <c r="J42" s="1" t="s">
        <v>1922</v>
      </c>
      <c r="K42" s="1" t="s">
        <v>1922</v>
      </c>
      <c r="L42" s="1" t="s">
        <v>1922</v>
      </c>
      <c r="M42" s="1" t="s">
        <v>1922</v>
      </c>
      <c r="N42" s="1" t="s">
        <v>1922</v>
      </c>
      <c r="O42" s="1" t="s">
        <v>1922</v>
      </c>
      <c r="P42" s="1" t="s">
        <v>1922</v>
      </c>
      <c r="Q42" s="1" t="s">
        <v>1922</v>
      </c>
      <c r="R42" s="1" t="s">
        <v>1922</v>
      </c>
      <c r="S42" s="1" t="s">
        <v>1922</v>
      </c>
      <c r="T42" s="1" t="s">
        <v>1922</v>
      </c>
      <c r="U42" s="1" t="s">
        <v>1922</v>
      </c>
    </row>
    <row r="43" spans="1:21">
      <c r="A43" s="1" t="s">
        <v>912</v>
      </c>
      <c r="B43" s="1" t="s">
        <v>2051</v>
      </c>
      <c r="C43" s="1" t="s">
        <v>911</v>
      </c>
      <c r="D43" s="1" t="s">
        <v>1919</v>
      </c>
      <c r="E43" s="1" t="s">
        <v>2052</v>
      </c>
      <c r="F43" s="1" t="s">
        <v>1960</v>
      </c>
      <c r="G43" s="1" t="s">
        <v>1961</v>
      </c>
      <c r="H43" s="1" t="s">
        <v>2053</v>
      </c>
      <c r="I43" s="1" t="s">
        <v>1922</v>
      </c>
      <c r="J43" s="1" t="s">
        <v>1922</v>
      </c>
      <c r="K43" s="1" t="s">
        <v>1922</v>
      </c>
      <c r="L43" s="1" t="s">
        <v>1922</v>
      </c>
      <c r="M43" s="1" t="s">
        <v>1922</v>
      </c>
      <c r="N43" s="1" t="s">
        <v>1922</v>
      </c>
      <c r="O43" s="1" t="s">
        <v>1922</v>
      </c>
      <c r="P43" s="1" t="s">
        <v>1922</v>
      </c>
      <c r="Q43" s="1" t="s">
        <v>1922</v>
      </c>
      <c r="R43" s="1" t="s">
        <v>1922</v>
      </c>
      <c r="S43" s="1" t="s">
        <v>1922</v>
      </c>
      <c r="T43" s="1" t="s">
        <v>1922</v>
      </c>
      <c r="U43" s="1" t="s">
        <v>1922</v>
      </c>
    </row>
    <row r="44" spans="1:21">
      <c r="A44" s="4" t="s">
        <v>2054</v>
      </c>
      <c r="B44" s="4" t="s">
        <v>2055</v>
      </c>
      <c r="C44" s="4" t="s">
        <v>2056</v>
      </c>
      <c r="D44" s="4" t="s">
        <v>1919</v>
      </c>
      <c r="E44" s="4" t="s">
        <v>2057</v>
      </c>
      <c r="F44" s="4" t="s">
        <v>62</v>
      </c>
      <c r="G44" s="4" t="s">
        <v>2058</v>
      </c>
      <c r="H44" s="4" t="s">
        <v>49</v>
      </c>
      <c r="I44" s="4" t="s">
        <v>2059</v>
      </c>
      <c r="J44" s="4" t="s">
        <v>1922</v>
      </c>
      <c r="K44" s="4" t="s">
        <v>1922</v>
      </c>
      <c r="L44" s="4" t="s">
        <v>1922</v>
      </c>
      <c r="M44" s="4" t="s">
        <v>1922</v>
      </c>
      <c r="N44" s="4" t="s">
        <v>1922</v>
      </c>
      <c r="O44" s="4" t="s">
        <v>1922</v>
      </c>
      <c r="P44" s="4" t="s">
        <v>1922</v>
      </c>
      <c r="Q44" s="4" t="s">
        <v>1922</v>
      </c>
      <c r="R44" s="4" t="s">
        <v>1922</v>
      </c>
      <c r="S44" s="4" t="s">
        <v>1922</v>
      </c>
      <c r="T44" s="4" t="s">
        <v>1922</v>
      </c>
      <c r="U44" s="4" t="s">
        <v>1922</v>
      </c>
    </row>
    <row r="45" spans="1:21">
      <c r="A45" s="1" t="s">
        <v>825</v>
      </c>
      <c r="B45" s="1" t="s">
        <v>2060</v>
      </c>
      <c r="C45" s="1" t="s">
        <v>824</v>
      </c>
      <c r="D45" s="1" t="s">
        <v>1932</v>
      </c>
      <c r="E45" s="1" t="s">
        <v>2061</v>
      </c>
      <c r="F45" s="1" t="s">
        <v>399</v>
      </c>
      <c r="G45" s="1" t="s">
        <v>2062</v>
      </c>
      <c r="H45" s="1" t="s">
        <v>2063</v>
      </c>
      <c r="I45" s="1" t="s">
        <v>1964</v>
      </c>
      <c r="J45" s="1" t="s">
        <v>2064</v>
      </c>
      <c r="K45" s="1" t="s">
        <v>2065</v>
      </c>
      <c r="L45" s="1" t="s">
        <v>2066</v>
      </c>
      <c r="M45" s="1" t="s">
        <v>2067</v>
      </c>
      <c r="N45" s="1" t="s">
        <v>1939</v>
      </c>
      <c r="O45" s="1" t="s">
        <v>1922</v>
      </c>
      <c r="P45" s="1" t="s">
        <v>1922</v>
      </c>
      <c r="Q45" s="1" t="s">
        <v>1922</v>
      </c>
      <c r="R45" s="1" t="s">
        <v>1922</v>
      </c>
      <c r="S45" s="1" t="s">
        <v>1922</v>
      </c>
      <c r="T45" s="1" t="s">
        <v>1922</v>
      </c>
      <c r="U45" s="1" t="s">
        <v>1922</v>
      </c>
    </row>
    <row r="46" spans="1:21">
      <c r="A46" s="1" t="s">
        <v>2068</v>
      </c>
      <c r="B46" s="1" t="s">
        <v>2069</v>
      </c>
      <c r="C46" s="1" t="s">
        <v>833</v>
      </c>
      <c r="D46" s="1" t="s">
        <v>1919</v>
      </c>
      <c r="E46" s="1" t="s">
        <v>2070</v>
      </c>
      <c r="F46" s="1" t="s">
        <v>96</v>
      </c>
      <c r="G46" s="1" t="s">
        <v>2062</v>
      </c>
      <c r="H46" s="1" t="s">
        <v>2063</v>
      </c>
      <c r="I46" s="1" t="s">
        <v>1964</v>
      </c>
      <c r="J46" s="1" t="s">
        <v>2064</v>
      </c>
      <c r="K46" s="1" t="s">
        <v>2065</v>
      </c>
      <c r="L46" s="1" t="s">
        <v>2066</v>
      </c>
      <c r="M46" s="1" t="s">
        <v>2067</v>
      </c>
      <c r="N46" s="1" t="s">
        <v>1922</v>
      </c>
      <c r="O46" s="1" t="s">
        <v>1922</v>
      </c>
      <c r="P46" s="1" t="s">
        <v>1922</v>
      </c>
      <c r="Q46" s="1" t="s">
        <v>1922</v>
      </c>
      <c r="R46" s="1" t="s">
        <v>1922</v>
      </c>
      <c r="S46" s="1" t="s">
        <v>1922</v>
      </c>
      <c r="T46" s="1" t="s">
        <v>1922</v>
      </c>
      <c r="U46" s="1" t="s">
        <v>1922</v>
      </c>
    </row>
    <row r="47" spans="1:21">
      <c r="A47" s="59" t="s">
        <v>511</v>
      </c>
      <c r="B47" s="59" t="s">
        <v>2071</v>
      </c>
      <c r="C47" s="59" t="s">
        <v>510</v>
      </c>
      <c r="D47" s="59" t="s">
        <v>1919</v>
      </c>
      <c r="E47" s="59" t="s">
        <v>2072</v>
      </c>
      <c r="F47" s="59" t="s">
        <v>2073</v>
      </c>
      <c r="G47" s="59" t="s">
        <v>61</v>
      </c>
      <c r="H47" s="59" t="s">
        <v>2074</v>
      </c>
      <c r="I47" s="59" t="s">
        <v>1922</v>
      </c>
      <c r="J47" s="59" t="s">
        <v>1922</v>
      </c>
      <c r="K47" s="59" t="s">
        <v>1922</v>
      </c>
      <c r="L47" s="59" t="s">
        <v>1922</v>
      </c>
      <c r="M47" s="59" t="s">
        <v>1922</v>
      </c>
      <c r="N47" s="59" t="s">
        <v>1922</v>
      </c>
      <c r="O47" s="59" t="s">
        <v>1922</v>
      </c>
      <c r="P47" s="59" t="s">
        <v>1922</v>
      </c>
      <c r="Q47" s="59" t="s">
        <v>1922</v>
      </c>
      <c r="R47" s="59" t="s">
        <v>1922</v>
      </c>
      <c r="S47" s="59" t="s">
        <v>1922</v>
      </c>
      <c r="T47" s="59" t="s">
        <v>1922</v>
      </c>
      <c r="U47" s="59" t="s">
        <v>1922</v>
      </c>
    </row>
    <row r="48" spans="1:21">
      <c r="A48" s="59" t="s">
        <v>505</v>
      </c>
      <c r="B48" s="59" t="s">
        <v>2075</v>
      </c>
      <c r="C48" s="59" t="s">
        <v>504</v>
      </c>
      <c r="D48" s="59" t="s">
        <v>1919</v>
      </c>
      <c r="E48" s="59" t="s">
        <v>2076</v>
      </c>
      <c r="F48" s="59" t="s">
        <v>2073</v>
      </c>
      <c r="G48" s="59" t="s">
        <v>2077</v>
      </c>
      <c r="H48" s="59" t="s">
        <v>61</v>
      </c>
      <c r="I48" s="59" t="s">
        <v>2074</v>
      </c>
      <c r="J48" s="59" t="s">
        <v>1922</v>
      </c>
      <c r="K48" s="59" t="s">
        <v>1922</v>
      </c>
      <c r="L48" s="59" t="s">
        <v>1922</v>
      </c>
      <c r="M48" s="59" t="s">
        <v>1922</v>
      </c>
      <c r="N48" s="59" t="s">
        <v>1922</v>
      </c>
      <c r="O48" s="59" t="s">
        <v>1922</v>
      </c>
      <c r="P48" s="59" t="s">
        <v>1922</v>
      </c>
      <c r="Q48" s="59" t="s">
        <v>1922</v>
      </c>
      <c r="R48" s="59" t="s">
        <v>1922</v>
      </c>
      <c r="S48" s="59" t="s">
        <v>1922</v>
      </c>
      <c r="T48" s="59" t="s">
        <v>1922</v>
      </c>
      <c r="U48" s="59" t="s">
        <v>1922</v>
      </c>
    </row>
    <row r="49" spans="1:21">
      <c r="A49" s="1" t="s">
        <v>1091</v>
      </c>
      <c r="B49" s="1" t="s">
        <v>2078</v>
      </c>
      <c r="C49" s="1" t="s">
        <v>2079</v>
      </c>
      <c r="D49" s="1" t="s">
        <v>1919</v>
      </c>
      <c r="E49" s="1" t="s">
        <v>2080</v>
      </c>
      <c r="F49" s="1" t="s">
        <v>409</v>
      </c>
      <c r="G49" s="1" t="s">
        <v>1985</v>
      </c>
      <c r="H49" s="1" t="s">
        <v>1964</v>
      </c>
      <c r="I49" s="1" t="s">
        <v>1922</v>
      </c>
      <c r="J49" s="1" t="s">
        <v>1922</v>
      </c>
      <c r="K49" s="1" t="s">
        <v>1922</v>
      </c>
      <c r="L49" s="1" t="s">
        <v>1922</v>
      </c>
      <c r="M49" s="1" t="s">
        <v>1922</v>
      </c>
      <c r="N49" s="1" t="s">
        <v>1922</v>
      </c>
      <c r="O49" s="1" t="s">
        <v>1922</v>
      </c>
      <c r="P49" s="1" t="s">
        <v>1922</v>
      </c>
      <c r="Q49" s="1" t="s">
        <v>1922</v>
      </c>
      <c r="R49" s="1" t="s">
        <v>1922</v>
      </c>
      <c r="S49" s="1" t="s">
        <v>1922</v>
      </c>
      <c r="T49" s="1" t="s">
        <v>1922</v>
      </c>
      <c r="U49" s="1" t="s">
        <v>1922</v>
      </c>
    </row>
    <row r="50" spans="1:21">
      <c r="A50" s="1" t="s">
        <v>1786</v>
      </c>
      <c r="B50" s="1" t="s">
        <v>2081</v>
      </c>
      <c r="C50" s="1" t="s">
        <v>1014</v>
      </c>
      <c r="D50" s="1" t="s">
        <v>1932</v>
      </c>
      <c r="E50" s="1" t="s">
        <v>2082</v>
      </c>
      <c r="F50" s="1" t="s">
        <v>407</v>
      </c>
      <c r="G50" s="1" t="s">
        <v>1939</v>
      </c>
      <c r="H50" s="1" t="s">
        <v>1922</v>
      </c>
      <c r="I50" s="1" t="s">
        <v>1922</v>
      </c>
      <c r="J50" s="1" t="s">
        <v>1922</v>
      </c>
      <c r="K50" s="1" t="s">
        <v>1922</v>
      </c>
      <c r="L50" s="1" t="s">
        <v>1922</v>
      </c>
      <c r="M50" s="1" t="s">
        <v>1922</v>
      </c>
      <c r="N50" s="1" t="s">
        <v>1922</v>
      </c>
      <c r="O50" s="1" t="s">
        <v>1922</v>
      </c>
      <c r="P50" s="1" t="s">
        <v>1922</v>
      </c>
      <c r="Q50" s="1" t="s">
        <v>1922</v>
      </c>
      <c r="R50" s="1" t="s">
        <v>1922</v>
      </c>
      <c r="S50" s="1" t="s">
        <v>1922</v>
      </c>
      <c r="T50" s="1" t="s">
        <v>1922</v>
      </c>
      <c r="U50" s="1" t="s">
        <v>1922</v>
      </c>
    </row>
    <row r="51" spans="1:21">
      <c r="A51" s="4" t="s">
        <v>1103</v>
      </c>
      <c r="B51" s="4" t="s">
        <v>2083</v>
      </c>
      <c r="C51" s="4" t="s">
        <v>1102</v>
      </c>
      <c r="D51" s="4" t="s">
        <v>1919</v>
      </c>
      <c r="E51" s="4" t="s">
        <v>2084</v>
      </c>
      <c r="F51" s="4" t="s">
        <v>2085</v>
      </c>
      <c r="G51" s="4" t="s">
        <v>49</v>
      </c>
      <c r="H51" s="4" t="s">
        <v>2059</v>
      </c>
      <c r="I51" s="4" t="s">
        <v>1922</v>
      </c>
      <c r="J51" s="4" t="s">
        <v>1922</v>
      </c>
      <c r="K51" s="4" t="s">
        <v>1922</v>
      </c>
      <c r="L51" s="4" t="s">
        <v>1922</v>
      </c>
      <c r="M51" s="4" t="s">
        <v>1922</v>
      </c>
      <c r="N51" s="4" t="s">
        <v>1922</v>
      </c>
      <c r="O51" s="4" t="s">
        <v>1922</v>
      </c>
      <c r="P51" s="4" t="s">
        <v>1922</v>
      </c>
      <c r="Q51" s="4" t="s">
        <v>1922</v>
      </c>
      <c r="R51" s="4" t="s">
        <v>1922</v>
      </c>
      <c r="S51" s="4" t="s">
        <v>1922</v>
      </c>
      <c r="T51" s="4" t="s">
        <v>1922</v>
      </c>
      <c r="U51" s="4" t="s">
        <v>1922</v>
      </c>
    </row>
    <row r="52" spans="1:21">
      <c r="A52" s="4" t="s">
        <v>1081</v>
      </c>
      <c r="B52" s="4" t="s">
        <v>2086</v>
      </c>
      <c r="C52" s="4" t="s">
        <v>2087</v>
      </c>
      <c r="D52" s="4" t="s">
        <v>1919</v>
      </c>
      <c r="E52" s="4" t="s">
        <v>2088</v>
      </c>
      <c r="F52" s="4" t="s">
        <v>2085</v>
      </c>
      <c r="G52" s="4" t="s">
        <v>49</v>
      </c>
      <c r="H52" s="4" t="s">
        <v>2059</v>
      </c>
      <c r="I52" s="4" t="s">
        <v>1922</v>
      </c>
      <c r="J52" s="4" t="s">
        <v>1922</v>
      </c>
      <c r="K52" s="4" t="s">
        <v>1922</v>
      </c>
      <c r="L52" s="4" t="s">
        <v>1922</v>
      </c>
      <c r="M52" s="4" t="s">
        <v>1922</v>
      </c>
      <c r="N52" s="4" t="s">
        <v>1922</v>
      </c>
      <c r="O52" s="4" t="s">
        <v>1922</v>
      </c>
      <c r="P52" s="4" t="s">
        <v>1922</v>
      </c>
      <c r="Q52" s="4" t="s">
        <v>1922</v>
      </c>
      <c r="R52" s="4" t="s">
        <v>1922</v>
      </c>
      <c r="S52" s="4" t="s">
        <v>1922</v>
      </c>
      <c r="T52" s="4" t="s">
        <v>1922</v>
      </c>
      <c r="U52" s="4" t="s">
        <v>1922</v>
      </c>
    </row>
    <row r="53" spans="1:21">
      <c r="A53" s="1" t="s">
        <v>1095</v>
      </c>
      <c r="B53" s="1" t="s">
        <v>2089</v>
      </c>
      <c r="C53" s="1" t="s">
        <v>1094</v>
      </c>
      <c r="D53" s="1" t="s">
        <v>1919</v>
      </c>
      <c r="E53" s="1" t="s">
        <v>2090</v>
      </c>
      <c r="F53" s="1" t="s">
        <v>1944</v>
      </c>
      <c r="G53" s="1" t="s">
        <v>1922</v>
      </c>
      <c r="H53" s="1" t="s">
        <v>1922</v>
      </c>
      <c r="I53" s="1" t="s">
        <v>1922</v>
      </c>
      <c r="J53" s="1" t="s">
        <v>1922</v>
      </c>
      <c r="K53" s="1" t="s">
        <v>1922</v>
      </c>
      <c r="L53" s="1" t="s">
        <v>1922</v>
      </c>
      <c r="M53" s="1" t="s">
        <v>1922</v>
      </c>
      <c r="N53" s="1" t="s">
        <v>1922</v>
      </c>
      <c r="O53" s="1" t="s">
        <v>1922</v>
      </c>
      <c r="P53" s="1" t="s">
        <v>1922</v>
      </c>
      <c r="Q53" s="1" t="s">
        <v>1922</v>
      </c>
      <c r="R53" s="1" t="s">
        <v>1922</v>
      </c>
      <c r="S53" s="1" t="s">
        <v>1922</v>
      </c>
      <c r="T53" s="1" t="s">
        <v>1922</v>
      </c>
      <c r="U53" s="1" t="s">
        <v>1922</v>
      </c>
    </row>
    <row r="54" spans="1:21">
      <c r="A54" s="1" t="s">
        <v>1002</v>
      </c>
      <c r="B54" s="1" t="s">
        <v>2091</v>
      </c>
      <c r="C54" s="1" t="s">
        <v>1785</v>
      </c>
      <c r="D54" s="1" t="s">
        <v>1919</v>
      </c>
      <c r="E54" s="1" t="s">
        <v>2092</v>
      </c>
      <c r="F54" s="1" t="s">
        <v>390</v>
      </c>
      <c r="G54" s="1" t="s">
        <v>1930</v>
      </c>
      <c r="H54" s="1" t="s">
        <v>1922</v>
      </c>
      <c r="I54" s="1" t="s">
        <v>1922</v>
      </c>
      <c r="J54" s="1" t="s">
        <v>1922</v>
      </c>
      <c r="K54" s="1" t="s">
        <v>1922</v>
      </c>
      <c r="L54" s="1" t="s">
        <v>1922</v>
      </c>
      <c r="M54" s="1" t="s">
        <v>1922</v>
      </c>
      <c r="N54" s="1" t="s">
        <v>1922</v>
      </c>
      <c r="O54" s="1" t="s">
        <v>1922</v>
      </c>
      <c r="P54" s="1" t="s">
        <v>1922</v>
      </c>
      <c r="Q54" s="1" t="s">
        <v>1922</v>
      </c>
      <c r="R54" s="1" t="s">
        <v>1922</v>
      </c>
      <c r="S54" s="1" t="s">
        <v>1922</v>
      </c>
      <c r="T54" s="1" t="s">
        <v>1922</v>
      </c>
      <c r="U54" s="1" t="s">
        <v>1922</v>
      </c>
    </row>
    <row r="55" spans="1:21">
      <c r="A55" s="1" t="s">
        <v>1099</v>
      </c>
      <c r="B55" s="1" t="s">
        <v>2093</v>
      </c>
      <c r="C55" s="1" t="s">
        <v>2094</v>
      </c>
      <c r="D55" s="1" t="s">
        <v>1919</v>
      </c>
      <c r="E55" s="1" t="s">
        <v>2095</v>
      </c>
      <c r="F55" s="1" t="s">
        <v>409</v>
      </c>
      <c r="G55" s="1" t="s">
        <v>1922</v>
      </c>
      <c r="H55" s="1" t="s">
        <v>1922</v>
      </c>
      <c r="I55" s="1" t="s">
        <v>1922</v>
      </c>
      <c r="J55" s="1" t="s">
        <v>1922</v>
      </c>
      <c r="K55" s="1" t="s">
        <v>1922</v>
      </c>
      <c r="L55" s="1" t="s">
        <v>1922</v>
      </c>
      <c r="M55" s="1" t="s">
        <v>1922</v>
      </c>
      <c r="N55" s="1" t="s">
        <v>1922</v>
      </c>
      <c r="O55" s="1" t="s">
        <v>1922</v>
      </c>
      <c r="P55" s="1" t="s">
        <v>1922</v>
      </c>
      <c r="Q55" s="1" t="s">
        <v>1922</v>
      </c>
      <c r="R55" s="1" t="s">
        <v>1922</v>
      </c>
      <c r="S55" s="1" t="s">
        <v>1922</v>
      </c>
      <c r="T55" s="1" t="s">
        <v>1922</v>
      </c>
      <c r="U55" s="1" t="s">
        <v>1922</v>
      </c>
    </row>
    <row r="56" spans="1:21">
      <c r="A56" s="1" t="s">
        <v>726</v>
      </c>
      <c r="B56" s="1" t="s">
        <v>2096</v>
      </c>
      <c r="C56" s="1" t="s">
        <v>726</v>
      </c>
      <c r="D56" s="1" t="s">
        <v>1946</v>
      </c>
      <c r="E56" s="1" t="s">
        <v>2097</v>
      </c>
      <c r="F56" s="1" t="s">
        <v>100</v>
      </c>
      <c r="G56" s="1" t="s">
        <v>62</v>
      </c>
      <c r="H56" s="1" t="s">
        <v>2098</v>
      </c>
      <c r="I56" s="1" t="s">
        <v>2099</v>
      </c>
      <c r="J56" s="1" t="s">
        <v>2100</v>
      </c>
      <c r="K56" s="1" t="s">
        <v>1922</v>
      </c>
      <c r="L56" s="1" t="s">
        <v>1922</v>
      </c>
      <c r="M56" s="1" t="s">
        <v>1922</v>
      </c>
      <c r="N56" s="1" t="s">
        <v>1922</v>
      </c>
      <c r="O56" s="1" t="s">
        <v>1922</v>
      </c>
      <c r="P56" s="1" t="s">
        <v>1922</v>
      </c>
      <c r="Q56" s="1" t="s">
        <v>1922</v>
      </c>
      <c r="R56" s="1" t="s">
        <v>1922</v>
      </c>
      <c r="S56" s="1" t="s">
        <v>1922</v>
      </c>
      <c r="T56" s="1" t="s">
        <v>1922</v>
      </c>
      <c r="U56" s="1" t="s">
        <v>1922</v>
      </c>
    </row>
    <row r="57" spans="1:21">
      <c r="A57" s="1" t="s">
        <v>976</v>
      </c>
      <c r="B57" s="1" t="s">
        <v>2101</v>
      </c>
      <c r="C57" s="1" t="s">
        <v>975</v>
      </c>
      <c r="D57" s="1" t="s">
        <v>1932</v>
      </c>
      <c r="E57" s="1" t="s">
        <v>2102</v>
      </c>
      <c r="F57" s="1" t="s">
        <v>398</v>
      </c>
      <c r="G57" s="1" t="s">
        <v>71</v>
      </c>
      <c r="H57" s="1" t="s">
        <v>96</v>
      </c>
      <c r="I57" s="1" t="s">
        <v>2103</v>
      </c>
      <c r="J57" s="1" t="s">
        <v>1922</v>
      </c>
      <c r="K57" s="1" t="s">
        <v>1922</v>
      </c>
      <c r="L57" s="1" t="s">
        <v>1922</v>
      </c>
      <c r="M57" s="1" t="s">
        <v>1922</v>
      </c>
      <c r="N57" s="1" t="s">
        <v>1922</v>
      </c>
      <c r="O57" s="1" t="s">
        <v>1922</v>
      </c>
      <c r="P57" s="1" t="s">
        <v>1922</v>
      </c>
      <c r="Q57" s="1" t="s">
        <v>1922</v>
      </c>
      <c r="R57" s="1" t="s">
        <v>1922</v>
      </c>
      <c r="S57" s="1" t="s">
        <v>1922</v>
      </c>
      <c r="T57" s="1" t="s">
        <v>1922</v>
      </c>
      <c r="U57" s="1" t="s">
        <v>1922</v>
      </c>
    </row>
    <row r="58" spans="1:21">
      <c r="A58" s="1" t="s">
        <v>2104</v>
      </c>
      <c r="B58" s="1" t="s">
        <v>2105</v>
      </c>
      <c r="C58" s="1" t="s">
        <v>924</v>
      </c>
      <c r="D58" s="1" t="s">
        <v>1932</v>
      </c>
      <c r="E58" s="1" t="s">
        <v>2106</v>
      </c>
      <c r="F58" s="1" t="s">
        <v>96</v>
      </c>
      <c r="G58" s="1" t="s">
        <v>1922</v>
      </c>
      <c r="H58" s="1" t="s">
        <v>1922</v>
      </c>
      <c r="I58" s="1" t="s">
        <v>1922</v>
      </c>
      <c r="J58" s="1" t="s">
        <v>1922</v>
      </c>
      <c r="K58" s="1" t="s">
        <v>1922</v>
      </c>
      <c r="L58" s="1" t="s">
        <v>1922</v>
      </c>
      <c r="M58" s="1" t="s">
        <v>1922</v>
      </c>
      <c r="N58" s="1" t="s">
        <v>1922</v>
      </c>
      <c r="O58" s="1" t="s">
        <v>1922</v>
      </c>
      <c r="P58" s="1" t="s">
        <v>1922</v>
      </c>
      <c r="Q58" s="1" t="s">
        <v>1922</v>
      </c>
      <c r="R58" s="1" t="s">
        <v>1922</v>
      </c>
      <c r="S58" s="1" t="s">
        <v>1922</v>
      </c>
      <c r="T58" s="1" t="s">
        <v>1922</v>
      </c>
      <c r="U58" s="1" t="s">
        <v>1922</v>
      </c>
    </row>
    <row r="59" spans="1:21">
      <c r="A59" s="1" t="s">
        <v>2107</v>
      </c>
      <c r="B59" s="1" t="s">
        <v>2108</v>
      </c>
      <c r="C59" s="1" t="s">
        <v>2109</v>
      </c>
      <c r="D59" s="1" t="s">
        <v>1932</v>
      </c>
      <c r="E59" s="1" t="s">
        <v>2110</v>
      </c>
      <c r="F59" s="1" t="s">
        <v>1888</v>
      </c>
      <c r="G59" s="1" t="s">
        <v>664</v>
      </c>
      <c r="H59" s="1" t="s">
        <v>1952</v>
      </c>
      <c r="I59" s="1" t="s">
        <v>351</v>
      </c>
      <c r="J59" s="1" t="s">
        <v>2111</v>
      </c>
      <c r="K59" s="1" t="s">
        <v>2011</v>
      </c>
      <c r="L59" s="1" t="s">
        <v>1922</v>
      </c>
      <c r="M59" s="1" t="s">
        <v>1922</v>
      </c>
      <c r="N59" s="1" t="s">
        <v>1922</v>
      </c>
      <c r="O59" s="1" t="s">
        <v>1922</v>
      </c>
      <c r="P59" s="1" t="s">
        <v>1922</v>
      </c>
      <c r="Q59" s="1" t="s">
        <v>1922</v>
      </c>
      <c r="R59" s="1" t="s">
        <v>1922</v>
      </c>
      <c r="S59" s="1" t="s">
        <v>1922</v>
      </c>
      <c r="T59" s="1" t="s">
        <v>1922</v>
      </c>
      <c r="U59" s="1" t="s">
        <v>1922</v>
      </c>
    </row>
    <row r="60" spans="1:21">
      <c r="A60" s="1" t="s">
        <v>2112</v>
      </c>
      <c r="B60" s="1" t="s">
        <v>2113</v>
      </c>
      <c r="C60" s="1" t="s">
        <v>2114</v>
      </c>
      <c r="D60" s="1" t="s">
        <v>1932</v>
      </c>
      <c r="E60" s="1" t="s">
        <v>2115</v>
      </c>
      <c r="F60" s="1" t="s">
        <v>1939</v>
      </c>
      <c r="G60" s="1" t="s">
        <v>1922</v>
      </c>
      <c r="H60" s="1" t="s">
        <v>1922</v>
      </c>
      <c r="I60" s="1" t="s">
        <v>1922</v>
      </c>
      <c r="J60" s="1" t="s">
        <v>1922</v>
      </c>
      <c r="K60" s="1" t="s">
        <v>1922</v>
      </c>
      <c r="L60" s="1" t="s">
        <v>1922</v>
      </c>
      <c r="M60" s="1" t="s">
        <v>1922</v>
      </c>
      <c r="N60" s="1" t="s">
        <v>1922</v>
      </c>
      <c r="O60" s="1" t="s">
        <v>1922</v>
      </c>
      <c r="P60" s="1" t="s">
        <v>1922</v>
      </c>
      <c r="Q60" s="1" t="s">
        <v>1922</v>
      </c>
      <c r="R60" s="1" t="s">
        <v>1922</v>
      </c>
      <c r="S60" s="1" t="s">
        <v>1922</v>
      </c>
      <c r="T60" s="1" t="s">
        <v>1922</v>
      </c>
      <c r="U60" s="1" t="s">
        <v>1922</v>
      </c>
    </row>
    <row r="61" spans="1:21">
      <c r="A61" s="1" t="s">
        <v>471</v>
      </c>
      <c r="B61" s="1" t="s">
        <v>2116</v>
      </c>
      <c r="C61" s="1" t="s">
        <v>470</v>
      </c>
      <c r="D61" s="1" t="s">
        <v>1932</v>
      </c>
      <c r="E61" s="1" t="s">
        <v>2117</v>
      </c>
      <c r="F61" s="1" t="s">
        <v>413</v>
      </c>
      <c r="G61" s="1" t="s">
        <v>664</v>
      </c>
      <c r="H61" s="1" t="s">
        <v>2111</v>
      </c>
      <c r="I61" s="1" t="s">
        <v>2118</v>
      </c>
      <c r="J61" s="1" t="s">
        <v>2119</v>
      </c>
      <c r="K61" s="1" t="s">
        <v>1939</v>
      </c>
      <c r="L61" s="1" t="s">
        <v>1922</v>
      </c>
      <c r="M61" s="1" t="s">
        <v>1922</v>
      </c>
      <c r="N61" s="1" t="s">
        <v>1922</v>
      </c>
      <c r="O61" s="1" t="s">
        <v>1922</v>
      </c>
      <c r="P61" s="1" t="s">
        <v>1922</v>
      </c>
      <c r="Q61" s="1" t="s">
        <v>1922</v>
      </c>
      <c r="R61" s="1" t="s">
        <v>1922</v>
      </c>
      <c r="S61" s="1" t="s">
        <v>1922</v>
      </c>
      <c r="T61" s="1" t="s">
        <v>1922</v>
      </c>
      <c r="U61" s="1" t="s">
        <v>1922</v>
      </c>
    </row>
    <row r="62" spans="1:21">
      <c r="A62" s="1" t="s">
        <v>1068</v>
      </c>
      <c r="B62" s="1" t="s">
        <v>2120</v>
      </c>
      <c r="C62" s="1" t="s">
        <v>1783</v>
      </c>
      <c r="D62" s="1" t="s">
        <v>1919</v>
      </c>
      <c r="E62" s="1" t="s">
        <v>2121</v>
      </c>
      <c r="F62" s="1" t="s">
        <v>409</v>
      </c>
      <c r="G62" s="1" t="s">
        <v>1930</v>
      </c>
      <c r="H62" s="1" t="s">
        <v>1922</v>
      </c>
      <c r="I62" s="1" t="s">
        <v>1922</v>
      </c>
      <c r="J62" s="1" t="s">
        <v>1922</v>
      </c>
      <c r="K62" s="1" t="s">
        <v>1922</v>
      </c>
      <c r="L62" s="1" t="s">
        <v>1922</v>
      </c>
      <c r="M62" s="1" t="s">
        <v>1922</v>
      </c>
      <c r="N62" s="1" t="s">
        <v>1922</v>
      </c>
      <c r="O62" s="1" t="s">
        <v>1922</v>
      </c>
      <c r="P62" s="1" t="s">
        <v>1922</v>
      </c>
      <c r="Q62" s="1" t="s">
        <v>1922</v>
      </c>
      <c r="R62" s="1" t="s">
        <v>1922</v>
      </c>
      <c r="S62" s="1" t="s">
        <v>1922</v>
      </c>
      <c r="T62" s="1" t="s">
        <v>1922</v>
      </c>
      <c r="U62" s="1" t="s">
        <v>1922</v>
      </c>
    </row>
    <row r="63" spans="1:21">
      <c r="A63" s="59" t="s">
        <v>460</v>
      </c>
      <c r="B63" s="59" t="s">
        <v>2122</v>
      </c>
      <c r="C63" s="59" t="s">
        <v>460</v>
      </c>
      <c r="D63" s="59" t="s">
        <v>1919</v>
      </c>
      <c r="E63" s="59" t="s">
        <v>2123</v>
      </c>
      <c r="F63" s="59" t="s">
        <v>413</v>
      </c>
      <c r="G63" s="59" t="s">
        <v>664</v>
      </c>
      <c r="H63" s="59" t="s">
        <v>29</v>
      </c>
      <c r="I63" s="59" t="s">
        <v>2124</v>
      </c>
      <c r="J63" s="59" t="s">
        <v>2125</v>
      </c>
      <c r="K63" s="59" t="s">
        <v>1922</v>
      </c>
      <c r="L63" s="59" t="s">
        <v>1922</v>
      </c>
      <c r="M63" s="59" t="s">
        <v>1922</v>
      </c>
      <c r="N63" s="59" t="s">
        <v>1922</v>
      </c>
      <c r="O63" s="59" t="s">
        <v>1922</v>
      </c>
      <c r="P63" s="59" t="s">
        <v>1922</v>
      </c>
      <c r="Q63" s="59" t="s">
        <v>1922</v>
      </c>
      <c r="R63" s="59" t="s">
        <v>1922</v>
      </c>
      <c r="S63" s="59" t="s">
        <v>1922</v>
      </c>
      <c r="T63" s="59" t="s">
        <v>1922</v>
      </c>
      <c r="U63" s="59" t="s">
        <v>1922</v>
      </c>
    </row>
    <row r="64" spans="1:21">
      <c r="A64" s="59" t="s">
        <v>540</v>
      </c>
      <c r="B64" s="59" t="s">
        <v>2126</v>
      </c>
      <c r="C64" s="59" t="s">
        <v>539</v>
      </c>
      <c r="D64" s="59" t="s">
        <v>1919</v>
      </c>
      <c r="E64" s="59" t="s">
        <v>2127</v>
      </c>
      <c r="F64" s="59" t="s">
        <v>413</v>
      </c>
      <c r="G64" s="59" t="s">
        <v>29</v>
      </c>
      <c r="H64" s="59" t="s">
        <v>2128</v>
      </c>
      <c r="I64" s="59" t="s">
        <v>2129</v>
      </c>
      <c r="J64" s="59" t="s">
        <v>2125</v>
      </c>
      <c r="K64" s="59" t="s">
        <v>1922</v>
      </c>
      <c r="L64" s="59" t="s">
        <v>1922</v>
      </c>
      <c r="M64" s="59" t="s">
        <v>1922</v>
      </c>
      <c r="N64" s="59" t="s">
        <v>1922</v>
      </c>
      <c r="O64" s="59" t="s">
        <v>1922</v>
      </c>
      <c r="P64" s="59" t="s">
        <v>1922</v>
      </c>
      <c r="Q64" s="59" t="s">
        <v>1922</v>
      </c>
      <c r="R64" s="59" t="s">
        <v>1922</v>
      </c>
      <c r="S64" s="59" t="s">
        <v>1922</v>
      </c>
      <c r="T64" s="59" t="s">
        <v>1922</v>
      </c>
      <c r="U64" s="59" t="s">
        <v>1922</v>
      </c>
    </row>
    <row r="65" spans="1:21">
      <c r="A65" s="59" t="s">
        <v>536</v>
      </c>
      <c r="B65" s="59" t="s">
        <v>2130</v>
      </c>
      <c r="C65" s="59" t="s">
        <v>535</v>
      </c>
      <c r="D65" s="59" t="s">
        <v>1919</v>
      </c>
      <c r="E65" s="59" t="s">
        <v>2131</v>
      </c>
      <c r="F65" s="59" t="s">
        <v>413</v>
      </c>
      <c r="G65" s="59" t="s">
        <v>2132</v>
      </c>
      <c r="H65" s="59" t="s">
        <v>29</v>
      </c>
      <c r="I65" s="59" t="s">
        <v>2128</v>
      </c>
      <c r="J65" s="59" t="s">
        <v>2129</v>
      </c>
      <c r="K65" s="59" t="s">
        <v>2125</v>
      </c>
      <c r="L65" s="59" t="s">
        <v>1922</v>
      </c>
      <c r="M65" s="59" t="s">
        <v>1922</v>
      </c>
      <c r="N65" s="59" t="s">
        <v>1922</v>
      </c>
      <c r="O65" s="59" t="s">
        <v>1922</v>
      </c>
      <c r="P65" s="59" t="s">
        <v>1922</v>
      </c>
      <c r="Q65" s="59" t="s">
        <v>1922</v>
      </c>
      <c r="R65" s="59" t="s">
        <v>1922</v>
      </c>
      <c r="S65" s="59" t="s">
        <v>1922</v>
      </c>
      <c r="T65" s="59" t="s">
        <v>1922</v>
      </c>
      <c r="U65" s="59" t="s">
        <v>1922</v>
      </c>
    </row>
    <row r="66" spans="1:21">
      <c r="A66" s="1" t="s">
        <v>530</v>
      </c>
      <c r="B66" s="1" t="s">
        <v>2133</v>
      </c>
      <c r="C66" s="1" t="s">
        <v>529</v>
      </c>
      <c r="D66" s="1" t="s">
        <v>1919</v>
      </c>
      <c r="E66" s="1" t="s">
        <v>2134</v>
      </c>
      <c r="F66" s="1" t="s">
        <v>413</v>
      </c>
      <c r="G66" s="1" t="s">
        <v>398</v>
      </c>
      <c r="H66" s="1" t="s">
        <v>2128</v>
      </c>
      <c r="I66" s="1" t="s">
        <v>2135</v>
      </c>
      <c r="J66" s="1" t="s">
        <v>2125</v>
      </c>
      <c r="K66" s="1" t="s">
        <v>1922</v>
      </c>
      <c r="L66" s="1" t="s">
        <v>1922</v>
      </c>
      <c r="M66" s="1" t="s">
        <v>1922</v>
      </c>
      <c r="N66" s="1" t="s">
        <v>1922</v>
      </c>
      <c r="O66" s="1" t="s">
        <v>1922</v>
      </c>
      <c r="P66" s="1" t="s">
        <v>1922</v>
      </c>
      <c r="Q66" s="1" t="s">
        <v>1922</v>
      </c>
      <c r="R66" s="1" t="s">
        <v>1922</v>
      </c>
      <c r="S66" s="1" t="s">
        <v>1922</v>
      </c>
      <c r="T66" s="1" t="s">
        <v>1922</v>
      </c>
      <c r="U66" s="1" t="s">
        <v>1922</v>
      </c>
    </row>
    <row r="67" spans="1:21">
      <c r="A67" s="59" t="s">
        <v>525</v>
      </c>
      <c r="B67" s="59" t="s">
        <v>2136</v>
      </c>
      <c r="C67" s="59" t="s">
        <v>524</v>
      </c>
      <c r="D67" s="59" t="s">
        <v>1919</v>
      </c>
      <c r="E67" s="59" t="s">
        <v>2137</v>
      </c>
      <c r="F67" s="59" t="s">
        <v>413</v>
      </c>
      <c r="G67" s="59" t="s">
        <v>71</v>
      </c>
      <c r="H67" s="59" t="s">
        <v>29</v>
      </c>
      <c r="I67" s="59" t="s">
        <v>2135</v>
      </c>
      <c r="J67" s="59" t="s">
        <v>2125</v>
      </c>
      <c r="K67" s="59" t="s">
        <v>1922</v>
      </c>
      <c r="L67" s="59" t="s">
        <v>1922</v>
      </c>
      <c r="M67" s="59" t="s">
        <v>1922</v>
      </c>
      <c r="N67" s="59" t="s">
        <v>1922</v>
      </c>
      <c r="O67" s="59" t="s">
        <v>1922</v>
      </c>
      <c r="P67" s="59" t="s">
        <v>1922</v>
      </c>
      <c r="Q67" s="59" t="s">
        <v>1922</v>
      </c>
      <c r="R67" s="59" t="s">
        <v>1922</v>
      </c>
      <c r="S67" s="59" t="s">
        <v>1922</v>
      </c>
      <c r="T67" s="59" t="s">
        <v>1922</v>
      </c>
      <c r="U67" s="59" t="s">
        <v>1922</v>
      </c>
    </row>
    <row r="68" spans="1:21">
      <c r="A68" s="59" t="s">
        <v>521</v>
      </c>
      <c r="B68" s="59" t="s">
        <v>2138</v>
      </c>
      <c r="C68" s="59" t="s">
        <v>520</v>
      </c>
      <c r="D68" s="59" t="s">
        <v>1919</v>
      </c>
      <c r="E68" s="59" t="s">
        <v>2139</v>
      </c>
      <c r="F68" s="59" t="s">
        <v>413</v>
      </c>
      <c r="G68" s="59" t="s">
        <v>29</v>
      </c>
      <c r="H68" s="59" t="s">
        <v>2128</v>
      </c>
      <c r="I68" s="59" t="s">
        <v>2135</v>
      </c>
      <c r="J68" s="59" t="s">
        <v>2125</v>
      </c>
      <c r="K68" s="59" t="s">
        <v>1922</v>
      </c>
      <c r="L68" s="59" t="s">
        <v>1922</v>
      </c>
      <c r="M68" s="59" t="s">
        <v>1922</v>
      </c>
      <c r="N68" s="59" t="s">
        <v>1922</v>
      </c>
      <c r="O68" s="59" t="s">
        <v>1922</v>
      </c>
      <c r="P68" s="59" t="s">
        <v>1922</v>
      </c>
      <c r="Q68" s="59" t="s">
        <v>1922</v>
      </c>
      <c r="R68" s="59" t="s">
        <v>1922</v>
      </c>
      <c r="S68" s="59" t="s">
        <v>1922</v>
      </c>
      <c r="T68" s="59" t="s">
        <v>1922</v>
      </c>
      <c r="U68" s="59" t="s">
        <v>1922</v>
      </c>
    </row>
    <row r="69" spans="1:21">
      <c r="A69" s="59" t="s">
        <v>1740</v>
      </c>
      <c r="B69" s="59" t="s">
        <v>2140</v>
      </c>
      <c r="C69" s="59" t="s">
        <v>1739</v>
      </c>
      <c r="D69" s="59" t="s">
        <v>1919</v>
      </c>
      <c r="E69" s="59" t="s">
        <v>2141</v>
      </c>
      <c r="F69" s="59" t="s">
        <v>413</v>
      </c>
      <c r="G69" s="59" t="s">
        <v>29</v>
      </c>
      <c r="H69" s="59" t="s">
        <v>2128</v>
      </c>
      <c r="I69" s="59" t="s">
        <v>2125</v>
      </c>
      <c r="J69" s="59" t="s">
        <v>1922</v>
      </c>
      <c r="K69" s="59" t="s">
        <v>1922</v>
      </c>
      <c r="L69" s="59" t="s">
        <v>1922</v>
      </c>
      <c r="M69" s="59" t="s">
        <v>1922</v>
      </c>
      <c r="N69" s="59" t="s">
        <v>1922</v>
      </c>
      <c r="O69" s="59" t="s">
        <v>1922</v>
      </c>
      <c r="P69" s="59" t="s">
        <v>1922</v>
      </c>
      <c r="Q69" s="59" t="s">
        <v>1922</v>
      </c>
      <c r="R69" s="59" t="s">
        <v>1922</v>
      </c>
      <c r="S69" s="59" t="s">
        <v>1922</v>
      </c>
      <c r="T69" s="59" t="s">
        <v>1922</v>
      </c>
      <c r="U69" s="59" t="s">
        <v>1922</v>
      </c>
    </row>
    <row r="70" spans="1:21">
      <c r="A70" s="59" t="s">
        <v>564</v>
      </c>
      <c r="B70" s="59" t="s">
        <v>2142</v>
      </c>
      <c r="C70" s="59" t="s">
        <v>563</v>
      </c>
      <c r="D70" s="59" t="s">
        <v>1919</v>
      </c>
      <c r="E70" s="59" t="s">
        <v>2143</v>
      </c>
      <c r="F70" s="59" t="s">
        <v>381</v>
      </c>
      <c r="G70" s="59" t="s">
        <v>90</v>
      </c>
      <c r="H70" s="59" t="s">
        <v>2144</v>
      </c>
      <c r="I70" s="59" t="s">
        <v>2145</v>
      </c>
      <c r="J70" s="59" t="s">
        <v>2146</v>
      </c>
      <c r="K70" s="59" t="s">
        <v>1922</v>
      </c>
      <c r="L70" s="59" t="s">
        <v>1922</v>
      </c>
      <c r="M70" s="59" t="s">
        <v>1922</v>
      </c>
      <c r="N70" s="59" t="s">
        <v>1922</v>
      </c>
      <c r="O70" s="59" t="s">
        <v>1922</v>
      </c>
      <c r="P70" s="59" t="s">
        <v>1922</v>
      </c>
      <c r="Q70" s="59" t="s">
        <v>1922</v>
      </c>
      <c r="R70" s="59" t="s">
        <v>1922</v>
      </c>
      <c r="S70" s="59" t="s">
        <v>1922</v>
      </c>
      <c r="T70" s="59" t="s">
        <v>1922</v>
      </c>
      <c r="U70" s="59" t="s">
        <v>1922</v>
      </c>
    </row>
    <row r="71" spans="1:21">
      <c r="A71" s="1" t="s">
        <v>559</v>
      </c>
      <c r="B71" s="1" t="s">
        <v>2147</v>
      </c>
      <c r="C71" s="1" t="s">
        <v>558</v>
      </c>
      <c r="D71" s="1" t="s">
        <v>1919</v>
      </c>
      <c r="E71" s="1" t="s">
        <v>2148</v>
      </c>
      <c r="F71" s="1" t="s">
        <v>91</v>
      </c>
      <c r="G71" s="1" t="s">
        <v>377</v>
      </c>
      <c r="H71" s="1" t="s">
        <v>1976</v>
      </c>
      <c r="I71" s="1" t="s">
        <v>2149</v>
      </c>
      <c r="J71" s="1" t="s">
        <v>2145</v>
      </c>
      <c r="K71" s="1" t="s">
        <v>2146</v>
      </c>
      <c r="L71" s="1" t="s">
        <v>1922</v>
      </c>
      <c r="M71" s="1" t="s">
        <v>1922</v>
      </c>
      <c r="N71" s="1" t="s">
        <v>1922</v>
      </c>
      <c r="O71" s="1" t="s">
        <v>1922</v>
      </c>
      <c r="P71" s="1" t="s">
        <v>1922</v>
      </c>
      <c r="Q71" s="1" t="s">
        <v>1922</v>
      </c>
      <c r="R71" s="1" t="s">
        <v>1922</v>
      </c>
      <c r="S71" s="1" t="s">
        <v>1922</v>
      </c>
      <c r="T71" s="1" t="s">
        <v>1922</v>
      </c>
      <c r="U71" s="1" t="s">
        <v>1922</v>
      </c>
    </row>
    <row r="72" spans="1:21">
      <c r="A72" s="1" t="s">
        <v>648</v>
      </c>
      <c r="B72" s="1" t="s">
        <v>2150</v>
      </c>
      <c r="C72" s="1" t="s">
        <v>647</v>
      </c>
      <c r="D72" s="1" t="s">
        <v>1932</v>
      </c>
      <c r="E72" s="1" t="s">
        <v>2151</v>
      </c>
      <c r="F72" s="1" t="s">
        <v>381</v>
      </c>
      <c r="G72" s="1" t="s">
        <v>406</v>
      </c>
      <c r="H72" s="1" t="s">
        <v>2152</v>
      </c>
      <c r="I72" s="1" t="s">
        <v>2153</v>
      </c>
      <c r="J72" s="1" t="s">
        <v>1939</v>
      </c>
      <c r="K72" s="1" t="s">
        <v>1922</v>
      </c>
      <c r="L72" s="1" t="s">
        <v>1922</v>
      </c>
      <c r="M72" s="1" t="s">
        <v>1922</v>
      </c>
      <c r="N72" s="1" t="s">
        <v>1922</v>
      </c>
      <c r="O72" s="1" t="s">
        <v>1922</v>
      </c>
      <c r="P72" s="1" t="s">
        <v>1922</v>
      </c>
      <c r="Q72" s="1" t="s">
        <v>1922</v>
      </c>
      <c r="R72" s="1" t="s">
        <v>1922</v>
      </c>
      <c r="S72" s="1" t="s">
        <v>1922</v>
      </c>
      <c r="T72" s="1" t="s">
        <v>1922</v>
      </c>
      <c r="U72" s="1" t="s">
        <v>1922</v>
      </c>
    </row>
    <row r="73" spans="1:21">
      <c r="A73" s="59" t="s">
        <v>568</v>
      </c>
      <c r="B73" s="59" t="s">
        <v>2154</v>
      </c>
      <c r="C73" s="59" t="s">
        <v>567</v>
      </c>
      <c r="D73" s="59" t="s">
        <v>1919</v>
      </c>
      <c r="E73" s="59" t="s">
        <v>2155</v>
      </c>
      <c r="F73" s="59" t="s">
        <v>381</v>
      </c>
      <c r="G73" s="59" t="s">
        <v>91</v>
      </c>
      <c r="H73" s="59" t="s">
        <v>377</v>
      </c>
      <c r="I73" s="59" t="s">
        <v>90</v>
      </c>
      <c r="J73" s="59" t="s">
        <v>1976</v>
      </c>
      <c r="K73" s="59" t="s">
        <v>2149</v>
      </c>
      <c r="L73" s="59" t="s">
        <v>2145</v>
      </c>
      <c r="M73" s="59" t="s">
        <v>2146</v>
      </c>
      <c r="N73" s="59" t="s">
        <v>1922</v>
      </c>
      <c r="O73" s="59" t="s">
        <v>1922</v>
      </c>
      <c r="P73" s="59" t="s">
        <v>1922</v>
      </c>
      <c r="Q73" s="59" t="s">
        <v>1922</v>
      </c>
      <c r="R73" s="59" t="s">
        <v>1922</v>
      </c>
      <c r="S73" s="59" t="s">
        <v>1922</v>
      </c>
      <c r="T73" s="59" t="s">
        <v>1922</v>
      </c>
      <c r="U73" s="59" t="s">
        <v>1922</v>
      </c>
    </row>
    <row r="74" spans="1:21">
      <c r="A74" s="59" t="s">
        <v>554</v>
      </c>
      <c r="B74" s="59" t="s">
        <v>2156</v>
      </c>
      <c r="C74" s="59" t="s">
        <v>553</v>
      </c>
      <c r="D74" s="59" t="s">
        <v>1919</v>
      </c>
      <c r="E74" s="59" t="s">
        <v>2157</v>
      </c>
      <c r="F74" s="59" t="s">
        <v>381</v>
      </c>
      <c r="G74" s="59" t="s">
        <v>91</v>
      </c>
      <c r="H74" s="59" t="s">
        <v>377</v>
      </c>
      <c r="I74" s="59" t="s">
        <v>90</v>
      </c>
      <c r="J74" s="59" t="s">
        <v>2149</v>
      </c>
      <c r="K74" s="59" t="s">
        <v>2145</v>
      </c>
      <c r="L74" s="59" t="s">
        <v>2146</v>
      </c>
      <c r="M74" s="59" t="s">
        <v>1922</v>
      </c>
      <c r="N74" s="59" t="s">
        <v>1922</v>
      </c>
      <c r="O74" s="59" t="s">
        <v>1922</v>
      </c>
      <c r="P74" s="59" t="s">
        <v>1922</v>
      </c>
      <c r="Q74" s="59" t="s">
        <v>1922</v>
      </c>
      <c r="R74" s="59" t="s">
        <v>1922</v>
      </c>
      <c r="S74" s="59" t="s">
        <v>1922</v>
      </c>
      <c r="T74" s="59" t="s">
        <v>1922</v>
      </c>
      <c r="U74" s="59" t="s">
        <v>1922</v>
      </c>
    </row>
    <row r="75" spans="1:21">
      <c r="A75" s="1" t="s">
        <v>549</v>
      </c>
      <c r="B75" s="1" t="s">
        <v>2158</v>
      </c>
      <c r="C75" s="1" t="s">
        <v>548</v>
      </c>
      <c r="D75" s="1" t="s">
        <v>1919</v>
      </c>
      <c r="E75" s="1" t="s">
        <v>2159</v>
      </c>
      <c r="F75" s="1" t="s">
        <v>381</v>
      </c>
      <c r="G75" s="1" t="s">
        <v>90</v>
      </c>
      <c r="H75" s="1" t="s">
        <v>2144</v>
      </c>
      <c r="I75" s="1" t="s">
        <v>1976</v>
      </c>
      <c r="J75" s="1" t="s">
        <v>2160</v>
      </c>
      <c r="K75" s="1" t="s">
        <v>2145</v>
      </c>
      <c r="L75" s="1" t="s">
        <v>2146</v>
      </c>
      <c r="M75" s="1" t="s">
        <v>1922</v>
      </c>
      <c r="N75" s="1" t="s">
        <v>1922</v>
      </c>
      <c r="O75" s="1" t="s">
        <v>1922</v>
      </c>
      <c r="P75" s="1" t="s">
        <v>1922</v>
      </c>
      <c r="Q75" s="1" t="s">
        <v>1922</v>
      </c>
      <c r="R75" s="1" t="s">
        <v>1922</v>
      </c>
      <c r="S75" s="1" t="s">
        <v>1922</v>
      </c>
      <c r="T75" s="1" t="s">
        <v>1922</v>
      </c>
      <c r="U75" s="1" t="s">
        <v>1922</v>
      </c>
    </row>
    <row r="76" spans="1:21">
      <c r="A76" s="1" t="s">
        <v>2161</v>
      </c>
      <c r="B76" s="1" t="s">
        <v>2162</v>
      </c>
      <c r="C76" s="1" t="s">
        <v>2163</v>
      </c>
      <c r="D76" s="1" t="s">
        <v>1946</v>
      </c>
      <c r="E76" s="1" t="s">
        <v>2164</v>
      </c>
      <c r="F76" s="1" t="s">
        <v>1888</v>
      </c>
      <c r="G76" s="1" t="s">
        <v>2165</v>
      </c>
      <c r="H76" s="1" t="s">
        <v>2017</v>
      </c>
      <c r="I76" s="1" t="s">
        <v>1922</v>
      </c>
      <c r="J76" s="1" t="s">
        <v>1922</v>
      </c>
      <c r="K76" s="1" t="s">
        <v>1922</v>
      </c>
      <c r="L76" s="1" t="s">
        <v>1922</v>
      </c>
      <c r="M76" s="1" t="s">
        <v>1922</v>
      </c>
      <c r="N76" s="1" t="s">
        <v>1922</v>
      </c>
      <c r="O76" s="1" t="s">
        <v>1922</v>
      </c>
      <c r="P76" s="1" t="s">
        <v>1922</v>
      </c>
      <c r="Q76" s="1" t="s">
        <v>1922</v>
      </c>
      <c r="R76" s="1" t="s">
        <v>1922</v>
      </c>
      <c r="S76" s="1" t="s">
        <v>1922</v>
      </c>
      <c r="T76" s="1" t="s">
        <v>1922</v>
      </c>
      <c r="U76" s="1" t="s">
        <v>1922</v>
      </c>
    </row>
    <row r="77" spans="1:21">
      <c r="A77" s="59" t="s">
        <v>587</v>
      </c>
      <c r="B77" s="59" t="s">
        <v>2166</v>
      </c>
      <c r="C77" s="59" t="s">
        <v>586</v>
      </c>
      <c r="D77" s="59" t="s">
        <v>1919</v>
      </c>
      <c r="E77" s="59" t="s">
        <v>2167</v>
      </c>
      <c r="F77" s="59" t="s">
        <v>100</v>
      </c>
      <c r="G77" s="59" t="s">
        <v>99</v>
      </c>
      <c r="H77" s="59" t="s">
        <v>2002</v>
      </c>
      <c r="I77" s="59" t="s">
        <v>1998</v>
      </c>
      <c r="J77" s="59" t="s">
        <v>1955</v>
      </c>
      <c r="K77" s="59" t="s">
        <v>2129</v>
      </c>
      <c r="L77" s="59" t="s">
        <v>1922</v>
      </c>
      <c r="M77" s="59" t="s">
        <v>1922</v>
      </c>
      <c r="N77" s="59" t="s">
        <v>1922</v>
      </c>
      <c r="O77" s="59" t="s">
        <v>1922</v>
      </c>
      <c r="P77" s="59" t="s">
        <v>1922</v>
      </c>
      <c r="Q77" s="59" t="s">
        <v>1922</v>
      </c>
      <c r="R77" s="59" t="s">
        <v>1922</v>
      </c>
      <c r="S77" s="59" t="s">
        <v>1922</v>
      </c>
      <c r="T77" s="59" t="s">
        <v>1922</v>
      </c>
      <c r="U77" s="59" t="s">
        <v>1922</v>
      </c>
    </row>
    <row r="78" spans="1:21">
      <c r="A78" s="4" t="s">
        <v>612</v>
      </c>
      <c r="B78" s="4" t="s">
        <v>2168</v>
      </c>
      <c r="C78" s="4" t="s">
        <v>611</v>
      </c>
      <c r="D78" s="4" t="s">
        <v>1919</v>
      </c>
      <c r="E78" s="4" t="s">
        <v>2169</v>
      </c>
      <c r="F78" s="4" t="s">
        <v>407</v>
      </c>
      <c r="G78" s="4" t="s">
        <v>2170</v>
      </c>
      <c r="H78" s="4" t="s">
        <v>2171</v>
      </c>
      <c r="I78" s="4" t="s">
        <v>2172</v>
      </c>
      <c r="J78" s="4" t="s">
        <v>1922</v>
      </c>
      <c r="K78" s="4" t="s">
        <v>1922</v>
      </c>
      <c r="L78" s="4" t="s">
        <v>1922</v>
      </c>
      <c r="M78" s="4" t="s">
        <v>1922</v>
      </c>
      <c r="N78" s="4" t="s">
        <v>1922</v>
      </c>
      <c r="O78" s="4" t="s">
        <v>1922</v>
      </c>
      <c r="P78" s="4" t="s">
        <v>1922</v>
      </c>
      <c r="Q78" s="4" t="s">
        <v>1922</v>
      </c>
      <c r="R78" s="4" t="s">
        <v>1922</v>
      </c>
      <c r="S78" s="4" t="s">
        <v>1922</v>
      </c>
      <c r="T78" s="4" t="s">
        <v>1922</v>
      </c>
      <c r="U78" s="4" t="s">
        <v>1922</v>
      </c>
    </row>
    <row r="79" spans="1:21">
      <c r="A79" s="59" t="s">
        <v>544</v>
      </c>
      <c r="B79" s="59" t="s">
        <v>2173</v>
      </c>
      <c r="C79" s="59" t="s">
        <v>543</v>
      </c>
      <c r="D79" s="59" t="s">
        <v>1919</v>
      </c>
      <c r="E79" s="59" t="s">
        <v>2174</v>
      </c>
      <c r="F79" s="59" t="s">
        <v>381</v>
      </c>
      <c r="G79" s="59" t="s">
        <v>90</v>
      </c>
      <c r="H79" s="59" t="s">
        <v>2144</v>
      </c>
      <c r="I79" s="59" t="s">
        <v>2149</v>
      </c>
      <c r="J79" s="59" t="s">
        <v>2145</v>
      </c>
      <c r="K79" s="59" t="s">
        <v>2146</v>
      </c>
      <c r="L79" s="59" t="s">
        <v>1922</v>
      </c>
      <c r="M79" s="59" t="s">
        <v>1922</v>
      </c>
      <c r="N79" s="59" t="s">
        <v>1922</v>
      </c>
      <c r="O79" s="59" t="s">
        <v>1922</v>
      </c>
      <c r="P79" s="59" t="s">
        <v>1922</v>
      </c>
      <c r="Q79" s="59" t="s">
        <v>1922</v>
      </c>
      <c r="R79" s="59" t="s">
        <v>1922</v>
      </c>
      <c r="S79" s="59" t="s">
        <v>1922</v>
      </c>
      <c r="T79" s="59" t="s">
        <v>1922</v>
      </c>
      <c r="U79" s="59" t="s">
        <v>1922</v>
      </c>
    </row>
    <row r="80" spans="1:21">
      <c r="A80" s="59" t="s">
        <v>448</v>
      </c>
      <c r="B80" s="59" t="s">
        <v>2175</v>
      </c>
      <c r="C80" s="59" t="s">
        <v>447</v>
      </c>
      <c r="D80" s="59" t="s">
        <v>1919</v>
      </c>
      <c r="E80" s="59" t="s">
        <v>2176</v>
      </c>
      <c r="F80" s="59" t="s">
        <v>2073</v>
      </c>
      <c r="G80" s="59" t="s">
        <v>61</v>
      </c>
      <c r="H80" s="59" t="s">
        <v>2074</v>
      </c>
      <c r="I80" s="59" t="s">
        <v>1922</v>
      </c>
      <c r="J80" s="59" t="s">
        <v>1922</v>
      </c>
      <c r="K80" s="59" t="s">
        <v>1922</v>
      </c>
      <c r="L80" s="59" t="s">
        <v>1922</v>
      </c>
      <c r="M80" s="59" t="s">
        <v>1922</v>
      </c>
      <c r="N80" s="59" t="s">
        <v>1922</v>
      </c>
      <c r="O80" s="59" t="s">
        <v>1922</v>
      </c>
      <c r="P80" s="59" t="s">
        <v>1922</v>
      </c>
      <c r="Q80" s="59" t="s">
        <v>1922</v>
      </c>
      <c r="R80" s="59" t="s">
        <v>1922</v>
      </c>
      <c r="S80" s="59" t="s">
        <v>1922</v>
      </c>
      <c r="T80" s="59" t="s">
        <v>1922</v>
      </c>
      <c r="U80" s="59" t="s">
        <v>1922</v>
      </c>
    </row>
    <row r="81" spans="1:21">
      <c r="A81" s="59" t="s">
        <v>516</v>
      </c>
      <c r="B81" s="59" t="s">
        <v>2177</v>
      </c>
      <c r="C81" s="59" t="s">
        <v>515</v>
      </c>
      <c r="D81" s="59" t="s">
        <v>1919</v>
      </c>
      <c r="E81" s="59" t="s">
        <v>2178</v>
      </c>
      <c r="F81" s="59" t="s">
        <v>413</v>
      </c>
      <c r="G81" s="59" t="s">
        <v>29</v>
      </c>
      <c r="H81" s="59" t="s">
        <v>2128</v>
      </c>
      <c r="I81" s="59" t="s">
        <v>1976</v>
      </c>
      <c r="J81" s="59" t="s">
        <v>1999</v>
      </c>
      <c r="K81" s="59" t="s">
        <v>2125</v>
      </c>
      <c r="L81" s="59" t="s">
        <v>1922</v>
      </c>
      <c r="M81" s="59" t="s">
        <v>1922</v>
      </c>
      <c r="N81" s="59" t="s">
        <v>1922</v>
      </c>
      <c r="O81" s="59" t="s">
        <v>1922</v>
      </c>
      <c r="P81" s="59" t="s">
        <v>1922</v>
      </c>
      <c r="Q81" s="59" t="s">
        <v>1922</v>
      </c>
      <c r="R81" s="59" t="s">
        <v>1922</v>
      </c>
      <c r="S81" s="59" t="s">
        <v>1922</v>
      </c>
      <c r="T81" s="59" t="s">
        <v>1922</v>
      </c>
      <c r="U81" s="59" t="s">
        <v>1922</v>
      </c>
    </row>
    <row r="82" spans="1:21">
      <c r="A82" s="1" t="s">
        <v>488</v>
      </c>
      <c r="B82" s="1" t="s">
        <v>2179</v>
      </c>
      <c r="C82" s="1" t="s">
        <v>487</v>
      </c>
      <c r="D82" s="1" t="s">
        <v>1919</v>
      </c>
      <c r="E82" s="1" t="s">
        <v>2180</v>
      </c>
      <c r="F82" s="1" t="s">
        <v>2073</v>
      </c>
      <c r="G82" s="1" t="s">
        <v>396</v>
      </c>
      <c r="H82" s="1" t="s">
        <v>2181</v>
      </c>
      <c r="I82" s="1" t="s">
        <v>2044</v>
      </c>
      <c r="J82" s="1" t="s">
        <v>1922</v>
      </c>
      <c r="K82" s="1" t="s">
        <v>1922</v>
      </c>
      <c r="L82" s="1" t="s">
        <v>1922</v>
      </c>
      <c r="M82" s="1" t="s">
        <v>1922</v>
      </c>
      <c r="N82" s="1" t="s">
        <v>1922</v>
      </c>
      <c r="O82" s="1" t="s">
        <v>1922</v>
      </c>
      <c r="P82" s="1" t="s">
        <v>1922</v>
      </c>
      <c r="Q82" s="1" t="s">
        <v>1922</v>
      </c>
      <c r="R82" s="1" t="s">
        <v>1922</v>
      </c>
      <c r="S82" s="1" t="s">
        <v>1922</v>
      </c>
      <c r="T82" s="1" t="s">
        <v>1922</v>
      </c>
      <c r="U82" s="1" t="s">
        <v>1922</v>
      </c>
    </row>
    <row r="83" spans="1:21">
      <c r="A83" s="1" t="s">
        <v>1075</v>
      </c>
      <c r="B83" s="1" t="s">
        <v>2182</v>
      </c>
      <c r="C83" s="1" t="s">
        <v>2183</v>
      </c>
      <c r="D83" s="1" t="s">
        <v>1932</v>
      </c>
      <c r="E83" s="1" t="s">
        <v>2184</v>
      </c>
      <c r="F83" s="1" t="s">
        <v>387</v>
      </c>
      <c r="G83" s="1" t="s">
        <v>1922</v>
      </c>
      <c r="H83" s="1" t="s">
        <v>1922</v>
      </c>
      <c r="I83" s="1" t="s">
        <v>1922</v>
      </c>
      <c r="J83" s="1" t="s">
        <v>1922</v>
      </c>
      <c r="K83" s="1" t="s">
        <v>1922</v>
      </c>
      <c r="L83" s="1" t="s">
        <v>1922</v>
      </c>
      <c r="M83" s="1" t="s">
        <v>1922</v>
      </c>
      <c r="N83" s="1" t="s">
        <v>1922</v>
      </c>
      <c r="O83" s="1" t="s">
        <v>1922</v>
      </c>
      <c r="P83" s="1" t="s">
        <v>1922</v>
      </c>
      <c r="Q83" s="1" t="s">
        <v>1922</v>
      </c>
      <c r="R83" s="1" t="s">
        <v>1922</v>
      </c>
      <c r="S83" s="1" t="s">
        <v>1922</v>
      </c>
      <c r="T83" s="1" t="s">
        <v>1922</v>
      </c>
      <c r="U83" s="1" t="s">
        <v>1922</v>
      </c>
    </row>
    <row r="84" spans="1:21">
      <c r="A84" s="1" t="s">
        <v>1062</v>
      </c>
      <c r="B84" s="1" t="s">
        <v>2185</v>
      </c>
      <c r="C84" s="1" t="s">
        <v>1061</v>
      </c>
      <c r="D84" s="1" t="s">
        <v>1919</v>
      </c>
      <c r="E84" s="1" t="s">
        <v>2186</v>
      </c>
      <c r="F84" s="1" t="s">
        <v>409</v>
      </c>
      <c r="G84" s="1" t="s">
        <v>1964</v>
      </c>
      <c r="H84" s="1" t="s">
        <v>1922</v>
      </c>
      <c r="I84" s="1" t="s">
        <v>1922</v>
      </c>
      <c r="J84" s="1" t="s">
        <v>1922</v>
      </c>
      <c r="K84" s="1" t="s">
        <v>1922</v>
      </c>
      <c r="L84" s="1" t="s">
        <v>1922</v>
      </c>
      <c r="M84" s="1" t="s">
        <v>1922</v>
      </c>
      <c r="N84" s="1" t="s">
        <v>1922</v>
      </c>
      <c r="O84" s="1" t="s">
        <v>1922</v>
      </c>
      <c r="P84" s="1" t="s">
        <v>1922</v>
      </c>
      <c r="Q84" s="1" t="s">
        <v>1922</v>
      </c>
      <c r="R84" s="1" t="s">
        <v>1922</v>
      </c>
      <c r="S84" s="1" t="s">
        <v>1922</v>
      </c>
      <c r="T84" s="1" t="s">
        <v>1922</v>
      </c>
      <c r="U84" s="1" t="s">
        <v>1922</v>
      </c>
    </row>
    <row r="85" spans="1:21">
      <c r="A85" s="59" t="s">
        <v>1055</v>
      </c>
      <c r="B85" s="59" t="s">
        <v>2187</v>
      </c>
      <c r="C85" s="59" t="s">
        <v>1891</v>
      </c>
      <c r="D85" s="59" t="s">
        <v>1919</v>
      </c>
      <c r="E85" s="59" t="s">
        <v>2188</v>
      </c>
      <c r="F85" s="59" t="s">
        <v>381</v>
      </c>
      <c r="G85" s="59" t="s">
        <v>90</v>
      </c>
      <c r="H85" s="59" t="s">
        <v>1922</v>
      </c>
      <c r="I85" s="59" t="s">
        <v>1922</v>
      </c>
      <c r="J85" s="59" t="s">
        <v>1922</v>
      </c>
      <c r="K85" s="59" t="s">
        <v>1922</v>
      </c>
      <c r="L85" s="59" t="s">
        <v>1922</v>
      </c>
      <c r="M85" s="59" t="s">
        <v>1922</v>
      </c>
      <c r="N85" s="59" t="s">
        <v>1922</v>
      </c>
      <c r="O85" s="59" t="s">
        <v>1922</v>
      </c>
      <c r="P85" s="59" t="s">
        <v>1922</v>
      </c>
      <c r="Q85" s="59" t="s">
        <v>1922</v>
      </c>
      <c r="R85" s="59" t="s">
        <v>1922</v>
      </c>
      <c r="S85" s="59" t="s">
        <v>1922</v>
      </c>
      <c r="T85" s="59" t="s">
        <v>1922</v>
      </c>
      <c r="U85" s="59" t="s">
        <v>1922</v>
      </c>
    </row>
    <row r="86" spans="1:21">
      <c r="A86" s="59" t="s">
        <v>2189</v>
      </c>
      <c r="B86" s="59" t="s">
        <v>2190</v>
      </c>
      <c r="C86" s="59" t="s">
        <v>2191</v>
      </c>
      <c r="D86" s="59" t="s">
        <v>1919</v>
      </c>
      <c r="E86" s="59" t="s">
        <v>2192</v>
      </c>
      <c r="F86" s="59" t="s">
        <v>2193</v>
      </c>
      <c r="G86" s="59" t="s">
        <v>2058</v>
      </c>
      <c r="H86" s="59" t="s">
        <v>49</v>
      </c>
      <c r="I86" s="59" t="s">
        <v>2059</v>
      </c>
      <c r="J86" s="59" t="s">
        <v>1922</v>
      </c>
      <c r="K86" s="59" t="s">
        <v>1922</v>
      </c>
      <c r="L86" s="59" t="s">
        <v>1922</v>
      </c>
      <c r="M86" s="59" t="s">
        <v>1922</v>
      </c>
      <c r="N86" s="59" t="s">
        <v>1922</v>
      </c>
      <c r="O86" s="59" t="s">
        <v>1922</v>
      </c>
      <c r="P86" s="59" t="s">
        <v>1922</v>
      </c>
      <c r="Q86" s="59" t="s">
        <v>1922</v>
      </c>
      <c r="R86" s="59" t="s">
        <v>1922</v>
      </c>
      <c r="S86" s="59" t="s">
        <v>1922</v>
      </c>
      <c r="T86" s="59" t="s">
        <v>1922</v>
      </c>
      <c r="U86" s="59" t="s">
        <v>1922</v>
      </c>
    </row>
    <row r="87" spans="1:21">
      <c r="A87" s="59" t="s">
        <v>2194</v>
      </c>
      <c r="B87" s="59" t="s">
        <v>2195</v>
      </c>
      <c r="C87" s="59" t="s">
        <v>2196</v>
      </c>
      <c r="D87" s="59" t="s">
        <v>1919</v>
      </c>
      <c r="E87" s="59" t="s">
        <v>2197</v>
      </c>
      <c r="F87" s="59" t="s">
        <v>1893</v>
      </c>
      <c r="G87" s="59" t="s">
        <v>2058</v>
      </c>
      <c r="H87" s="59" t="s">
        <v>49</v>
      </c>
      <c r="I87" s="59" t="s">
        <v>2059</v>
      </c>
      <c r="J87" s="59" t="s">
        <v>1922</v>
      </c>
      <c r="K87" s="59" t="s">
        <v>1922</v>
      </c>
      <c r="L87" s="59" t="s">
        <v>1922</v>
      </c>
      <c r="M87" s="59" t="s">
        <v>1922</v>
      </c>
      <c r="N87" s="59" t="s">
        <v>1922</v>
      </c>
      <c r="O87" s="59" t="s">
        <v>1922</v>
      </c>
      <c r="P87" s="59" t="s">
        <v>1922</v>
      </c>
      <c r="Q87" s="59" t="s">
        <v>1922</v>
      </c>
      <c r="R87" s="59" t="s">
        <v>1922</v>
      </c>
      <c r="S87" s="59" t="s">
        <v>1922</v>
      </c>
      <c r="T87" s="59" t="s">
        <v>1922</v>
      </c>
      <c r="U87" s="59" t="s">
        <v>1922</v>
      </c>
    </row>
    <row r="88" spans="1:21">
      <c r="A88" s="58" t="s">
        <v>2198</v>
      </c>
      <c r="B88" s="58" t="s">
        <v>2199</v>
      </c>
      <c r="C88" s="58" t="s">
        <v>2200</v>
      </c>
      <c r="D88" s="58" t="s">
        <v>1919</v>
      </c>
      <c r="E88" s="58" t="s">
        <v>2201</v>
      </c>
      <c r="F88" s="58" t="s">
        <v>1982</v>
      </c>
      <c r="G88" s="58" t="s">
        <v>30</v>
      </c>
      <c r="H88" s="58" t="s">
        <v>1922</v>
      </c>
      <c r="I88" s="58" t="s">
        <v>1922</v>
      </c>
      <c r="J88" s="58" t="s">
        <v>1922</v>
      </c>
      <c r="K88" s="58" t="s">
        <v>1922</v>
      </c>
      <c r="L88" s="58" t="s">
        <v>1922</v>
      </c>
      <c r="M88" s="58" t="s">
        <v>1922</v>
      </c>
      <c r="N88" s="58" t="s">
        <v>1922</v>
      </c>
      <c r="O88" s="58" t="s">
        <v>1922</v>
      </c>
      <c r="P88" s="58" t="s">
        <v>1922</v>
      </c>
      <c r="Q88" s="58" t="s">
        <v>1922</v>
      </c>
      <c r="R88" s="58" t="s">
        <v>1922</v>
      </c>
      <c r="S88" s="58" t="s">
        <v>1922</v>
      </c>
      <c r="T88" s="58" t="s">
        <v>1922</v>
      </c>
      <c r="U88" s="58" t="s">
        <v>1922</v>
      </c>
    </row>
    <row r="89" spans="1:21">
      <c r="A89" s="58" t="s">
        <v>2202</v>
      </c>
      <c r="B89" s="58" t="s">
        <v>2203</v>
      </c>
      <c r="C89" s="58" t="s">
        <v>2204</v>
      </c>
      <c r="D89" s="58" t="s">
        <v>1919</v>
      </c>
      <c r="E89" s="58" t="s">
        <v>2205</v>
      </c>
      <c r="F89" s="58" t="s">
        <v>1982</v>
      </c>
      <c r="G89" s="58" t="s">
        <v>30</v>
      </c>
      <c r="H89" s="58" t="s">
        <v>2206</v>
      </c>
      <c r="I89" s="58" t="s">
        <v>1922</v>
      </c>
      <c r="J89" s="58" t="s">
        <v>1922</v>
      </c>
      <c r="K89" s="58" t="s">
        <v>1922</v>
      </c>
      <c r="L89" s="58" t="s">
        <v>1922</v>
      </c>
      <c r="M89" s="58" t="s">
        <v>1922</v>
      </c>
      <c r="N89" s="58" t="s">
        <v>1922</v>
      </c>
      <c r="O89" s="58" t="s">
        <v>1922</v>
      </c>
      <c r="P89" s="58" t="s">
        <v>1922</v>
      </c>
      <c r="Q89" s="58" t="s">
        <v>1922</v>
      </c>
      <c r="R89" s="58" t="s">
        <v>1922</v>
      </c>
      <c r="S89" s="58" t="s">
        <v>1922</v>
      </c>
      <c r="T89" s="58" t="s">
        <v>1922</v>
      </c>
      <c r="U89" s="58" t="s">
        <v>1922</v>
      </c>
    </row>
    <row r="90" spans="1:21">
      <c r="A90" s="58" t="s">
        <v>2207</v>
      </c>
      <c r="B90" s="58" t="s">
        <v>2208</v>
      </c>
      <c r="C90" s="58" t="s">
        <v>2209</v>
      </c>
      <c r="D90" s="58" t="s">
        <v>1919</v>
      </c>
      <c r="E90" s="58" t="s">
        <v>2210</v>
      </c>
      <c r="F90" s="58" t="s">
        <v>1982</v>
      </c>
      <c r="G90" s="58" t="s">
        <v>30</v>
      </c>
      <c r="H90" s="58" t="s">
        <v>2211</v>
      </c>
      <c r="I90" s="58" t="s">
        <v>2212</v>
      </c>
      <c r="J90" s="58" t="s">
        <v>2206</v>
      </c>
      <c r="K90" s="58" t="s">
        <v>1922</v>
      </c>
      <c r="L90" s="58" t="s">
        <v>1922</v>
      </c>
      <c r="M90" s="58" t="s">
        <v>1922</v>
      </c>
      <c r="N90" s="58" t="s">
        <v>1922</v>
      </c>
      <c r="O90" s="58" t="s">
        <v>1922</v>
      </c>
      <c r="P90" s="58" t="s">
        <v>1922</v>
      </c>
      <c r="Q90" s="58" t="s">
        <v>1922</v>
      </c>
      <c r="R90" s="58" t="s">
        <v>1922</v>
      </c>
      <c r="S90" s="58" t="s">
        <v>1922</v>
      </c>
      <c r="T90" s="58" t="s">
        <v>1922</v>
      </c>
      <c r="U90" s="58" t="s">
        <v>1922</v>
      </c>
    </row>
    <row r="91" spans="1:21">
      <c r="A91" s="58" t="s">
        <v>2213</v>
      </c>
      <c r="B91" s="58" t="s">
        <v>2214</v>
      </c>
      <c r="C91" s="58" t="s">
        <v>2215</v>
      </c>
      <c r="D91" s="58" t="s">
        <v>1919</v>
      </c>
      <c r="E91" s="58" t="s">
        <v>2216</v>
      </c>
      <c r="F91" s="58" t="s">
        <v>1982</v>
      </c>
      <c r="G91" s="58" t="s">
        <v>30</v>
      </c>
      <c r="H91" s="58" t="s">
        <v>2118</v>
      </c>
      <c r="I91" s="58" t="s">
        <v>2212</v>
      </c>
      <c r="J91" s="58" t="s">
        <v>2206</v>
      </c>
      <c r="K91" s="58" t="s">
        <v>1922</v>
      </c>
      <c r="L91" s="58" t="s">
        <v>1922</v>
      </c>
      <c r="M91" s="58" t="s">
        <v>1922</v>
      </c>
      <c r="N91" s="58" t="s">
        <v>1922</v>
      </c>
      <c r="O91" s="58" t="s">
        <v>1922</v>
      </c>
      <c r="P91" s="58" t="s">
        <v>1922</v>
      </c>
      <c r="Q91" s="58" t="s">
        <v>1922</v>
      </c>
      <c r="R91" s="58" t="s">
        <v>1922</v>
      </c>
      <c r="S91" s="58" t="s">
        <v>1922</v>
      </c>
      <c r="T91" s="58" t="s">
        <v>1922</v>
      </c>
      <c r="U91" s="58" t="s">
        <v>1922</v>
      </c>
    </row>
    <row r="92" spans="1:21">
      <c r="A92" s="1" t="s">
        <v>984</v>
      </c>
      <c r="B92" s="1" t="s">
        <v>2217</v>
      </c>
      <c r="C92" s="1" t="s">
        <v>983</v>
      </c>
      <c r="D92" s="1" t="s">
        <v>1932</v>
      </c>
      <c r="E92" s="1" t="s">
        <v>2218</v>
      </c>
      <c r="F92" s="1" t="s">
        <v>1960</v>
      </c>
      <c r="G92" s="1" t="s">
        <v>1961</v>
      </c>
      <c r="H92" s="1" t="s">
        <v>2053</v>
      </c>
      <c r="I92" s="1" t="s">
        <v>1922</v>
      </c>
      <c r="J92" s="1" t="s">
        <v>1922</v>
      </c>
      <c r="K92" s="1" t="s">
        <v>1922</v>
      </c>
      <c r="L92" s="1" t="s">
        <v>1922</v>
      </c>
      <c r="M92" s="1" t="s">
        <v>1922</v>
      </c>
      <c r="N92" s="1" t="s">
        <v>1922</v>
      </c>
      <c r="O92" s="1" t="s">
        <v>1922</v>
      </c>
      <c r="P92" s="1" t="s">
        <v>1922</v>
      </c>
      <c r="Q92" s="1" t="s">
        <v>1922</v>
      </c>
      <c r="R92" s="1" t="s">
        <v>1922</v>
      </c>
      <c r="S92" s="1" t="s">
        <v>1922</v>
      </c>
      <c r="T92" s="1" t="s">
        <v>1922</v>
      </c>
      <c r="U92" s="1" t="s">
        <v>1922</v>
      </c>
    </row>
    <row r="93" spans="1:21">
      <c r="A93" s="58" t="s">
        <v>2219</v>
      </c>
      <c r="B93" s="58" t="s">
        <v>2220</v>
      </c>
      <c r="C93" s="58" t="s">
        <v>2221</v>
      </c>
      <c r="D93" s="58" t="s">
        <v>1919</v>
      </c>
      <c r="E93" s="58" t="s">
        <v>2222</v>
      </c>
      <c r="F93" s="58" t="s">
        <v>1982</v>
      </c>
      <c r="G93" s="58" t="s">
        <v>30</v>
      </c>
      <c r="H93" s="58" t="s">
        <v>1939</v>
      </c>
      <c r="I93" s="58" t="s">
        <v>1922</v>
      </c>
      <c r="J93" s="58" t="s">
        <v>1922</v>
      </c>
      <c r="K93" s="58" t="s">
        <v>1922</v>
      </c>
      <c r="L93" s="58" t="s">
        <v>1922</v>
      </c>
      <c r="M93" s="58" t="s">
        <v>1922</v>
      </c>
      <c r="N93" s="58" t="s">
        <v>1922</v>
      </c>
      <c r="O93" s="58" t="s">
        <v>1922</v>
      </c>
      <c r="P93" s="58" t="s">
        <v>1922</v>
      </c>
      <c r="Q93" s="58" t="s">
        <v>1922</v>
      </c>
      <c r="R93" s="58" t="s">
        <v>1922</v>
      </c>
      <c r="S93" s="58" t="s">
        <v>1922</v>
      </c>
      <c r="T93" s="58" t="s">
        <v>1922</v>
      </c>
      <c r="U93" s="58" t="s">
        <v>1922</v>
      </c>
    </row>
    <row r="94" spans="1:21">
      <c r="A94" s="1" t="s">
        <v>1011</v>
      </c>
      <c r="B94" s="1" t="s">
        <v>2223</v>
      </c>
      <c r="C94" s="1" t="s">
        <v>1784</v>
      </c>
      <c r="D94" s="1" t="s">
        <v>1932</v>
      </c>
      <c r="E94" s="1" t="s">
        <v>2224</v>
      </c>
      <c r="F94" s="1" t="s">
        <v>399</v>
      </c>
      <c r="G94" s="1" t="s">
        <v>387</v>
      </c>
      <c r="H94" s="1" t="s">
        <v>2064</v>
      </c>
      <c r="I94" s="1" t="s">
        <v>1939</v>
      </c>
      <c r="J94" s="1" t="s">
        <v>1922</v>
      </c>
      <c r="K94" s="1" t="s">
        <v>1922</v>
      </c>
      <c r="L94" s="1" t="s">
        <v>1922</v>
      </c>
      <c r="M94" s="1" t="s">
        <v>1922</v>
      </c>
      <c r="N94" s="1" t="s">
        <v>1922</v>
      </c>
      <c r="O94" s="1" t="s">
        <v>1922</v>
      </c>
      <c r="P94" s="1" t="s">
        <v>1922</v>
      </c>
      <c r="Q94" s="1" t="s">
        <v>1922</v>
      </c>
      <c r="R94" s="1" t="s">
        <v>1922</v>
      </c>
      <c r="S94" s="1" t="s">
        <v>1922</v>
      </c>
      <c r="T94" s="1" t="s">
        <v>1922</v>
      </c>
      <c r="U94" s="1" t="s">
        <v>1922</v>
      </c>
    </row>
    <row r="95" spans="1:21">
      <c r="A95" s="58" t="s">
        <v>710</v>
      </c>
      <c r="B95" s="58" t="s">
        <v>2225</v>
      </c>
      <c r="C95" s="58" t="s">
        <v>709</v>
      </c>
      <c r="D95" s="58" t="s">
        <v>1919</v>
      </c>
      <c r="E95" s="58" t="s">
        <v>2226</v>
      </c>
      <c r="F95" s="58" t="s">
        <v>1982</v>
      </c>
      <c r="G95" s="58" t="s">
        <v>30</v>
      </c>
      <c r="H95" s="58" t="s">
        <v>2206</v>
      </c>
      <c r="I95" s="58" t="s">
        <v>1922</v>
      </c>
      <c r="J95" s="58" t="s">
        <v>1922</v>
      </c>
      <c r="K95" s="58" t="s">
        <v>1922</v>
      </c>
      <c r="L95" s="58" t="s">
        <v>1922</v>
      </c>
      <c r="M95" s="58" t="s">
        <v>1922</v>
      </c>
      <c r="N95" s="58" t="s">
        <v>1922</v>
      </c>
      <c r="O95" s="58" t="s">
        <v>1922</v>
      </c>
      <c r="P95" s="58" t="s">
        <v>1922</v>
      </c>
      <c r="Q95" s="58" t="s">
        <v>1922</v>
      </c>
      <c r="R95" s="58" t="s">
        <v>1922</v>
      </c>
      <c r="S95" s="58" t="s">
        <v>1922</v>
      </c>
      <c r="T95" s="58" t="s">
        <v>1922</v>
      </c>
      <c r="U95" s="58" t="s">
        <v>1922</v>
      </c>
    </row>
    <row r="96" spans="1:21">
      <c r="A96" s="1" t="s">
        <v>2227</v>
      </c>
      <c r="B96" s="1" t="s">
        <v>2228</v>
      </c>
      <c r="C96" s="1" t="s">
        <v>2229</v>
      </c>
      <c r="D96" s="1" t="s">
        <v>1919</v>
      </c>
      <c r="E96" s="1" t="s">
        <v>2230</v>
      </c>
      <c r="F96" s="1" t="s">
        <v>62</v>
      </c>
      <c r="G96" s="1" t="s">
        <v>1465</v>
      </c>
      <c r="H96" s="1" t="s">
        <v>2231</v>
      </c>
      <c r="I96" s="1" t="s">
        <v>1922</v>
      </c>
      <c r="J96" s="1" t="s">
        <v>1922</v>
      </c>
      <c r="K96" s="1" t="s">
        <v>1922</v>
      </c>
      <c r="L96" s="1" t="s">
        <v>1922</v>
      </c>
      <c r="M96" s="1" t="s">
        <v>1922</v>
      </c>
      <c r="N96" s="1" t="s">
        <v>1922</v>
      </c>
      <c r="O96" s="1" t="s">
        <v>1922</v>
      </c>
      <c r="P96" s="1" t="s">
        <v>1922</v>
      </c>
      <c r="Q96" s="1" t="s">
        <v>1922</v>
      </c>
      <c r="R96" s="1" t="s">
        <v>1922</v>
      </c>
      <c r="S96" s="1" t="s">
        <v>1922</v>
      </c>
      <c r="T96" s="1" t="s">
        <v>1922</v>
      </c>
      <c r="U96" s="1" t="s">
        <v>1922</v>
      </c>
    </row>
    <row r="97" spans="1:21">
      <c r="A97" s="1" t="s">
        <v>2232</v>
      </c>
      <c r="B97" s="1" t="s">
        <v>2233</v>
      </c>
      <c r="C97" s="1" t="s">
        <v>2234</v>
      </c>
      <c r="D97" s="1" t="s">
        <v>1919</v>
      </c>
      <c r="E97" s="1" t="s">
        <v>2235</v>
      </c>
      <c r="F97" s="1" t="s">
        <v>1465</v>
      </c>
      <c r="G97" s="1" t="s">
        <v>2231</v>
      </c>
      <c r="H97" s="1" t="s">
        <v>1922</v>
      </c>
      <c r="I97" s="1" t="s">
        <v>1922</v>
      </c>
      <c r="J97" s="1" t="s">
        <v>1922</v>
      </c>
      <c r="K97" s="1" t="s">
        <v>1922</v>
      </c>
      <c r="L97" s="1" t="s">
        <v>1922</v>
      </c>
      <c r="M97" s="1" t="s">
        <v>1922</v>
      </c>
      <c r="N97" s="1" t="s">
        <v>1922</v>
      </c>
      <c r="O97" s="1" t="s">
        <v>1922</v>
      </c>
      <c r="P97" s="1" t="s">
        <v>1922</v>
      </c>
      <c r="Q97" s="1" t="s">
        <v>1922</v>
      </c>
      <c r="R97" s="1" t="s">
        <v>1922</v>
      </c>
      <c r="S97" s="1" t="s">
        <v>1922</v>
      </c>
      <c r="T97" s="1" t="s">
        <v>1922</v>
      </c>
      <c r="U97" s="1" t="s">
        <v>1922</v>
      </c>
    </row>
    <row r="98" spans="1:21">
      <c r="A98" s="1" t="s">
        <v>2236</v>
      </c>
      <c r="B98" s="1" t="s">
        <v>2237</v>
      </c>
      <c r="C98" s="1" t="s">
        <v>2238</v>
      </c>
      <c r="D98" s="1" t="s">
        <v>1919</v>
      </c>
      <c r="E98" s="1" t="s">
        <v>2239</v>
      </c>
      <c r="F98" s="1" t="s">
        <v>1465</v>
      </c>
      <c r="G98" s="1" t="s">
        <v>2231</v>
      </c>
      <c r="H98" s="1" t="s">
        <v>1922</v>
      </c>
      <c r="I98" s="1" t="s">
        <v>1922</v>
      </c>
      <c r="J98" s="1" t="s">
        <v>1922</v>
      </c>
      <c r="K98" s="1" t="s">
        <v>1922</v>
      </c>
      <c r="L98" s="1" t="s">
        <v>1922</v>
      </c>
      <c r="M98" s="1" t="s">
        <v>1922</v>
      </c>
      <c r="N98" s="1" t="s">
        <v>1922</v>
      </c>
      <c r="O98" s="1" t="s">
        <v>1922</v>
      </c>
      <c r="P98" s="1" t="s">
        <v>1922</v>
      </c>
      <c r="Q98" s="1" t="s">
        <v>1922</v>
      </c>
      <c r="R98" s="1" t="s">
        <v>1922</v>
      </c>
      <c r="S98" s="1" t="s">
        <v>1922</v>
      </c>
      <c r="T98" s="1" t="s">
        <v>1922</v>
      </c>
      <c r="U98" s="1" t="s">
        <v>1922</v>
      </c>
    </row>
    <row r="99" spans="1:21">
      <c r="A99" s="1" t="s">
        <v>2240</v>
      </c>
      <c r="B99" s="1" t="s">
        <v>2241</v>
      </c>
      <c r="C99" s="1" t="s">
        <v>2242</v>
      </c>
      <c r="D99" s="1" t="s">
        <v>1919</v>
      </c>
      <c r="E99" s="1" t="s">
        <v>2243</v>
      </c>
      <c r="F99" s="1" t="s">
        <v>1465</v>
      </c>
      <c r="G99" s="1" t="s">
        <v>2231</v>
      </c>
      <c r="H99" s="1" t="s">
        <v>1922</v>
      </c>
      <c r="I99" s="1" t="s">
        <v>1922</v>
      </c>
      <c r="J99" s="1" t="s">
        <v>1922</v>
      </c>
      <c r="K99" s="1" t="s">
        <v>1922</v>
      </c>
      <c r="L99" s="1" t="s">
        <v>1922</v>
      </c>
      <c r="M99" s="1" t="s">
        <v>1922</v>
      </c>
      <c r="N99" s="1" t="s">
        <v>1922</v>
      </c>
      <c r="O99" s="1" t="s">
        <v>1922</v>
      </c>
      <c r="P99" s="1" t="s">
        <v>1922</v>
      </c>
      <c r="Q99" s="1" t="s">
        <v>1922</v>
      </c>
      <c r="R99" s="1" t="s">
        <v>1922</v>
      </c>
      <c r="S99" s="1" t="s">
        <v>1922</v>
      </c>
      <c r="T99" s="1" t="s">
        <v>1922</v>
      </c>
      <c r="U99" s="1" t="s">
        <v>1922</v>
      </c>
    </row>
    <row r="100" spans="1:21">
      <c r="A100" s="58" t="s">
        <v>2244</v>
      </c>
      <c r="B100" s="58" t="s">
        <v>2245</v>
      </c>
      <c r="C100" s="58" t="s">
        <v>2246</v>
      </c>
      <c r="D100" s="58" t="s">
        <v>1919</v>
      </c>
      <c r="E100" s="58" t="s">
        <v>2247</v>
      </c>
      <c r="F100" s="58" t="s">
        <v>381</v>
      </c>
      <c r="G100" s="58" t="s">
        <v>1970</v>
      </c>
      <c r="H100" s="58" t="s">
        <v>23</v>
      </c>
      <c r="I100" s="58" t="s">
        <v>1977</v>
      </c>
      <c r="J100" s="58" t="s">
        <v>1922</v>
      </c>
      <c r="K100" s="58" t="s">
        <v>1922</v>
      </c>
      <c r="L100" s="58" t="s">
        <v>1922</v>
      </c>
      <c r="M100" s="58" t="s">
        <v>1922</v>
      </c>
      <c r="N100" s="58" t="s">
        <v>1922</v>
      </c>
      <c r="O100" s="58" t="s">
        <v>1922</v>
      </c>
      <c r="P100" s="58" t="s">
        <v>1922</v>
      </c>
      <c r="Q100" s="58" t="s">
        <v>1922</v>
      </c>
      <c r="R100" s="58" t="s">
        <v>1922</v>
      </c>
      <c r="S100" s="58" t="s">
        <v>1922</v>
      </c>
      <c r="T100" s="58" t="s">
        <v>1922</v>
      </c>
      <c r="U100" s="58" t="s">
        <v>1922</v>
      </c>
    </row>
    <row r="101" spans="1:21">
      <c r="A101" s="1" t="s">
        <v>599</v>
      </c>
      <c r="B101" s="1" t="s">
        <v>2248</v>
      </c>
      <c r="C101" s="1" t="s">
        <v>598</v>
      </c>
      <c r="D101" s="1" t="s">
        <v>1919</v>
      </c>
      <c r="E101" s="1" t="s">
        <v>2249</v>
      </c>
      <c r="F101" s="1" t="s">
        <v>2073</v>
      </c>
      <c r="G101" s="1" t="s">
        <v>1970</v>
      </c>
      <c r="H101" s="1" t="s">
        <v>407</v>
      </c>
      <c r="I101" s="1" t="s">
        <v>2181</v>
      </c>
      <c r="J101" s="1" t="s">
        <v>1977</v>
      </c>
      <c r="K101" s="1" t="s">
        <v>1922</v>
      </c>
      <c r="L101" s="1" t="s">
        <v>1922</v>
      </c>
      <c r="M101" s="1" t="s">
        <v>1922</v>
      </c>
      <c r="N101" s="1" t="s">
        <v>1922</v>
      </c>
      <c r="O101" s="1" t="s">
        <v>1922</v>
      </c>
      <c r="P101" s="1" t="s">
        <v>1922</v>
      </c>
      <c r="Q101" s="1" t="s">
        <v>1922</v>
      </c>
      <c r="R101" s="1" t="s">
        <v>1922</v>
      </c>
      <c r="S101" s="1" t="s">
        <v>1922</v>
      </c>
      <c r="T101" s="1" t="s">
        <v>1922</v>
      </c>
      <c r="U101" s="1" t="s">
        <v>1922</v>
      </c>
    </row>
    <row r="102" spans="1:21">
      <c r="A102" s="1" t="s">
        <v>714</v>
      </c>
      <c r="B102" s="1" t="s">
        <v>2250</v>
      </c>
      <c r="C102" s="1" t="s">
        <v>713</v>
      </c>
      <c r="D102" s="1" t="s">
        <v>1919</v>
      </c>
      <c r="E102" s="1" t="s">
        <v>2251</v>
      </c>
      <c r="F102" s="1" t="s">
        <v>2252</v>
      </c>
      <c r="G102" s="1" t="s">
        <v>2253</v>
      </c>
      <c r="H102" s="1" t="s">
        <v>2254</v>
      </c>
      <c r="I102" s="1" t="s">
        <v>1922</v>
      </c>
      <c r="J102" s="1" t="s">
        <v>1922</v>
      </c>
      <c r="K102" s="1" t="s">
        <v>1922</v>
      </c>
      <c r="L102" s="1" t="s">
        <v>1922</v>
      </c>
      <c r="M102" s="1" t="s">
        <v>1922</v>
      </c>
      <c r="N102" s="1" t="s">
        <v>1922</v>
      </c>
      <c r="O102" s="1" t="s">
        <v>1922</v>
      </c>
      <c r="P102" s="1" t="s">
        <v>1922</v>
      </c>
      <c r="Q102" s="1" t="s">
        <v>1922</v>
      </c>
      <c r="R102" s="1" t="s">
        <v>1922</v>
      </c>
      <c r="S102" s="1" t="s">
        <v>1922</v>
      </c>
      <c r="T102" s="1" t="s">
        <v>1922</v>
      </c>
      <c r="U102" s="1" t="s">
        <v>1922</v>
      </c>
    </row>
    <row r="103" spans="1:21">
      <c r="A103" s="1" t="s">
        <v>718</v>
      </c>
      <c r="B103" s="1" t="s">
        <v>2255</v>
      </c>
      <c r="C103" s="1" t="s">
        <v>717</v>
      </c>
      <c r="D103" s="1" t="s">
        <v>1919</v>
      </c>
      <c r="E103" s="1" t="s">
        <v>2256</v>
      </c>
      <c r="F103" s="1" t="s">
        <v>2252</v>
      </c>
      <c r="G103" s="1" t="s">
        <v>2253</v>
      </c>
      <c r="H103" s="1" t="s">
        <v>2254</v>
      </c>
      <c r="I103" s="1" t="s">
        <v>1922</v>
      </c>
      <c r="J103" s="1" t="s">
        <v>1922</v>
      </c>
      <c r="K103" s="1" t="s">
        <v>1922</v>
      </c>
      <c r="L103" s="1" t="s">
        <v>1922</v>
      </c>
      <c r="M103" s="1" t="s">
        <v>1922</v>
      </c>
      <c r="N103" s="1" t="s">
        <v>1922</v>
      </c>
      <c r="O103" s="1" t="s">
        <v>1922</v>
      </c>
      <c r="P103" s="1" t="s">
        <v>1922</v>
      </c>
      <c r="Q103" s="1" t="s">
        <v>1922</v>
      </c>
      <c r="R103" s="1" t="s">
        <v>1922</v>
      </c>
      <c r="S103" s="1" t="s">
        <v>1922</v>
      </c>
      <c r="T103" s="1" t="s">
        <v>1922</v>
      </c>
      <c r="U103" s="1" t="s">
        <v>1922</v>
      </c>
    </row>
    <row r="104" spans="1:21">
      <c r="A104" s="1" t="s">
        <v>775</v>
      </c>
      <c r="B104" s="1" t="s">
        <v>2257</v>
      </c>
      <c r="C104" s="1" t="s">
        <v>2258</v>
      </c>
      <c r="D104" s="1" t="s">
        <v>1919</v>
      </c>
      <c r="E104" s="1" t="s">
        <v>2259</v>
      </c>
      <c r="F104" s="1" t="s">
        <v>402</v>
      </c>
      <c r="G104" s="1" t="s">
        <v>2260</v>
      </c>
      <c r="H104" s="1" t="s">
        <v>2261</v>
      </c>
      <c r="I104" s="1" t="s">
        <v>1922</v>
      </c>
      <c r="J104" s="1" t="s">
        <v>1922</v>
      </c>
      <c r="K104" s="1" t="s">
        <v>1922</v>
      </c>
      <c r="L104" s="1" t="s">
        <v>1922</v>
      </c>
      <c r="M104" s="1" t="s">
        <v>1922</v>
      </c>
      <c r="N104" s="1" t="s">
        <v>1922</v>
      </c>
      <c r="O104" s="1" t="s">
        <v>1922</v>
      </c>
      <c r="P104" s="1" t="s">
        <v>1922</v>
      </c>
      <c r="Q104" s="1" t="s">
        <v>1922</v>
      </c>
      <c r="R104" s="1" t="s">
        <v>1922</v>
      </c>
      <c r="S104" s="1" t="s">
        <v>1922</v>
      </c>
      <c r="T104" s="1" t="s">
        <v>1922</v>
      </c>
      <c r="U104" s="1" t="s">
        <v>1922</v>
      </c>
    </row>
    <row r="105" spans="1:21">
      <c r="A105" s="1" t="s">
        <v>771</v>
      </c>
      <c r="B105" s="1" t="s">
        <v>2262</v>
      </c>
      <c r="C105" s="1" t="s">
        <v>770</v>
      </c>
      <c r="D105" s="1" t="s">
        <v>1919</v>
      </c>
      <c r="E105" s="1" t="s">
        <v>2263</v>
      </c>
      <c r="F105" s="1" t="s">
        <v>402</v>
      </c>
      <c r="G105" s="1" t="s">
        <v>2260</v>
      </c>
      <c r="H105" s="1" t="s">
        <v>2261</v>
      </c>
      <c r="I105" s="1" t="s">
        <v>1922</v>
      </c>
      <c r="J105" s="1" t="s">
        <v>1922</v>
      </c>
      <c r="K105" s="1" t="s">
        <v>1922</v>
      </c>
      <c r="L105" s="1" t="s">
        <v>1922</v>
      </c>
      <c r="M105" s="1" t="s">
        <v>1922</v>
      </c>
      <c r="N105" s="1" t="s">
        <v>1922</v>
      </c>
      <c r="O105" s="1" t="s">
        <v>1922</v>
      </c>
      <c r="P105" s="1" t="s">
        <v>1922</v>
      </c>
      <c r="Q105" s="1" t="s">
        <v>1922</v>
      </c>
      <c r="R105" s="1" t="s">
        <v>1922</v>
      </c>
      <c r="S105" s="1" t="s">
        <v>1922</v>
      </c>
      <c r="T105" s="1" t="s">
        <v>1922</v>
      </c>
      <c r="U105" s="1" t="s">
        <v>1922</v>
      </c>
    </row>
    <row r="106" spans="1:21">
      <c r="A106" s="1" t="s">
        <v>767</v>
      </c>
      <c r="B106" s="1" t="s">
        <v>2264</v>
      </c>
      <c r="C106" s="1" t="s">
        <v>2265</v>
      </c>
      <c r="D106" s="1" t="s">
        <v>1919</v>
      </c>
      <c r="E106" s="1" t="s">
        <v>2266</v>
      </c>
      <c r="F106" s="1" t="s">
        <v>402</v>
      </c>
      <c r="G106" s="1" t="s">
        <v>2260</v>
      </c>
      <c r="H106" s="1" t="s">
        <v>2261</v>
      </c>
      <c r="I106" s="1" t="s">
        <v>1922</v>
      </c>
      <c r="J106" s="1" t="s">
        <v>1922</v>
      </c>
      <c r="K106" s="1" t="s">
        <v>1922</v>
      </c>
      <c r="L106" s="1" t="s">
        <v>1922</v>
      </c>
      <c r="M106" s="1" t="s">
        <v>1922</v>
      </c>
      <c r="N106" s="1" t="s">
        <v>1922</v>
      </c>
      <c r="O106" s="1" t="s">
        <v>1922</v>
      </c>
      <c r="P106" s="1" t="s">
        <v>1922</v>
      </c>
      <c r="Q106" s="1" t="s">
        <v>1922</v>
      </c>
      <c r="R106" s="1" t="s">
        <v>1922</v>
      </c>
      <c r="S106" s="1" t="s">
        <v>1922</v>
      </c>
      <c r="T106" s="1" t="s">
        <v>1922</v>
      </c>
      <c r="U106" s="1" t="s">
        <v>1922</v>
      </c>
    </row>
    <row r="107" spans="1:21">
      <c r="A107" s="1" t="s">
        <v>762</v>
      </c>
      <c r="B107" s="1" t="s">
        <v>2267</v>
      </c>
      <c r="C107" s="1" t="s">
        <v>761</v>
      </c>
      <c r="D107" s="1" t="s">
        <v>1919</v>
      </c>
      <c r="E107" s="1" t="s">
        <v>2268</v>
      </c>
      <c r="F107" s="1" t="s">
        <v>402</v>
      </c>
      <c r="G107" s="1" t="s">
        <v>2260</v>
      </c>
      <c r="H107" s="1" t="s">
        <v>2261</v>
      </c>
      <c r="I107" s="1" t="s">
        <v>1922</v>
      </c>
      <c r="J107" s="1" t="s">
        <v>1922</v>
      </c>
      <c r="K107" s="1" t="s">
        <v>1922</v>
      </c>
      <c r="L107" s="1" t="s">
        <v>1922</v>
      </c>
      <c r="M107" s="1" t="s">
        <v>1922</v>
      </c>
      <c r="N107" s="1" t="s">
        <v>1922</v>
      </c>
      <c r="O107" s="1" t="s">
        <v>1922</v>
      </c>
      <c r="P107" s="1" t="s">
        <v>1922</v>
      </c>
      <c r="Q107" s="1" t="s">
        <v>1922</v>
      </c>
      <c r="R107" s="1" t="s">
        <v>1922</v>
      </c>
      <c r="S107" s="1" t="s">
        <v>1922</v>
      </c>
      <c r="T107" s="1" t="s">
        <v>1922</v>
      </c>
      <c r="U107" s="1" t="s">
        <v>1922</v>
      </c>
    </row>
    <row r="108" spans="1:21">
      <c r="A108" s="1" t="s">
        <v>802</v>
      </c>
      <c r="B108" s="1" t="s">
        <v>2269</v>
      </c>
      <c r="C108" s="1" t="s">
        <v>2270</v>
      </c>
      <c r="D108" s="1" t="s">
        <v>1919</v>
      </c>
      <c r="E108" s="1" t="s">
        <v>2271</v>
      </c>
      <c r="F108" s="1" t="s">
        <v>409</v>
      </c>
      <c r="G108" s="1" t="s">
        <v>1985</v>
      </c>
      <c r="H108" s="1" t="s">
        <v>1922</v>
      </c>
      <c r="I108" s="1" t="s">
        <v>1922</v>
      </c>
      <c r="J108" s="1" t="s">
        <v>1922</v>
      </c>
      <c r="K108" s="1" t="s">
        <v>1922</v>
      </c>
      <c r="L108" s="1" t="s">
        <v>1922</v>
      </c>
      <c r="M108" s="1" t="s">
        <v>1922</v>
      </c>
      <c r="N108" s="1" t="s">
        <v>1922</v>
      </c>
      <c r="O108" s="1" t="s">
        <v>1922</v>
      </c>
      <c r="P108" s="1" t="s">
        <v>1922</v>
      </c>
      <c r="Q108" s="1" t="s">
        <v>1922</v>
      </c>
      <c r="R108" s="1" t="s">
        <v>1922</v>
      </c>
      <c r="S108" s="1" t="s">
        <v>1922</v>
      </c>
      <c r="T108" s="1" t="s">
        <v>1922</v>
      </c>
      <c r="U108" s="1" t="s">
        <v>1922</v>
      </c>
    </row>
    <row r="109" spans="1:21">
      <c r="A109" s="1" t="s">
        <v>2272</v>
      </c>
      <c r="B109" s="1" t="s">
        <v>2273</v>
      </c>
      <c r="C109" s="1" t="s">
        <v>792</v>
      </c>
      <c r="D109" s="1" t="s">
        <v>1919</v>
      </c>
      <c r="E109" s="1" t="s">
        <v>2274</v>
      </c>
      <c r="F109" s="1" t="s">
        <v>409</v>
      </c>
      <c r="G109" s="1" t="s">
        <v>1985</v>
      </c>
      <c r="H109" s="1" t="s">
        <v>1922</v>
      </c>
      <c r="I109" s="1" t="s">
        <v>1922</v>
      </c>
      <c r="J109" s="1" t="s">
        <v>1922</v>
      </c>
      <c r="K109" s="1" t="s">
        <v>1922</v>
      </c>
      <c r="L109" s="1" t="s">
        <v>1922</v>
      </c>
      <c r="M109" s="1" t="s">
        <v>1922</v>
      </c>
      <c r="N109" s="1" t="s">
        <v>1922</v>
      </c>
      <c r="O109" s="1" t="s">
        <v>1922</v>
      </c>
      <c r="P109" s="1" t="s">
        <v>1922</v>
      </c>
      <c r="Q109" s="1" t="s">
        <v>1922</v>
      </c>
      <c r="R109" s="1" t="s">
        <v>1922</v>
      </c>
      <c r="S109" s="1" t="s">
        <v>1922</v>
      </c>
      <c r="T109" s="1" t="s">
        <v>1922</v>
      </c>
      <c r="U109" s="1" t="s">
        <v>1922</v>
      </c>
    </row>
    <row r="110" spans="1:21">
      <c r="A110" s="1" t="s">
        <v>735</v>
      </c>
      <c r="B110" s="1" t="s">
        <v>2275</v>
      </c>
      <c r="C110" s="1" t="s">
        <v>2276</v>
      </c>
      <c r="D110" s="1" t="s">
        <v>1919</v>
      </c>
      <c r="E110" s="1" t="s">
        <v>2277</v>
      </c>
      <c r="F110" s="1" t="s">
        <v>409</v>
      </c>
      <c r="G110" s="1" t="s">
        <v>1985</v>
      </c>
      <c r="H110" s="1" t="s">
        <v>1922</v>
      </c>
      <c r="I110" s="1" t="s">
        <v>1922</v>
      </c>
      <c r="J110" s="1" t="s">
        <v>1922</v>
      </c>
      <c r="K110" s="1" t="s">
        <v>1922</v>
      </c>
      <c r="L110" s="1" t="s">
        <v>1922</v>
      </c>
      <c r="M110" s="1" t="s">
        <v>1922</v>
      </c>
      <c r="N110" s="1" t="s">
        <v>1922</v>
      </c>
      <c r="O110" s="1" t="s">
        <v>1922</v>
      </c>
      <c r="P110" s="1" t="s">
        <v>1922</v>
      </c>
      <c r="Q110" s="1" t="s">
        <v>1922</v>
      </c>
      <c r="R110" s="1" t="s">
        <v>1922</v>
      </c>
      <c r="S110" s="1" t="s">
        <v>1922</v>
      </c>
      <c r="T110" s="1" t="s">
        <v>1922</v>
      </c>
      <c r="U110" s="1" t="s">
        <v>1922</v>
      </c>
    </row>
    <row r="111" spans="1:21">
      <c r="A111" s="1" t="s">
        <v>810</v>
      </c>
      <c r="B111" s="1" t="s">
        <v>2278</v>
      </c>
      <c r="C111" s="1" t="s">
        <v>809</v>
      </c>
      <c r="D111" s="1" t="s">
        <v>1919</v>
      </c>
      <c r="E111" s="1" t="s">
        <v>2279</v>
      </c>
      <c r="F111" s="1" t="s">
        <v>409</v>
      </c>
      <c r="G111" s="1" t="s">
        <v>1985</v>
      </c>
      <c r="H111" s="1" t="s">
        <v>1922</v>
      </c>
      <c r="I111" s="1" t="s">
        <v>1922</v>
      </c>
      <c r="J111" s="1" t="s">
        <v>1922</v>
      </c>
      <c r="K111" s="1" t="s">
        <v>1922</v>
      </c>
      <c r="L111" s="1" t="s">
        <v>1922</v>
      </c>
      <c r="M111" s="1" t="s">
        <v>1922</v>
      </c>
      <c r="N111" s="1" t="s">
        <v>1922</v>
      </c>
      <c r="O111" s="1" t="s">
        <v>1922</v>
      </c>
      <c r="P111" s="1" t="s">
        <v>1922</v>
      </c>
      <c r="Q111" s="1" t="s">
        <v>1922</v>
      </c>
      <c r="R111" s="1" t="s">
        <v>1922</v>
      </c>
      <c r="S111" s="1" t="s">
        <v>1922</v>
      </c>
      <c r="T111" s="1" t="s">
        <v>1922</v>
      </c>
      <c r="U111" s="1" t="s">
        <v>1922</v>
      </c>
    </row>
    <row r="112" spans="1:21">
      <c r="A112" s="1" t="s">
        <v>1767</v>
      </c>
      <c r="B112" s="1" t="s">
        <v>2280</v>
      </c>
      <c r="C112" s="1" t="s">
        <v>2281</v>
      </c>
      <c r="D112" s="1" t="s">
        <v>1919</v>
      </c>
      <c r="E112" s="1" t="s">
        <v>2282</v>
      </c>
      <c r="F112" s="1" t="s">
        <v>409</v>
      </c>
      <c r="G112" s="1" t="s">
        <v>1985</v>
      </c>
      <c r="H112" s="1" t="s">
        <v>1922</v>
      </c>
      <c r="I112" s="1" t="s">
        <v>1922</v>
      </c>
      <c r="J112" s="1" t="s">
        <v>1922</v>
      </c>
      <c r="K112" s="1" t="s">
        <v>1922</v>
      </c>
      <c r="L112" s="1" t="s">
        <v>1922</v>
      </c>
      <c r="M112" s="1" t="s">
        <v>1922</v>
      </c>
      <c r="N112" s="1" t="s">
        <v>1922</v>
      </c>
      <c r="O112" s="1" t="s">
        <v>1922</v>
      </c>
      <c r="P112" s="1" t="s">
        <v>1922</v>
      </c>
      <c r="Q112" s="1" t="s">
        <v>1922</v>
      </c>
      <c r="R112" s="1" t="s">
        <v>1922</v>
      </c>
      <c r="S112" s="1" t="s">
        <v>1922</v>
      </c>
      <c r="T112" s="1" t="s">
        <v>1922</v>
      </c>
      <c r="U112" s="1" t="s">
        <v>1922</v>
      </c>
    </row>
    <row r="113" spans="1:21">
      <c r="A113" s="1" t="s">
        <v>860</v>
      </c>
      <c r="B113" s="1" t="s">
        <v>2283</v>
      </c>
      <c r="C113" s="1" t="s">
        <v>859</v>
      </c>
      <c r="D113" s="1" t="s">
        <v>1919</v>
      </c>
      <c r="E113" s="1" t="s">
        <v>2284</v>
      </c>
      <c r="F113" s="1" t="s">
        <v>100</v>
      </c>
      <c r="G113" s="1" t="s">
        <v>1951</v>
      </c>
      <c r="H113" s="1" t="s">
        <v>2032</v>
      </c>
      <c r="I113" s="1" t="s">
        <v>409</v>
      </c>
      <c r="J113" s="1" t="s">
        <v>77</v>
      </c>
      <c r="K113" s="1" t="s">
        <v>387</v>
      </c>
      <c r="L113" s="1" t="s">
        <v>2017</v>
      </c>
      <c r="M113" s="1" t="s">
        <v>2285</v>
      </c>
      <c r="N113" s="1" t="s">
        <v>1922</v>
      </c>
      <c r="O113" s="1" t="s">
        <v>1922</v>
      </c>
      <c r="P113" s="1" t="s">
        <v>1922</v>
      </c>
      <c r="Q113" s="1" t="s">
        <v>1922</v>
      </c>
      <c r="R113" s="1" t="s">
        <v>1922</v>
      </c>
      <c r="S113" s="1" t="s">
        <v>1922</v>
      </c>
      <c r="T113" s="1" t="s">
        <v>1922</v>
      </c>
      <c r="U113" s="1" t="s">
        <v>1922</v>
      </c>
    </row>
    <row r="114" spans="1:21">
      <c r="A114" s="1" t="s">
        <v>830</v>
      </c>
      <c r="B114" s="1" t="s">
        <v>2286</v>
      </c>
      <c r="C114" s="1" t="s">
        <v>829</v>
      </c>
      <c r="D114" s="1" t="s">
        <v>1919</v>
      </c>
      <c r="E114" s="1" t="s">
        <v>2287</v>
      </c>
      <c r="F114" s="1" t="s">
        <v>2062</v>
      </c>
      <c r="G114" s="1" t="s">
        <v>2063</v>
      </c>
      <c r="H114" s="1" t="s">
        <v>1964</v>
      </c>
      <c r="I114" s="1" t="s">
        <v>2064</v>
      </c>
      <c r="J114" s="1" t="s">
        <v>2065</v>
      </c>
      <c r="K114" s="1" t="s">
        <v>1922</v>
      </c>
      <c r="L114" s="1" t="s">
        <v>1922</v>
      </c>
      <c r="M114" s="1" t="s">
        <v>1922</v>
      </c>
      <c r="N114" s="1" t="s">
        <v>1922</v>
      </c>
      <c r="O114" s="1" t="s">
        <v>1922</v>
      </c>
      <c r="P114" s="1" t="s">
        <v>1922</v>
      </c>
      <c r="Q114" s="1" t="s">
        <v>1922</v>
      </c>
      <c r="R114" s="1" t="s">
        <v>1922</v>
      </c>
      <c r="S114" s="1" t="s">
        <v>1922</v>
      </c>
      <c r="T114" s="1" t="s">
        <v>1922</v>
      </c>
      <c r="U114" s="1" t="s">
        <v>1922</v>
      </c>
    </row>
    <row r="115" spans="1:21">
      <c r="A115" s="1" t="s">
        <v>1859</v>
      </c>
      <c r="B115" s="1" t="s">
        <v>2288</v>
      </c>
      <c r="C115" s="1" t="s">
        <v>2289</v>
      </c>
      <c r="D115" s="1" t="s">
        <v>1919</v>
      </c>
      <c r="E115" s="1" t="s">
        <v>2290</v>
      </c>
      <c r="F115" s="1" t="s">
        <v>390</v>
      </c>
      <c r="G115" s="1" t="s">
        <v>409</v>
      </c>
      <c r="H115" s="1" t="s">
        <v>1964</v>
      </c>
      <c r="I115" s="1" t="s">
        <v>1922</v>
      </c>
      <c r="J115" s="1" t="s">
        <v>1922</v>
      </c>
      <c r="K115" s="1" t="s">
        <v>1922</v>
      </c>
      <c r="L115" s="1" t="s">
        <v>1922</v>
      </c>
      <c r="M115" s="1" t="s">
        <v>1922</v>
      </c>
      <c r="N115" s="1" t="s">
        <v>1922</v>
      </c>
      <c r="O115" s="1" t="s">
        <v>1922</v>
      </c>
      <c r="P115" s="1" t="s">
        <v>1922</v>
      </c>
      <c r="Q115" s="1" t="s">
        <v>1922</v>
      </c>
      <c r="R115" s="1" t="s">
        <v>1922</v>
      </c>
      <c r="S115" s="1" t="s">
        <v>1922</v>
      </c>
      <c r="T115" s="1" t="s">
        <v>1922</v>
      </c>
      <c r="U115" s="1" t="s">
        <v>1922</v>
      </c>
    </row>
    <row r="116" spans="1:21">
      <c r="A116" s="1" t="s">
        <v>2291</v>
      </c>
      <c r="B116" s="1" t="s">
        <v>2292</v>
      </c>
      <c r="C116" s="1" t="s">
        <v>2293</v>
      </c>
      <c r="D116" s="1" t="s">
        <v>1919</v>
      </c>
      <c r="E116" s="1" t="s">
        <v>2294</v>
      </c>
      <c r="F116" s="1" t="s">
        <v>381</v>
      </c>
      <c r="G116" s="1" t="s">
        <v>390</v>
      </c>
      <c r="H116" s="1" t="s">
        <v>1922</v>
      </c>
      <c r="I116" s="1" t="s">
        <v>1922</v>
      </c>
      <c r="J116" s="1" t="s">
        <v>1922</v>
      </c>
      <c r="K116" s="1" t="s">
        <v>1922</v>
      </c>
      <c r="L116" s="1" t="s">
        <v>1922</v>
      </c>
      <c r="M116" s="1" t="s">
        <v>1922</v>
      </c>
      <c r="N116" s="1" t="s">
        <v>1922</v>
      </c>
      <c r="O116" s="1" t="s">
        <v>1922</v>
      </c>
      <c r="P116" s="1" t="s">
        <v>1922</v>
      </c>
      <c r="Q116" s="1" t="s">
        <v>1922</v>
      </c>
      <c r="R116" s="1" t="s">
        <v>1922</v>
      </c>
      <c r="S116" s="1" t="s">
        <v>1922</v>
      </c>
      <c r="T116" s="1" t="s">
        <v>1922</v>
      </c>
      <c r="U116" s="1" t="s">
        <v>1922</v>
      </c>
    </row>
    <row r="117" spans="1:21">
      <c r="A117" s="1" t="s">
        <v>1107</v>
      </c>
      <c r="B117" s="1" t="s">
        <v>2295</v>
      </c>
      <c r="C117" s="1" t="s">
        <v>2296</v>
      </c>
      <c r="D117" s="1" t="s">
        <v>1919</v>
      </c>
      <c r="E117" s="1" t="s">
        <v>2297</v>
      </c>
      <c r="F117" s="1" t="s">
        <v>1939</v>
      </c>
      <c r="G117" s="1" t="s">
        <v>1922</v>
      </c>
      <c r="H117" s="1" t="s">
        <v>1922</v>
      </c>
      <c r="I117" s="1" t="s">
        <v>1922</v>
      </c>
      <c r="J117" s="1" t="s">
        <v>1922</v>
      </c>
      <c r="K117" s="1" t="s">
        <v>1922</v>
      </c>
      <c r="L117" s="1" t="s">
        <v>1922</v>
      </c>
      <c r="M117" s="1" t="s">
        <v>1922</v>
      </c>
      <c r="N117" s="1" t="s">
        <v>1922</v>
      </c>
      <c r="O117" s="1" t="s">
        <v>1922</v>
      </c>
      <c r="P117" s="1" t="s">
        <v>1922</v>
      </c>
      <c r="Q117" s="1" t="s">
        <v>1922</v>
      </c>
      <c r="R117" s="1" t="s">
        <v>1922</v>
      </c>
      <c r="S117" s="1" t="s">
        <v>1922</v>
      </c>
      <c r="T117" s="1" t="s">
        <v>1922</v>
      </c>
      <c r="U117" s="1" t="s">
        <v>1922</v>
      </c>
    </row>
    <row r="118" spans="1:21">
      <c r="A118" s="1" t="s">
        <v>1033</v>
      </c>
      <c r="B118" s="1" t="s">
        <v>2298</v>
      </c>
      <c r="C118" s="1" t="s">
        <v>1032</v>
      </c>
      <c r="D118" s="1" t="s">
        <v>1919</v>
      </c>
      <c r="E118" s="1" t="s">
        <v>2299</v>
      </c>
      <c r="F118" s="1" t="s">
        <v>1888</v>
      </c>
      <c r="G118" s="1" t="s">
        <v>1948</v>
      </c>
      <c r="H118" s="1" t="s">
        <v>1893</v>
      </c>
      <c r="I118" s="1" t="s">
        <v>96</v>
      </c>
      <c r="J118" s="1" t="s">
        <v>2300</v>
      </c>
      <c r="K118" s="1" t="s">
        <v>1952</v>
      </c>
      <c r="L118" s="1" t="s">
        <v>351</v>
      </c>
      <c r="M118" s="1" t="s">
        <v>1922</v>
      </c>
      <c r="N118" s="1" t="s">
        <v>1922</v>
      </c>
      <c r="O118" s="1" t="s">
        <v>1922</v>
      </c>
      <c r="P118" s="1" t="s">
        <v>1922</v>
      </c>
      <c r="Q118" s="1" t="s">
        <v>1922</v>
      </c>
      <c r="R118" s="1" t="s">
        <v>1922</v>
      </c>
      <c r="S118" s="1" t="s">
        <v>1922</v>
      </c>
      <c r="T118" s="1" t="s">
        <v>1922</v>
      </c>
      <c r="U118" s="1" t="s">
        <v>1922</v>
      </c>
    </row>
    <row r="119" spans="1:21">
      <c r="A119" s="1" t="s">
        <v>1018</v>
      </c>
      <c r="B119" s="1" t="s">
        <v>2301</v>
      </c>
      <c r="C119" s="1" t="s">
        <v>1885</v>
      </c>
      <c r="D119" s="1" t="s">
        <v>1919</v>
      </c>
      <c r="E119" s="1" t="s">
        <v>2302</v>
      </c>
      <c r="F119" s="1" t="s">
        <v>2073</v>
      </c>
      <c r="G119" s="1" t="s">
        <v>62</v>
      </c>
      <c r="H119" s="1" t="s">
        <v>1930</v>
      </c>
      <c r="I119" s="1" t="s">
        <v>1922</v>
      </c>
      <c r="J119" s="1" t="s">
        <v>1922</v>
      </c>
      <c r="K119" s="1" t="s">
        <v>1922</v>
      </c>
      <c r="L119" s="1" t="s">
        <v>1922</v>
      </c>
      <c r="M119" s="1" t="s">
        <v>1922</v>
      </c>
      <c r="N119" s="1" t="s">
        <v>1922</v>
      </c>
      <c r="O119" s="1" t="s">
        <v>1922</v>
      </c>
      <c r="P119" s="1" t="s">
        <v>1922</v>
      </c>
      <c r="Q119" s="1" t="s">
        <v>1922</v>
      </c>
      <c r="R119" s="1" t="s">
        <v>1922</v>
      </c>
      <c r="S119" s="1" t="s">
        <v>1922</v>
      </c>
      <c r="T119" s="1" t="s">
        <v>1922</v>
      </c>
      <c r="U119" s="1" t="s">
        <v>1922</v>
      </c>
    </row>
    <row r="120" spans="1:21">
      <c r="A120" s="1" t="s">
        <v>2303</v>
      </c>
      <c r="B120" s="1" t="s">
        <v>2304</v>
      </c>
      <c r="C120" s="1" t="s">
        <v>1048</v>
      </c>
      <c r="D120" s="1" t="s">
        <v>1919</v>
      </c>
      <c r="E120" s="1" t="s">
        <v>2305</v>
      </c>
      <c r="F120" s="1" t="s">
        <v>409</v>
      </c>
      <c r="G120" s="1" t="s">
        <v>1964</v>
      </c>
      <c r="H120" s="1" t="s">
        <v>1922</v>
      </c>
      <c r="I120" s="1" t="s">
        <v>1922</v>
      </c>
      <c r="J120" s="1" t="s">
        <v>1922</v>
      </c>
      <c r="K120" s="1" t="s">
        <v>1922</v>
      </c>
      <c r="L120" s="1" t="s">
        <v>1922</v>
      </c>
      <c r="M120" s="1" t="s">
        <v>1922</v>
      </c>
      <c r="N120" s="1" t="s">
        <v>1922</v>
      </c>
      <c r="O120" s="1" t="s">
        <v>1922</v>
      </c>
      <c r="P120" s="1" t="s">
        <v>1922</v>
      </c>
      <c r="Q120" s="1" t="s">
        <v>1922</v>
      </c>
      <c r="R120" s="1" t="s">
        <v>1922</v>
      </c>
      <c r="S120" s="1" t="s">
        <v>1922</v>
      </c>
      <c r="T120" s="1" t="s">
        <v>1922</v>
      </c>
      <c r="U120" s="1" t="s">
        <v>1922</v>
      </c>
    </row>
    <row r="121" spans="1:21">
      <c r="A121" s="59" t="s">
        <v>1041</v>
      </c>
      <c r="B121" s="59" t="s">
        <v>2306</v>
      </c>
      <c r="C121" s="59" t="s">
        <v>1890</v>
      </c>
      <c r="D121" s="59" t="s">
        <v>1919</v>
      </c>
      <c r="E121" s="59" t="s">
        <v>2307</v>
      </c>
      <c r="F121" s="59" t="s">
        <v>381</v>
      </c>
      <c r="G121" s="59" t="s">
        <v>90</v>
      </c>
      <c r="H121" s="59" t="s">
        <v>1922</v>
      </c>
      <c r="I121" s="59" t="s">
        <v>1922</v>
      </c>
      <c r="J121" s="59" t="s">
        <v>1922</v>
      </c>
      <c r="K121" s="59" t="s">
        <v>1922</v>
      </c>
      <c r="L121" s="59" t="s">
        <v>1922</v>
      </c>
      <c r="M121" s="59" t="s">
        <v>1922</v>
      </c>
      <c r="N121" s="59" t="s">
        <v>1922</v>
      </c>
      <c r="O121" s="59" t="s">
        <v>1922</v>
      </c>
      <c r="P121" s="59" t="s">
        <v>1922</v>
      </c>
      <c r="Q121" s="59" t="s">
        <v>1922</v>
      </c>
      <c r="R121" s="59" t="s">
        <v>1922</v>
      </c>
      <c r="S121" s="59" t="s">
        <v>1922</v>
      </c>
      <c r="T121" s="59" t="s">
        <v>1922</v>
      </c>
      <c r="U121" s="59" t="s">
        <v>1922</v>
      </c>
    </row>
    <row r="122" spans="1:21">
      <c r="A122" s="1" t="s">
        <v>989</v>
      </c>
      <c r="B122" s="1" t="s">
        <v>2308</v>
      </c>
      <c r="C122" s="1" t="s">
        <v>988</v>
      </c>
      <c r="D122" s="1" t="s">
        <v>1919</v>
      </c>
      <c r="E122" s="1" t="s">
        <v>2309</v>
      </c>
      <c r="F122" s="1" t="s">
        <v>409</v>
      </c>
      <c r="G122" s="1" t="s">
        <v>1964</v>
      </c>
      <c r="H122" s="1" t="s">
        <v>1922</v>
      </c>
      <c r="I122" s="1" t="s">
        <v>1922</v>
      </c>
      <c r="J122" s="1" t="s">
        <v>1922</v>
      </c>
      <c r="K122" s="1" t="s">
        <v>1922</v>
      </c>
      <c r="L122" s="1" t="s">
        <v>1922</v>
      </c>
      <c r="M122" s="1" t="s">
        <v>1922</v>
      </c>
      <c r="N122" s="1" t="s">
        <v>1922</v>
      </c>
      <c r="O122" s="1" t="s">
        <v>1922</v>
      </c>
      <c r="P122" s="1" t="s">
        <v>1922</v>
      </c>
      <c r="Q122" s="1" t="s">
        <v>1922</v>
      </c>
      <c r="R122" s="1" t="s">
        <v>1922</v>
      </c>
      <c r="S122" s="1" t="s">
        <v>1922</v>
      </c>
      <c r="T122" s="1" t="s">
        <v>1922</v>
      </c>
      <c r="U122" s="1" t="s">
        <v>1922</v>
      </c>
    </row>
    <row r="123" spans="1:21">
      <c r="A123" s="1" t="s">
        <v>1433</v>
      </c>
      <c r="B123" s="1" t="s">
        <v>2310</v>
      </c>
      <c r="C123" s="1" t="s">
        <v>955</v>
      </c>
      <c r="D123" s="1" t="s">
        <v>1919</v>
      </c>
      <c r="E123" s="1" t="s">
        <v>2311</v>
      </c>
      <c r="F123" s="1" t="s">
        <v>96</v>
      </c>
      <c r="G123" s="1" t="s">
        <v>390</v>
      </c>
      <c r="H123" s="1" t="s">
        <v>1922</v>
      </c>
      <c r="I123" s="1" t="s">
        <v>1922</v>
      </c>
      <c r="J123" s="1" t="s">
        <v>1922</v>
      </c>
      <c r="K123" s="1" t="s">
        <v>1922</v>
      </c>
      <c r="L123" s="1" t="s">
        <v>1922</v>
      </c>
      <c r="M123" s="1" t="s">
        <v>1922</v>
      </c>
      <c r="N123" s="1" t="s">
        <v>1922</v>
      </c>
      <c r="O123" s="1" t="s">
        <v>1922</v>
      </c>
      <c r="P123" s="1" t="s">
        <v>1922</v>
      </c>
      <c r="Q123" s="1" t="s">
        <v>1922</v>
      </c>
      <c r="R123" s="1" t="s">
        <v>1922</v>
      </c>
      <c r="S123" s="1" t="s">
        <v>1922</v>
      </c>
      <c r="T123" s="1" t="s">
        <v>1922</v>
      </c>
      <c r="U123" s="1" t="s">
        <v>1922</v>
      </c>
    </row>
    <row r="124" spans="1:21">
      <c r="A124" s="1" t="s">
        <v>1880</v>
      </c>
      <c r="B124" s="1" t="s">
        <v>2312</v>
      </c>
      <c r="C124" s="1" t="s">
        <v>1879</v>
      </c>
      <c r="D124" s="1" t="s">
        <v>1919</v>
      </c>
      <c r="E124" s="1" t="s">
        <v>2313</v>
      </c>
      <c r="F124" s="1" t="s">
        <v>381</v>
      </c>
      <c r="G124" s="1" t="s">
        <v>2032</v>
      </c>
      <c r="H124" s="1" t="s">
        <v>91</v>
      </c>
      <c r="I124" s="1" t="s">
        <v>390</v>
      </c>
      <c r="J124" s="1" t="s">
        <v>1922</v>
      </c>
      <c r="K124" s="1" t="s">
        <v>1922</v>
      </c>
      <c r="L124" s="1" t="s">
        <v>1922</v>
      </c>
      <c r="M124" s="1" t="s">
        <v>1922</v>
      </c>
      <c r="N124" s="1" t="s">
        <v>1922</v>
      </c>
      <c r="O124" s="1" t="s">
        <v>1922</v>
      </c>
      <c r="P124" s="1" t="s">
        <v>1922</v>
      </c>
      <c r="Q124" s="1" t="s">
        <v>1922</v>
      </c>
      <c r="R124" s="1" t="s">
        <v>1922</v>
      </c>
      <c r="S124" s="1" t="s">
        <v>1922</v>
      </c>
      <c r="T124" s="1" t="s">
        <v>1922</v>
      </c>
      <c r="U124" s="1" t="s">
        <v>1922</v>
      </c>
    </row>
    <row r="125" spans="1:21">
      <c r="A125" s="1" t="s">
        <v>948</v>
      </c>
      <c r="B125" s="1" t="s">
        <v>2314</v>
      </c>
      <c r="C125" s="1" t="s">
        <v>947</v>
      </c>
      <c r="D125" s="1" t="s">
        <v>1919</v>
      </c>
      <c r="E125" s="1" t="s">
        <v>2315</v>
      </c>
      <c r="F125" s="1" t="s">
        <v>1960</v>
      </c>
      <c r="G125" s="1" t="s">
        <v>1939</v>
      </c>
      <c r="H125" s="1" t="s">
        <v>1922</v>
      </c>
      <c r="I125" s="1" t="s">
        <v>1922</v>
      </c>
      <c r="J125" s="1" t="s">
        <v>1922</v>
      </c>
      <c r="K125" s="1" t="s">
        <v>1922</v>
      </c>
      <c r="L125" s="1" t="s">
        <v>1922</v>
      </c>
      <c r="M125" s="1" t="s">
        <v>1922</v>
      </c>
      <c r="N125" s="1" t="s">
        <v>1922</v>
      </c>
      <c r="O125" s="1" t="s">
        <v>1922</v>
      </c>
      <c r="P125" s="1" t="s">
        <v>1922</v>
      </c>
      <c r="Q125" s="1" t="s">
        <v>1922</v>
      </c>
      <c r="R125" s="1" t="s">
        <v>1922</v>
      </c>
      <c r="S125" s="1" t="s">
        <v>1922</v>
      </c>
      <c r="T125" s="1" t="s">
        <v>1922</v>
      </c>
      <c r="U125" s="1" t="s">
        <v>1922</v>
      </c>
    </row>
    <row r="126" spans="1:21">
      <c r="A126" s="1" t="s">
        <v>944</v>
      </c>
      <c r="B126" s="1" t="s">
        <v>2316</v>
      </c>
      <c r="C126" s="1" t="s">
        <v>2317</v>
      </c>
      <c r="D126" s="1" t="s">
        <v>1919</v>
      </c>
      <c r="E126" s="1" t="s">
        <v>2318</v>
      </c>
      <c r="F126" s="1" t="s">
        <v>390</v>
      </c>
      <c r="G126" s="1" t="s">
        <v>409</v>
      </c>
      <c r="H126" s="1" t="s">
        <v>1964</v>
      </c>
      <c r="I126" s="1" t="s">
        <v>1922</v>
      </c>
      <c r="J126" s="1" t="s">
        <v>1922</v>
      </c>
      <c r="K126" s="1" t="s">
        <v>1922</v>
      </c>
      <c r="L126" s="1" t="s">
        <v>1922</v>
      </c>
      <c r="M126" s="1" t="s">
        <v>1922</v>
      </c>
      <c r="N126" s="1" t="s">
        <v>1922</v>
      </c>
      <c r="O126" s="1" t="s">
        <v>1922</v>
      </c>
      <c r="P126" s="1" t="s">
        <v>1922</v>
      </c>
      <c r="Q126" s="1" t="s">
        <v>1922</v>
      </c>
      <c r="R126" s="1" t="s">
        <v>1922</v>
      </c>
      <c r="S126" s="1" t="s">
        <v>1922</v>
      </c>
      <c r="T126" s="1" t="s">
        <v>1922</v>
      </c>
      <c r="U126" s="1" t="s">
        <v>1922</v>
      </c>
    </row>
    <row r="127" spans="1:21">
      <c r="A127" s="1" t="s">
        <v>1349</v>
      </c>
      <c r="B127" s="1" t="s">
        <v>2319</v>
      </c>
      <c r="C127" s="1" t="s">
        <v>1868</v>
      </c>
      <c r="D127" s="1" t="s">
        <v>1919</v>
      </c>
      <c r="E127" s="1" t="s">
        <v>2320</v>
      </c>
      <c r="F127" s="1" t="s">
        <v>409</v>
      </c>
      <c r="G127" s="1" t="s">
        <v>1930</v>
      </c>
      <c r="H127" s="1" t="s">
        <v>1922</v>
      </c>
      <c r="I127" s="1" t="s">
        <v>1922</v>
      </c>
      <c r="J127" s="1" t="s">
        <v>1922</v>
      </c>
      <c r="K127" s="1" t="s">
        <v>1922</v>
      </c>
      <c r="L127" s="1" t="s">
        <v>1922</v>
      </c>
      <c r="M127" s="1" t="s">
        <v>1922</v>
      </c>
      <c r="N127" s="1" t="s">
        <v>1922</v>
      </c>
      <c r="O127" s="1" t="s">
        <v>1922</v>
      </c>
      <c r="P127" s="1" t="s">
        <v>1922</v>
      </c>
      <c r="Q127" s="1" t="s">
        <v>1922</v>
      </c>
      <c r="R127" s="1" t="s">
        <v>1922</v>
      </c>
      <c r="S127" s="1" t="s">
        <v>1922</v>
      </c>
      <c r="T127" s="1" t="s">
        <v>1922</v>
      </c>
      <c r="U127" s="1" t="s">
        <v>1922</v>
      </c>
    </row>
    <row r="128" spans="1:21">
      <c r="A128" s="58" t="s">
        <v>2321</v>
      </c>
      <c r="B128" s="58" t="s">
        <v>2322</v>
      </c>
      <c r="C128" s="58" t="s">
        <v>2323</v>
      </c>
      <c r="D128" s="58" t="s">
        <v>1919</v>
      </c>
      <c r="E128" s="58" t="s">
        <v>2324</v>
      </c>
      <c r="F128" s="58" t="s">
        <v>1982</v>
      </c>
      <c r="G128" s="58" t="s">
        <v>30</v>
      </c>
      <c r="H128" s="58" t="s">
        <v>2325</v>
      </c>
      <c r="I128" s="58" t="s">
        <v>2211</v>
      </c>
      <c r="J128" s="58" t="s">
        <v>2212</v>
      </c>
      <c r="K128" s="58" t="s">
        <v>2206</v>
      </c>
      <c r="L128" s="58" t="s">
        <v>1922</v>
      </c>
      <c r="M128" s="58" t="s">
        <v>1922</v>
      </c>
      <c r="N128" s="58" t="s">
        <v>1922</v>
      </c>
      <c r="O128" s="58" t="s">
        <v>1922</v>
      </c>
      <c r="P128" s="58" t="s">
        <v>1922</v>
      </c>
      <c r="Q128" s="58" t="s">
        <v>1922</v>
      </c>
      <c r="R128" s="58" t="s">
        <v>1922</v>
      </c>
      <c r="S128" s="58" t="s">
        <v>1922</v>
      </c>
      <c r="T128" s="58" t="s">
        <v>1922</v>
      </c>
      <c r="U128" s="58" t="s">
        <v>1922</v>
      </c>
    </row>
    <row r="129" spans="1:21">
      <c r="A129" s="1" t="s">
        <v>706</v>
      </c>
      <c r="B129" s="1" t="s">
        <v>2326</v>
      </c>
      <c r="C129" s="1" t="s">
        <v>705</v>
      </c>
      <c r="D129" s="1" t="s">
        <v>1919</v>
      </c>
      <c r="E129" s="1" t="s">
        <v>2327</v>
      </c>
      <c r="F129" s="1" t="s">
        <v>409</v>
      </c>
      <c r="G129" s="1" t="s">
        <v>1985</v>
      </c>
      <c r="H129" s="1" t="s">
        <v>1927</v>
      </c>
      <c r="I129" s="1" t="s">
        <v>1922</v>
      </c>
      <c r="J129" s="1" t="s">
        <v>1922</v>
      </c>
      <c r="K129" s="1" t="s">
        <v>1922</v>
      </c>
      <c r="L129" s="1" t="s">
        <v>1922</v>
      </c>
      <c r="M129" s="1" t="s">
        <v>1922</v>
      </c>
      <c r="N129" s="1" t="s">
        <v>1922</v>
      </c>
      <c r="O129" s="1" t="s">
        <v>1922</v>
      </c>
      <c r="P129" s="1" t="s">
        <v>1922</v>
      </c>
      <c r="Q129" s="1" t="s">
        <v>1922</v>
      </c>
      <c r="R129" s="1" t="s">
        <v>1922</v>
      </c>
      <c r="S129" s="1" t="s">
        <v>1922</v>
      </c>
      <c r="T129" s="1" t="s">
        <v>1922</v>
      </c>
      <c r="U129" s="1" t="s">
        <v>1922</v>
      </c>
    </row>
    <row r="130" spans="1:21">
      <c r="A130" s="1" t="s">
        <v>698</v>
      </c>
      <c r="B130" s="1" t="s">
        <v>2328</v>
      </c>
      <c r="C130" s="1" t="s">
        <v>697</v>
      </c>
      <c r="D130" s="1" t="s">
        <v>1919</v>
      </c>
      <c r="E130" s="1" t="s">
        <v>2329</v>
      </c>
      <c r="F130" s="1" t="s">
        <v>409</v>
      </c>
      <c r="G130" s="1" t="s">
        <v>1985</v>
      </c>
      <c r="H130" s="1" t="s">
        <v>1927</v>
      </c>
      <c r="I130" s="1" t="s">
        <v>1922</v>
      </c>
      <c r="J130" s="1" t="s">
        <v>1922</v>
      </c>
      <c r="K130" s="1" t="s">
        <v>1922</v>
      </c>
      <c r="L130" s="1" t="s">
        <v>1922</v>
      </c>
      <c r="M130" s="1" t="s">
        <v>1922</v>
      </c>
      <c r="N130" s="1" t="s">
        <v>1922</v>
      </c>
      <c r="O130" s="1" t="s">
        <v>1922</v>
      </c>
      <c r="P130" s="1" t="s">
        <v>1922</v>
      </c>
      <c r="Q130" s="1" t="s">
        <v>1922</v>
      </c>
      <c r="R130" s="1" t="s">
        <v>1922</v>
      </c>
      <c r="S130" s="1" t="s">
        <v>1922</v>
      </c>
      <c r="T130" s="1" t="s">
        <v>1922</v>
      </c>
      <c r="U130" s="1" t="s">
        <v>1922</v>
      </c>
    </row>
    <row r="131" spans="1:21">
      <c r="A131" s="1" t="s">
        <v>680</v>
      </c>
      <c r="B131" s="1" t="s">
        <v>2330</v>
      </c>
      <c r="C131" s="1" t="s">
        <v>679</v>
      </c>
      <c r="D131" s="1" t="s">
        <v>1919</v>
      </c>
      <c r="E131" s="1" t="s">
        <v>2331</v>
      </c>
      <c r="F131" s="1" t="s">
        <v>409</v>
      </c>
      <c r="G131" s="1" t="s">
        <v>1985</v>
      </c>
      <c r="H131" s="1" t="s">
        <v>1927</v>
      </c>
      <c r="I131" s="1" t="s">
        <v>1922</v>
      </c>
      <c r="J131" s="1" t="s">
        <v>1922</v>
      </c>
      <c r="K131" s="1" t="s">
        <v>1922</v>
      </c>
      <c r="L131" s="1" t="s">
        <v>1922</v>
      </c>
      <c r="M131" s="1" t="s">
        <v>1922</v>
      </c>
      <c r="N131" s="1" t="s">
        <v>1922</v>
      </c>
      <c r="O131" s="1" t="s">
        <v>1922</v>
      </c>
      <c r="P131" s="1" t="s">
        <v>1922</v>
      </c>
      <c r="Q131" s="1" t="s">
        <v>1922</v>
      </c>
      <c r="R131" s="1" t="s">
        <v>1922</v>
      </c>
      <c r="S131" s="1" t="s">
        <v>1922</v>
      </c>
      <c r="T131" s="1" t="s">
        <v>1922</v>
      </c>
      <c r="U131" s="1" t="s">
        <v>1922</v>
      </c>
    </row>
    <row r="132" spans="1:21">
      <c r="A132" s="1" t="s">
        <v>653</v>
      </c>
      <c r="B132" s="1" t="s">
        <v>2332</v>
      </c>
      <c r="C132" s="1" t="s">
        <v>2333</v>
      </c>
      <c r="D132" s="1" t="s">
        <v>1919</v>
      </c>
      <c r="E132" s="1" t="s">
        <v>2334</v>
      </c>
      <c r="F132" s="1" t="s">
        <v>407</v>
      </c>
      <c r="G132" s="1" t="s">
        <v>2170</v>
      </c>
      <c r="H132" s="1" t="s">
        <v>2171</v>
      </c>
      <c r="I132" s="1" t="s">
        <v>2118</v>
      </c>
      <c r="J132" s="1" t="s">
        <v>2026</v>
      </c>
      <c r="K132" s="1" t="s">
        <v>2172</v>
      </c>
      <c r="L132" s="1" t="s">
        <v>1922</v>
      </c>
      <c r="M132" s="1" t="s">
        <v>1922</v>
      </c>
      <c r="N132" s="1" t="s">
        <v>1922</v>
      </c>
      <c r="O132" s="1" t="s">
        <v>1922</v>
      </c>
      <c r="P132" s="1" t="s">
        <v>1922</v>
      </c>
      <c r="Q132" s="1" t="s">
        <v>1922</v>
      </c>
      <c r="R132" s="1" t="s">
        <v>1922</v>
      </c>
      <c r="S132" s="1" t="s">
        <v>1922</v>
      </c>
      <c r="T132" s="1" t="s">
        <v>1922</v>
      </c>
      <c r="U132" s="1" t="s">
        <v>1922</v>
      </c>
    </row>
    <row r="133" spans="1:21">
      <c r="A133" s="1" t="s">
        <v>689</v>
      </c>
      <c r="B133" s="1" t="s">
        <v>2335</v>
      </c>
      <c r="C133" s="1" t="s">
        <v>688</v>
      </c>
      <c r="D133" s="1" t="s">
        <v>1919</v>
      </c>
      <c r="E133" s="1" t="s">
        <v>2336</v>
      </c>
      <c r="F133" s="1" t="s">
        <v>407</v>
      </c>
      <c r="G133" s="1" t="s">
        <v>2170</v>
      </c>
      <c r="H133" s="1" t="s">
        <v>2171</v>
      </c>
      <c r="I133" s="1" t="s">
        <v>2172</v>
      </c>
      <c r="J133" s="1" t="s">
        <v>1922</v>
      </c>
      <c r="K133" s="1" t="s">
        <v>1922</v>
      </c>
      <c r="L133" s="1" t="s">
        <v>1922</v>
      </c>
      <c r="M133" s="1" t="s">
        <v>1922</v>
      </c>
      <c r="N133" s="1" t="s">
        <v>1922</v>
      </c>
      <c r="O133" s="1" t="s">
        <v>1922</v>
      </c>
      <c r="P133" s="1" t="s">
        <v>1922</v>
      </c>
      <c r="Q133" s="1" t="s">
        <v>1922</v>
      </c>
      <c r="R133" s="1" t="s">
        <v>1922</v>
      </c>
      <c r="S133" s="1" t="s">
        <v>1922</v>
      </c>
      <c r="T133" s="1" t="s">
        <v>1922</v>
      </c>
      <c r="U133" s="1" t="s">
        <v>1922</v>
      </c>
    </row>
    <row r="134" spans="1:21">
      <c r="A134" s="1" t="s">
        <v>628</v>
      </c>
      <c r="B134" s="1" t="s">
        <v>2337</v>
      </c>
      <c r="C134" s="1" t="s">
        <v>627</v>
      </c>
      <c r="D134" s="1" t="s">
        <v>1919</v>
      </c>
      <c r="E134" s="1" t="s">
        <v>2338</v>
      </c>
      <c r="F134" s="1" t="s">
        <v>407</v>
      </c>
      <c r="G134" s="1" t="s">
        <v>2170</v>
      </c>
      <c r="H134" s="1" t="s">
        <v>2171</v>
      </c>
      <c r="I134" s="1" t="s">
        <v>2172</v>
      </c>
      <c r="J134" s="1" t="s">
        <v>1922</v>
      </c>
      <c r="K134" s="1" t="s">
        <v>1922</v>
      </c>
      <c r="L134" s="1" t="s">
        <v>1922</v>
      </c>
      <c r="M134" s="1" t="s">
        <v>1922</v>
      </c>
      <c r="N134" s="1" t="s">
        <v>1922</v>
      </c>
      <c r="O134" s="1" t="s">
        <v>1922</v>
      </c>
      <c r="P134" s="1" t="s">
        <v>1922</v>
      </c>
      <c r="Q134" s="1" t="s">
        <v>1922</v>
      </c>
      <c r="R134" s="1" t="s">
        <v>1922</v>
      </c>
      <c r="S134" s="1" t="s">
        <v>1922</v>
      </c>
      <c r="T134" s="1" t="s">
        <v>1922</v>
      </c>
      <c r="U134" s="1" t="s">
        <v>1922</v>
      </c>
    </row>
    <row r="135" spans="1:21">
      <c r="A135" s="1" t="s">
        <v>624</v>
      </c>
      <c r="B135" s="1" t="s">
        <v>2339</v>
      </c>
      <c r="C135" s="1" t="s">
        <v>2340</v>
      </c>
      <c r="D135" s="1" t="s">
        <v>1919</v>
      </c>
      <c r="E135" s="1" t="s">
        <v>2341</v>
      </c>
      <c r="F135" s="1" t="s">
        <v>407</v>
      </c>
      <c r="G135" s="1" t="s">
        <v>2170</v>
      </c>
      <c r="H135" s="1" t="s">
        <v>2171</v>
      </c>
      <c r="I135" s="1" t="s">
        <v>2172</v>
      </c>
      <c r="J135" s="1" t="s">
        <v>1922</v>
      </c>
      <c r="K135" s="1" t="s">
        <v>1922</v>
      </c>
      <c r="L135" s="1" t="s">
        <v>1922</v>
      </c>
      <c r="M135" s="1" t="s">
        <v>1922</v>
      </c>
      <c r="N135" s="1" t="s">
        <v>1922</v>
      </c>
      <c r="O135" s="1" t="s">
        <v>1922</v>
      </c>
      <c r="P135" s="1" t="s">
        <v>1922</v>
      </c>
      <c r="Q135" s="1" t="s">
        <v>1922</v>
      </c>
      <c r="R135" s="1" t="s">
        <v>1922</v>
      </c>
      <c r="S135" s="1" t="s">
        <v>1922</v>
      </c>
      <c r="T135" s="1" t="s">
        <v>1922</v>
      </c>
      <c r="U135" s="1" t="s">
        <v>1922</v>
      </c>
    </row>
    <row r="136" spans="1:21">
      <c r="A136" s="1" t="s">
        <v>620</v>
      </c>
      <c r="B136" s="1" t="s">
        <v>2342</v>
      </c>
      <c r="C136" s="1" t="s">
        <v>619</v>
      </c>
      <c r="D136" s="1" t="s">
        <v>1919</v>
      </c>
      <c r="E136" s="1" t="s">
        <v>2343</v>
      </c>
      <c r="F136" s="1" t="s">
        <v>407</v>
      </c>
      <c r="G136" s="1" t="s">
        <v>2170</v>
      </c>
      <c r="H136" s="1" t="s">
        <v>2171</v>
      </c>
      <c r="I136" s="1" t="s">
        <v>2172</v>
      </c>
      <c r="J136" s="1" t="s">
        <v>1922</v>
      </c>
      <c r="K136" s="1" t="s">
        <v>1922</v>
      </c>
      <c r="L136" s="1" t="s">
        <v>1922</v>
      </c>
      <c r="M136" s="1" t="s">
        <v>1922</v>
      </c>
      <c r="N136" s="1" t="s">
        <v>1922</v>
      </c>
      <c r="O136" s="1" t="s">
        <v>1922</v>
      </c>
      <c r="P136" s="1" t="s">
        <v>1922</v>
      </c>
      <c r="Q136" s="1" t="s">
        <v>1922</v>
      </c>
      <c r="R136" s="1" t="s">
        <v>1922</v>
      </c>
      <c r="S136" s="1" t="s">
        <v>1922</v>
      </c>
      <c r="T136" s="1" t="s">
        <v>1922</v>
      </c>
      <c r="U136" s="1" t="s">
        <v>1922</v>
      </c>
    </row>
    <row r="137" spans="1:21">
      <c r="A137" s="58" t="s">
        <v>2344</v>
      </c>
      <c r="B137" s="58" t="s">
        <v>2345</v>
      </c>
      <c r="C137" s="58" t="s">
        <v>2346</v>
      </c>
      <c r="D137" s="58" t="s">
        <v>1919</v>
      </c>
      <c r="E137" s="58" t="s">
        <v>2347</v>
      </c>
      <c r="F137" s="58" t="s">
        <v>1982</v>
      </c>
      <c r="G137" s="58" t="s">
        <v>30</v>
      </c>
      <c r="H137" s="58" t="s">
        <v>1922</v>
      </c>
      <c r="I137" s="58" t="s">
        <v>1922</v>
      </c>
      <c r="J137" s="58" t="s">
        <v>1922</v>
      </c>
      <c r="K137" s="58" t="s">
        <v>1922</v>
      </c>
      <c r="L137" s="58" t="s">
        <v>1922</v>
      </c>
      <c r="M137" s="58" t="s">
        <v>1922</v>
      </c>
      <c r="N137" s="58" t="s">
        <v>1922</v>
      </c>
      <c r="O137" s="58" t="s">
        <v>1922</v>
      </c>
      <c r="P137" s="58" t="s">
        <v>1922</v>
      </c>
      <c r="Q137" s="58" t="s">
        <v>1922</v>
      </c>
      <c r="R137" s="58" t="s">
        <v>1922</v>
      </c>
      <c r="S137" s="58" t="s">
        <v>1922</v>
      </c>
      <c r="T137" s="58" t="s">
        <v>1922</v>
      </c>
      <c r="U137" s="58" t="s">
        <v>1922</v>
      </c>
    </row>
    <row r="138" spans="1:21">
      <c r="A138" s="58" t="s">
        <v>1321</v>
      </c>
      <c r="B138" s="58" t="s">
        <v>2348</v>
      </c>
      <c r="C138" s="58" t="s">
        <v>2349</v>
      </c>
      <c r="D138" s="58" t="s">
        <v>1919</v>
      </c>
      <c r="E138" s="58" t="s">
        <v>2350</v>
      </c>
      <c r="F138" s="58" t="s">
        <v>1982</v>
      </c>
      <c r="G138" s="58" t="s">
        <v>30</v>
      </c>
      <c r="H138" s="58" t="s">
        <v>2206</v>
      </c>
      <c r="I138" s="58" t="s">
        <v>1922</v>
      </c>
      <c r="J138" s="58" t="s">
        <v>1922</v>
      </c>
      <c r="K138" s="58" t="s">
        <v>1922</v>
      </c>
      <c r="L138" s="58" t="s">
        <v>1922</v>
      </c>
      <c r="M138" s="58" t="s">
        <v>1922</v>
      </c>
      <c r="N138" s="58" t="s">
        <v>1922</v>
      </c>
      <c r="O138" s="58" t="s">
        <v>1922</v>
      </c>
      <c r="P138" s="58" t="s">
        <v>1922</v>
      </c>
      <c r="Q138" s="58" t="s">
        <v>1922</v>
      </c>
      <c r="R138" s="58" t="s">
        <v>1922</v>
      </c>
      <c r="S138" s="58" t="s">
        <v>1922</v>
      </c>
      <c r="T138" s="58" t="s">
        <v>1922</v>
      </c>
      <c r="U138" s="58" t="s">
        <v>1922</v>
      </c>
    </row>
    <row r="139" spans="1:21">
      <c r="A139" s="58" t="s">
        <v>2351</v>
      </c>
      <c r="B139" s="58" t="s">
        <v>2352</v>
      </c>
      <c r="C139" s="58" t="s">
        <v>2353</v>
      </c>
      <c r="D139" s="58" t="s">
        <v>1919</v>
      </c>
      <c r="E139" s="58" t="s">
        <v>2354</v>
      </c>
      <c r="F139" s="58" t="s">
        <v>1982</v>
      </c>
      <c r="G139" s="58" t="s">
        <v>30</v>
      </c>
      <c r="H139" s="58" t="s">
        <v>2355</v>
      </c>
      <c r="I139" s="58" t="s">
        <v>2026</v>
      </c>
      <c r="J139" s="58" t="s">
        <v>2206</v>
      </c>
      <c r="K139" s="58" t="s">
        <v>1922</v>
      </c>
      <c r="L139" s="58" t="s">
        <v>1922</v>
      </c>
      <c r="M139" s="58" t="s">
        <v>1922</v>
      </c>
      <c r="N139" s="58" t="s">
        <v>1922</v>
      </c>
      <c r="O139" s="58" t="s">
        <v>1922</v>
      </c>
      <c r="P139" s="58" t="s">
        <v>1922</v>
      </c>
      <c r="Q139" s="58" t="s">
        <v>1922</v>
      </c>
      <c r="R139" s="58" t="s">
        <v>1922</v>
      </c>
      <c r="S139" s="58" t="s">
        <v>1922</v>
      </c>
      <c r="T139" s="58" t="s">
        <v>1922</v>
      </c>
      <c r="U139" s="58" t="s">
        <v>1922</v>
      </c>
    </row>
    <row r="140" spans="1:21">
      <c r="A140" s="58" t="s">
        <v>632</v>
      </c>
      <c r="B140" s="58" t="s">
        <v>2356</v>
      </c>
      <c r="C140" s="58" t="s">
        <v>631</v>
      </c>
      <c r="D140" s="58" t="s">
        <v>1919</v>
      </c>
      <c r="E140" s="58" t="s">
        <v>2357</v>
      </c>
      <c r="F140" s="58" t="s">
        <v>1982</v>
      </c>
      <c r="G140" s="58" t="s">
        <v>30</v>
      </c>
      <c r="H140" s="58" t="s">
        <v>2206</v>
      </c>
      <c r="I140" s="58" t="s">
        <v>1922</v>
      </c>
      <c r="J140" s="58" t="s">
        <v>1922</v>
      </c>
      <c r="K140" s="58" t="s">
        <v>1922</v>
      </c>
      <c r="L140" s="58" t="s">
        <v>1922</v>
      </c>
      <c r="M140" s="58" t="s">
        <v>1922</v>
      </c>
      <c r="N140" s="58" t="s">
        <v>1922</v>
      </c>
      <c r="O140" s="58" t="s">
        <v>1922</v>
      </c>
      <c r="P140" s="58" t="s">
        <v>1922</v>
      </c>
      <c r="Q140" s="58" t="s">
        <v>1922</v>
      </c>
      <c r="R140" s="58" t="s">
        <v>1922</v>
      </c>
      <c r="S140" s="58" t="s">
        <v>1922</v>
      </c>
      <c r="T140" s="58" t="s">
        <v>1922</v>
      </c>
      <c r="U140" s="58" t="s">
        <v>1922</v>
      </c>
    </row>
    <row r="141" spans="1:21">
      <c r="A141" s="4" t="s">
        <v>2358</v>
      </c>
      <c r="B141" s="4" t="s">
        <v>2359</v>
      </c>
      <c r="C141" s="4" t="s">
        <v>2360</v>
      </c>
      <c r="D141" s="4" t="s">
        <v>1919</v>
      </c>
      <c r="E141" s="4" t="s">
        <v>2361</v>
      </c>
      <c r="F141" s="4" t="s">
        <v>1893</v>
      </c>
      <c r="G141" s="4" t="s">
        <v>2193</v>
      </c>
      <c r="H141" s="4" t="s">
        <v>2058</v>
      </c>
      <c r="I141" s="4" t="s">
        <v>49</v>
      </c>
      <c r="J141" s="4" t="s">
        <v>2059</v>
      </c>
      <c r="K141" s="4" t="s">
        <v>1922</v>
      </c>
      <c r="L141" s="4" t="s">
        <v>1922</v>
      </c>
      <c r="M141" s="4" t="s">
        <v>1922</v>
      </c>
      <c r="N141" s="4" t="s">
        <v>1922</v>
      </c>
      <c r="O141" s="4" t="s">
        <v>1922</v>
      </c>
      <c r="P141" s="4" t="s">
        <v>1922</v>
      </c>
      <c r="Q141" s="4" t="s">
        <v>1922</v>
      </c>
      <c r="R141" s="4" t="s">
        <v>1922</v>
      </c>
      <c r="S141" s="4" t="s">
        <v>1922</v>
      </c>
      <c r="T141" s="4" t="s">
        <v>1922</v>
      </c>
      <c r="U141" s="4" t="s">
        <v>1922</v>
      </c>
    </row>
    <row r="142" spans="1:21">
      <c r="A142" s="4" t="s">
        <v>637</v>
      </c>
      <c r="B142" s="4" t="s">
        <v>2362</v>
      </c>
      <c r="C142" s="4" t="s">
        <v>636</v>
      </c>
      <c r="D142" s="4" t="s">
        <v>1919</v>
      </c>
      <c r="E142" s="4" t="s">
        <v>2363</v>
      </c>
      <c r="F142" s="4" t="s">
        <v>1893</v>
      </c>
      <c r="G142" s="4" t="s">
        <v>2058</v>
      </c>
      <c r="H142" s="4" t="s">
        <v>49</v>
      </c>
      <c r="I142" s="4" t="s">
        <v>2059</v>
      </c>
      <c r="J142" s="4" t="s">
        <v>1922</v>
      </c>
      <c r="K142" s="4" t="s">
        <v>1922</v>
      </c>
      <c r="L142" s="4" t="s">
        <v>1922</v>
      </c>
      <c r="M142" s="4" t="s">
        <v>1922</v>
      </c>
      <c r="N142" s="4" t="s">
        <v>1922</v>
      </c>
      <c r="O142" s="4" t="s">
        <v>1922</v>
      </c>
      <c r="P142" s="4" t="s">
        <v>1922</v>
      </c>
      <c r="Q142" s="4" t="s">
        <v>1922</v>
      </c>
      <c r="R142" s="4" t="s">
        <v>1922</v>
      </c>
      <c r="S142" s="4" t="s">
        <v>1922</v>
      </c>
      <c r="T142" s="4" t="s">
        <v>1922</v>
      </c>
      <c r="U142" s="4" t="s">
        <v>1922</v>
      </c>
    </row>
    <row r="143" spans="1:21">
      <c r="A143" s="1" t="s">
        <v>2364</v>
      </c>
      <c r="B143" s="1" t="s">
        <v>2365</v>
      </c>
      <c r="C143" s="1" t="s">
        <v>2366</v>
      </c>
      <c r="D143" s="1" t="s">
        <v>1932</v>
      </c>
      <c r="E143" s="1" t="s">
        <v>2367</v>
      </c>
      <c r="F143" s="1" t="s">
        <v>2073</v>
      </c>
      <c r="G143" s="1" t="s">
        <v>386</v>
      </c>
      <c r="H143" s="1" t="s">
        <v>2355</v>
      </c>
      <c r="I143" s="1" t="s">
        <v>1939</v>
      </c>
      <c r="J143" s="1" t="s">
        <v>2074</v>
      </c>
      <c r="K143" s="1" t="s">
        <v>1922</v>
      </c>
      <c r="L143" s="1" t="s">
        <v>1922</v>
      </c>
      <c r="M143" s="1" t="s">
        <v>1922</v>
      </c>
      <c r="N143" s="1" t="s">
        <v>1922</v>
      </c>
      <c r="O143" s="1" t="s">
        <v>1922</v>
      </c>
      <c r="P143" s="1" t="s">
        <v>1922</v>
      </c>
      <c r="Q143" s="1" t="s">
        <v>1922</v>
      </c>
      <c r="R143" s="1" t="s">
        <v>1922</v>
      </c>
      <c r="S143" s="1" t="s">
        <v>1922</v>
      </c>
      <c r="T143" s="1" t="s">
        <v>1922</v>
      </c>
      <c r="U143" s="1" t="s">
        <v>1922</v>
      </c>
    </row>
    <row r="144" spans="1:21">
      <c r="A144" s="59" t="s">
        <v>455</v>
      </c>
      <c r="B144" s="59" t="s">
        <v>2368</v>
      </c>
      <c r="C144" s="59" t="s">
        <v>454</v>
      </c>
      <c r="D144" s="59" t="s">
        <v>1919</v>
      </c>
      <c r="E144" s="59" t="s">
        <v>2369</v>
      </c>
      <c r="F144" s="59" t="s">
        <v>2073</v>
      </c>
      <c r="G144" s="59" t="s">
        <v>61</v>
      </c>
      <c r="H144" s="59" t="s">
        <v>2370</v>
      </c>
      <c r="I144" s="59" t="s">
        <v>2371</v>
      </c>
      <c r="J144" s="59" t="s">
        <v>1976</v>
      </c>
      <c r="K144" s="59" t="s">
        <v>1999</v>
      </c>
      <c r="L144" s="59" t="s">
        <v>2074</v>
      </c>
      <c r="M144" s="59" t="s">
        <v>1922</v>
      </c>
      <c r="N144" s="59" t="s">
        <v>1922</v>
      </c>
      <c r="O144" s="59" t="s">
        <v>1922</v>
      </c>
      <c r="P144" s="59" t="s">
        <v>1922</v>
      </c>
      <c r="Q144" s="59" t="s">
        <v>1922</v>
      </c>
      <c r="R144" s="59" t="s">
        <v>1922</v>
      </c>
      <c r="S144" s="59" t="s">
        <v>1922</v>
      </c>
      <c r="T144" s="59" t="s">
        <v>1922</v>
      </c>
      <c r="U144" s="59" t="s">
        <v>1922</v>
      </c>
    </row>
    <row r="145" spans="1:21">
      <c r="A145" s="1" t="s">
        <v>2372</v>
      </c>
      <c r="B145" s="1" t="s">
        <v>2373</v>
      </c>
      <c r="C145" s="1" t="s">
        <v>494</v>
      </c>
      <c r="D145" s="1" t="s">
        <v>1919</v>
      </c>
      <c r="E145" s="1" t="s">
        <v>2374</v>
      </c>
      <c r="F145" s="1" t="s">
        <v>100</v>
      </c>
      <c r="G145" s="1" t="s">
        <v>396</v>
      </c>
      <c r="H145" s="1" t="s">
        <v>1955</v>
      </c>
      <c r="I145" s="1" t="s">
        <v>2044</v>
      </c>
      <c r="J145" s="1" t="s">
        <v>1922</v>
      </c>
      <c r="K145" s="1" t="s">
        <v>1922</v>
      </c>
      <c r="L145" s="1" t="s">
        <v>1922</v>
      </c>
      <c r="M145" s="1" t="s">
        <v>1922</v>
      </c>
      <c r="N145" s="1" t="s">
        <v>1922</v>
      </c>
      <c r="O145" s="1" t="s">
        <v>1922</v>
      </c>
      <c r="P145" s="1" t="s">
        <v>1922</v>
      </c>
      <c r="Q145" s="1" t="s">
        <v>1922</v>
      </c>
      <c r="R145" s="1" t="s">
        <v>1922</v>
      </c>
      <c r="S145" s="1" t="s">
        <v>1922</v>
      </c>
      <c r="T145" s="1" t="s">
        <v>1922</v>
      </c>
      <c r="U145" s="1" t="s">
        <v>1922</v>
      </c>
    </row>
    <row r="146" spans="1:21">
      <c r="A146" s="58" t="s">
        <v>479</v>
      </c>
      <c r="B146" s="58" t="s">
        <v>2375</v>
      </c>
      <c r="C146" s="58" t="s">
        <v>478</v>
      </c>
      <c r="D146" s="58" t="s">
        <v>1919</v>
      </c>
      <c r="E146" s="58" t="s">
        <v>2376</v>
      </c>
      <c r="F146" s="58" t="s">
        <v>396</v>
      </c>
      <c r="G146" s="58" t="s">
        <v>367</v>
      </c>
      <c r="H146" s="58" t="s">
        <v>2377</v>
      </c>
      <c r="I146" s="58" t="s">
        <v>2044</v>
      </c>
      <c r="J146" s="58" t="s">
        <v>1922</v>
      </c>
      <c r="K146" s="58" t="s">
        <v>1922</v>
      </c>
      <c r="L146" s="58" t="s">
        <v>1922</v>
      </c>
      <c r="M146" s="58" t="s">
        <v>1922</v>
      </c>
      <c r="N146" s="58" t="s">
        <v>1922</v>
      </c>
      <c r="O146" s="58" t="s">
        <v>1922</v>
      </c>
      <c r="P146" s="58" t="s">
        <v>1922</v>
      </c>
      <c r="Q146" s="58" t="s">
        <v>1922</v>
      </c>
      <c r="R146" s="58" t="s">
        <v>1922</v>
      </c>
      <c r="S146" s="58" t="s">
        <v>1922</v>
      </c>
      <c r="T146" s="58" t="s">
        <v>1922</v>
      </c>
      <c r="U146" s="58" t="s">
        <v>1922</v>
      </c>
    </row>
    <row r="147" spans="1:21">
      <c r="A147" s="59" t="s">
        <v>2378</v>
      </c>
      <c r="B147" s="59" t="s">
        <v>2379</v>
      </c>
      <c r="C147" s="59" t="s">
        <v>2380</v>
      </c>
      <c r="D147" s="59" t="s">
        <v>1919</v>
      </c>
      <c r="E147" s="59" t="s">
        <v>2381</v>
      </c>
      <c r="F147" s="59" t="s">
        <v>1893</v>
      </c>
      <c r="G147" s="59" t="s">
        <v>2058</v>
      </c>
      <c r="H147" s="59" t="s">
        <v>49</v>
      </c>
      <c r="I147" s="59" t="s">
        <v>2059</v>
      </c>
      <c r="J147" s="59" t="s">
        <v>1922</v>
      </c>
      <c r="K147" s="59" t="s">
        <v>1922</v>
      </c>
      <c r="L147" s="59" t="s">
        <v>1922</v>
      </c>
      <c r="M147" s="59" t="s">
        <v>1922</v>
      </c>
      <c r="N147" s="59" t="s">
        <v>1922</v>
      </c>
      <c r="O147" s="59" t="s">
        <v>1922</v>
      </c>
      <c r="P147" s="59" t="s">
        <v>1922</v>
      </c>
      <c r="Q147" s="59" t="s">
        <v>1922</v>
      </c>
      <c r="R147" s="59" t="s">
        <v>1922</v>
      </c>
      <c r="S147" s="59" t="s">
        <v>1922</v>
      </c>
      <c r="T147" s="59" t="s">
        <v>1922</v>
      </c>
      <c r="U147" s="59" t="s">
        <v>1922</v>
      </c>
    </row>
    <row r="148" spans="1:21">
      <c r="A148" s="59" t="s">
        <v>2382</v>
      </c>
      <c r="B148" s="59" t="s">
        <v>2383</v>
      </c>
      <c r="C148" s="59" t="s">
        <v>2384</v>
      </c>
      <c r="D148" s="59" t="s">
        <v>1919</v>
      </c>
      <c r="E148" s="59" t="s">
        <v>2385</v>
      </c>
      <c r="F148" s="59" t="s">
        <v>381</v>
      </c>
      <c r="G148" s="59" t="s">
        <v>2058</v>
      </c>
      <c r="H148" s="59" t="s">
        <v>49</v>
      </c>
      <c r="I148" s="59" t="s">
        <v>2059</v>
      </c>
      <c r="J148" s="59" t="s">
        <v>1922</v>
      </c>
      <c r="K148" s="59" t="s">
        <v>1922</v>
      </c>
      <c r="L148" s="59" t="s">
        <v>1922</v>
      </c>
      <c r="M148" s="59" t="s">
        <v>1922</v>
      </c>
      <c r="N148" s="59" t="s">
        <v>1922</v>
      </c>
      <c r="O148" s="59" t="s">
        <v>1922</v>
      </c>
      <c r="P148" s="59" t="s">
        <v>1922</v>
      </c>
      <c r="Q148" s="59" t="s">
        <v>1922</v>
      </c>
      <c r="R148" s="59" t="s">
        <v>1922</v>
      </c>
      <c r="S148" s="59" t="s">
        <v>1922</v>
      </c>
      <c r="T148" s="59" t="s">
        <v>1922</v>
      </c>
      <c r="U148" s="59" t="s">
        <v>1922</v>
      </c>
    </row>
    <row r="149" spans="1:21">
      <c r="A149" s="1" t="s">
        <v>2386</v>
      </c>
      <c r="B149" s="1" t="s">
        <v>2387</v>
      </c>
      <c r="C149" s="1" t="s">
        <v>2388</v>
      </c>
      <c r="D149" s="1" t="s">
        <v>1919</v>
      </c>
      <c r="E149" s="1" t="s">
        <v>2389</v>
      </c>
      <c r="F149" s="1" t="s">
        <v>381</v>
      </c>
      <c r="G149" s="1" t="s">
        <v>91</v>
      </c>
      <c r="H149" s="1" t="s">
        <v>2058</v>
      </c>
      <c r="I149" s="1" t="s">
        <v>377</v>
      </c>
      <c r="J149" s="1" t="s">
        <v>2059</v>
      </c>
      <c r="K149" s="1" t="s">
        <v>1922</v>
      </c>
      <c r="L149" s="1" t="s">
        <v>1922</v>
      </c>
      <c r="M149" s="1" t="s">
        <v>1922</v>
      </c>
      <c r="N149" s="1" t="s">
        <v>1922</v>
      </c>
      <c r="O149" s="1" t="s">
        <v>1922</v>
      </c>
      <c r="P149" s="1" t="s">
        <v>1922</v>
      </c>
      <c r="Q149" s="1" t="s">
        <v>1922</v>
      </c>
      <c r="R149" s="1" t="s">
        <v>1922</v>
      </c>
      <c r="S149" s="1" t="s">
        <v>1922</v>
      </c>
      <c r="T149" s="1" t="s">
        <v>1922</v>
      </c>
      <c r="U149" s="1" t="s">
        <v>1922</v>
      </c>
    </row>
    <row r="150" spans="1:21">
      <c r="A150" s="1" t="s">
        <v>2390</v>
      </c>
      <c r="B150" s="1" t="s">
        <v>2391</v>
      </c>
      <c r="C150" s="1" t="s">
        <v>2392</v>
      </c>
      <c r="D150" s="1" t="s">
        <v>1919</v>
      </c>
      <c r="E150" s="1" t="s">
        <v>2393</v>
      </c>
      <c r="F150" s="1" t="s">
        <v>2193</v>
      </c>
      <c r="G150" s="1" t="s">
        <v>2058</v>
      </c>
      <c r="H150" s="1" t="s">
        <v>49</v>
      </c>
      <c r="I150" s="1" t="s">
        <v>2059</v>
      </c>
      <c r="J150" s="1" t="s">
        <v>1922</v>
      </c>
      <c r="K150" s="1" t="s">
        <v>1922</v>
      </c>
      <c r="L150" s="1" t="s">
        <v>1922</v>
      </c>
      <c r="M150" s="1" t="s">
        <v>1922</v>
      </c>
      <c r="N150" s="1" t="s">
        <v>1922</v>
      </c>
      <c r="O150" s="1" t="s">
        <v>1922</v>
      </c>
      <c r="P150" s="1" t="s">
        <v>1922</v>
      </c>
      <c r="Q150" s="1" t="s">
        <v>1922</v>
      </c>
      <c r="R150" s="1" t="s">
        <v>1922</v>
      </c>
      <c r="S150" s="1" t="s">
        <v>1922</v>
      </c>
      <c r="T150" s="1" t="s">
        <v>1922</v>
      </c>
      <c r="U150" s="1" t="s">
        <v>1922</v>
      </c>
    </row>
    <row r="151" spans="1:21">
      <c r="A151" s="1" t="s">
        <v>996</v>
      </c>
      <c r="B151" s="1" t="s">
        <v>2394</v>
      </c>
      <c r="C151" s="1" t="s">
        <v>995</v>
      </c>
      <c r="D151" s="1" t="s">
        <v>1919</v>
      </c>
      <c r="E151" s="1" t="s">
        <v>2395</v>
      </c>
      <c r="F151" s="1" t="s">
        <v>2396</v>
      </c>
      <c r="G151" s="1" t="s">
        <v>1922</v>
      </c>
      <c r="H151" s="1" t="s">
        <v>1922</v>
      </c>
      <c r="I151" s="1" t="s">
        <v>1922</v>
      </c>
      <c r="J151" s="1" t="s">
        <v>1922</v>
      </c>
      <c r="K151" s="1" t="s">
        <v>1922</v>
      </c>
      <c r="L151" s="1" t="s">
        <v>1922</v>
      </c>
      <c r="M151" s="1" t="s">
        <v>1922</v>
      </c>
      <c r="N151" s="1" t="s">
        <v>1922</v>
      </c>
      <c r="O151" s="1" t="s">
        <v>1922</v>
      </c>
      <c r="P151" s="1" t="s">
        <v>1922</v>
      </c>
      <c r="Q151" s="1" t="s">
        <v>1922</v>
      </c>
      <c r="R151" s="1" t="s">
        <v>1922</v>
      </c>
      <c r="S151" s="1" t="s">
        <v>1922</v>
      </c>
      <c r="T151" s="1" t="s">
        <v>1922</v>
      </c>
      <c r="U151" s="1" t="s">
        <v>1922</v>
      </c>
    </row>
    <row r="152" spans="1:21">
      <c r="A152" s="1" t="s">
        <v>465</v>
      </c>
      <c r="B152" s="1" t="s">
        <v>2397</v>
      </c>
      <c r="C152" s="1" t="s">
        <v>464</v>
      </c>
      <c r="D152" s="1" t="s">
        <v>1932</v>
      </c>
      <c r="E152" s="1" t="s">
        <v>2398</v>
      </c>
      <c r="F152" s="1" t="s">
        <v>100</v>
      </c>
      <c r="G152" s="1" t="s">
        <v>1888</v>
      </c>
      <c r="H152" s="1" t="s">
        <v>1952</v>
      </c>
      <c r="I152" s="1" t="s">
        <v>351</v>
      </c>
      <c r="J152" s="1" t="s">
        <v>2011</v>
      </c>
      <c r="K152" s="1" t="s">
        <v>1955</v>
      </c>
      <c r="L152" s="1" t="s">
        <v>1922</v>
      </c>
      <c r="M152" s="1" t="s">
        <v>1922</v>
      </c>
      <c r="N152" s="1" t="s">
        <v>1922</v>
      </c>
      <c r="O152" s="1" t="s">
        <v>1922</v>
      </c>
      <c r="P152" s="1" t="s">
        <v>1922</v>
      </c>
      <c r="Q152" s="1" t="s">
        <v>1922</v>
      </c>
      <c r="R152" s="1" t="s">
        <v>1922</v>
      </c>
      <c r="S152" s="1" t="s">
        <v>1922</v>
      </c>
      <c r="T152" s="1" t="s">
        <v>1922</v>
      </c>
      <c r="U152" s="1" t="s">
        <v>1922</v>
      </c>
    </row>
    <row r="153" spans="1:21">
      <c r="A153" s="1" t="s">
        <v>2399</v>
      </c>
      <c r="B153" s="1" t="s">
        <v>2400</v>
      </c>
      <c r="C153" s="1" t="s">
        <v>963</v>
      </c>
      <c r="D153" s="1" t="s">
        <v>1919</v>
      </c>
      <c r="E153" s="1" t="s">
        <v>2401</v>
      </c>
      <c r="F153" s="1" t="s">
        <v>2032</v>
      </c>
      <c r="G153" s="1" t="s">
        <v>390</v>
      </c>
      <c r="H153" s="1" t="s">
        <v>409</v>
      </c>
      <c r="I153" s="1" t="s">
        <v>1922</v>
      </c>
      <c r="J153" s="1" t="s">
        <v>1922</v>
      </c>
      <c r="K153" s="1" t="s">
        <v>1922</v>
      </c>
      <c r="L153" s="1" t="s">
        <v>1922</v>
      </c>
      <c r="M153" s="1" t="s">
        <v>1922</v>
      </c>
      <c r="N153" s="1" t="s">
        <v>1922</v>
      </c>
      <c r="O153" s="1" t="s">
        <v>1922</v>
      </c>
      <c r="P153" s="1" t="s">
        <v>1922</v>
      </c>
      <c r="Q153" s="1" t="s">
        <v>1922</v>
      </c>
      <c r="R153" s="1" t="s">
        <v>1922</v>
      </c>
      <c r="S153" s="1" t="s">
        <v>1922</v>
      </c>
      <c r="T153" s="1" t="s">
        <v>1922</v>
      </c>
      <c r="U153" s="1" t="s">
        <v>1922</v>
      </c>
    </row>
    <row r="154" spans="1:21">
      <c r="A154" s="1" t="s">
        <v>2402</v>
      </c>
      <c r="B154" s="1" t="s">
        <v>2403</v>
      </c>
      <c r="C154" s="1" t="s">
        <v>2404</v>
      </c>
      <c r="D154" s="1" t="s">
        <v>1919</v>
      </c>
      <c r="E154" s="1" t="s">
        <v>2405</v>
      </c>
      <c r="F154" s="1" t="s">
        <v>1893</v>
      </c>
      <c r="G154" s="1" t="s">
        <v>2193</v>
      </c>
      <c r="H154" s="1" t="s">
        <v>2058</v>
      </c>
      <c r="I154" s="1" t="s">
        <v>49</v>
      </c>
      <c r="J154" s="1" t="s">
        <v>2059</v>
      </c>
      <c r="K154" s="1" t="s">
        <v>1922</v>
      </c>
      <c r="L154" s="1" t="s">
        <v>1922</v>
      </c>
      <c r="M154" s="1" t="s">
        <v>1922</v>
      </c>
      <c r="N154" s="1" t="s">
        <v>1922</v>
      </c>
      <c r="O154" s="1" t="s">
        <v>1922</v>
      </c>
      <c r="P154" s="1" t="s">
        <v>1922</v>
      </c>
      <c r="Q154" s="1" t="s">
        <v>1922</v>
      </c>
      <c r="R154" s="1" t="s">
        <v>1922</v>
      </c>
      <c r="S154" s="1" t="s">
        <v>1922</v>
      </c>
      <c r="T154" s="1" t="s">
        <v>1922</v>
      </c>
      <c r="U154" s="1" t="s">
        <v>1922</v>
      </c>
    </row>
    <row r="155" spans="1:21">
      <c r="A155" s="58" t="s">
        <v>642</v>
      </c>
      <c r="B155" s="58" t="s">
        <v>2406</v>
      </c>
      <c r="C155" s="58" t="s">
        <v>641</v>
      </c>
      <c r="D155" s="58" t="s">
        <v>1919</v>
      </c>
      <c r="E155" s="58" t="s">
        <v>2407</v>
      </c>
      <c r="F155" s="58" t="s">
        <v>1982</v>
      </c>
      <c r="G155" s="58" t="s">
        <v>30</v>
      </c>
      <c r="H155" s="58" t="s">
        <v>49</v>
      </c>
      <c r="I155" s="58" t="s">
        <v>1922</v>
      </c>
      <c r="J155" s="58" t="s">
        <v>1922</v>
      </c>
      <c r="K155" s="58" t="s">
        <v>1922</v>
      </c>
      <c r="L155" s="58" t="s">
        <v>1922</v>
      </c>
      <c r="M155" s="58" t="s">
        <v>1922</v>
      </c>
      <c r="N155" s="58" t="s">
        <v>1922</v>
      </c>
      <c r="O155" s="58" t="s">
        <v>1922</v>
      </c>
      <c r="P155" s="58" t="s">
        <v>1922</v>
      </c>
      <c r="Q155" s="58" t="s">
        <v>1922</v>
      </c>
      <c r="R155" s="58" t="s">
        <v>1922</v>
      </c>
      <c r="S155" s="58" t="s">
        <v>1922</v>
      </c>
      <c r="T155" s="58" t="s">
        <v>1922</v>
      </c>
      <c r="U155" s="58" t="s">
        <v>1922</v>
      </c>
    </row>
    <row r="156" spans="1:21">
      <c r="A156" s="1" t="s">
        <v>2408</v>
      </c>
      <c r="B156" s="1" t="s">
        <v>2409</v>
      </c>
      <c r="C156" s="1" t="s">
        <v>2410</v>
      </c>
      <c r="D156" s="1" t="s">
        <v>1919</v>
      </c>
      <c r="E156" s="1" t="s">
        <v>2411</v>
      </c>
      <c r="F156" s="1" t="s">
        <v>1893</v>
      </c>
      <c r="G156" s="1" t="s">
        <v>2058</v>
      </c>
      <c r="H156" s="1" t="s">
        <v>49</v>
      </c>
      <c r="I156" s="1" t="s">
        <v>2059</v>
      </c>
      <c r="J156" s="1" t="s">
        <v>1922</v>
      </c>
      <c r="K156" s="1" t="s">
        <v>1922</v>
      </c>
      <c r="L156" s="1" t="s">
        <v>1922</v>
      </c>
      <c r="M156" s="1" t="s">
        <v>1922</v>
      </c>
      <c r="N156" s="1" t="s">
        <v>1922</v>
      </c>
      <c r="O156" s="1" t="s">
        <v>1922</v>
      </c>
      <c r="P156" s="1" t="s">
        <v>1922</v>
      </c>
      <c r="Q156" s="1" t="s">
        <v>1922</v>
      </c>
      <c r="R156" s="1" t="s">
        <v>1922</v>
      </c>
      <c r="S156" s="1" t="s">
        <v>1922</v>
      </c>
      <c r="T156" s="1" t="s">
        <v>1922</v>
      </c>
      <c r="U156" s="1" t="s">
        <v>1922</v>
      </c>
    </row>
    <row r="157" spans="1:21">
      <c r="A157" s="1" t="s">
        <v>722</v>
      </c>
      <c r="B157" s="1" t="s">
        <v>2412</v>
      </c>
      <c r="C157" s="1" t="s">
        <v>721</v>
      </c>
      <c r="D157" s="1" t="s">
        <v>1919</v>
      </c>
      <c r="E157" s="1" t="s">
        <v>2413</v>
      </c>
      <c r="F157" s="1" t="s">
        <v>2252</v>
      </c>
      <c r="G157" s="1" t="s">
        <v>2253</v>
      </c>
      <c r="H157" s="1" t="s">
        <v>2254</v>
      </c>
      <c r="I157" s="1" t="s">
        <v>1922</v>
      </c>
      <c r="J157" s="1" t="s">
        <v>1922</v>
      </c>
      <c r="K157" s="1" t="s">
        <v>1922</v>
      </c>
      <c r="L157" s="1" t="s">
        <v>1922</v>
      </c>
      <c r="M157" s="1" t="s">
        <v>1922</v>
      </c>
      <c r="N157" s="1" t="s">
        <v>1922</v>
      </c>
      <c r="O157" s="1" t="s">
        <v>1922</v>
      </c>
      <c r="P157" s="1" t="s">
        <v>1922</v>
      </c>
      <c r="Q157" s="1" t="s">
        <v>1922</v>
      </c>
      <c r="R157" s="1" t="s">
        <v>1922</v>
      </c>
      <c r="S157" s="1" t="s">
        <v>1922</v>
      </c>
      <c r="T157" s="1" t="s">
        <v>1922</v>
      </c>
      <c r="U157" s="1" t="s">
        <v>1922</v>
      </c>
    </row>
    <row r="158" spans="1:21">
      <c r="A158" s="1" t="s">
        <v>658</v>
      </c>
      <c r="B158" s="1" t="s">
        <v>2414</v>
      </c>
      <c r="C158" s="1" t="s">
        <v>2415</v>
      </c>
      <c r="D158" s="1" t="s">
        <v>1919</v>
      </c>
      <c r="E158" s="1" t="s">
        <v>2416</v>
      </c>
      <c r="F158" s="1" t="s">
        <v>2252</v>
      </c>
      <c r="G158" s="1" t="s">
        <v>2253</v>
      </c>
      <c r="H158" s="1" t="s">
        <v>2254</v>
      </c>
      <c r="I158" s="1" t="s">
        <v>2118</v>
      </c>
      <c r="J158" s="1" t="s">
        <v>2026</v>
      </c>
      <c r="K158" s="1" t="s">
        <v>1922</v>
      </c>
      <c r="L158" s="1" t="s">
        <v>1922</v>
      </c>
      <c r="M158" s="1" t="s">
        <v>1922</v>
      </c>
      <c r="N158" s="1" t="s">
        <v>1922</v>
      </c>
      <c r="O158" s="1" t="s">
        <v>1922</v>
      </c>
      <c r="P158" s="1" t="s">
        <v>1922</v>
      </c>
      <c r="Q158" s="1" t="s">
        <v>1922</v>
      </c>
      <c r="R158" s="1" t="s">
        <v>1922</v>
      </c>
      <c r="S158" s="1" t="s">
        <v>1922</v>
      </c>
      <c r="T158" s="1" t="s">
        <v>1922</v>
      </c>
      <c r="U158" s="1" t="s">
        <v>1922</v>
      </c>
    </row>
    <row r="159" spans="1:21">
      <c r="A159" s="1" t="s">
        <v>1759</v>
      </c>
      <c r="B159" s="1" t="s">
        <v>2417</v>
      </c>
      <c r="C159" s="1" t="s">
        <v>615</v>
      </c>
      <c r="D159" s="1" t="s">
        <v>1919</v>
      </c>
      <c r="E159" s="1" t="s">
        <v>2418</v>
      </c>
      <c r="F159" s="1" t="s">
        <v>407</v>
      </c>
      <c r="G159" s="1" t="s">
        <v>2170</v>
      </c>
      <c r="H159" s="1" t="s">
        <v>2171</v>
      </c>
      <c r="I159" s="1" t="s">
        <v>2172</v>
      </c>
      <c r="J159" s="1" t="s">
        <v>1922</v>
      </c>
      <c r="K159" s="1" t="s">
        <v>1922</v>
      </c>
      <c r="L159" s="1" t="s">
        <v>1922</v>
      </c>
      <c r="M159" s="1" t="s">
        <v>1922</v>
      </c>
      <c r="N159" s="1" t="s">
        <v>1922</v>
      </c>
      <c r="O159" s="1" t="s">
        <v>1922</v>
      </c>
      <c r="P159" s="1" t="s">
        <v>1922</v>
      </c>
      <c r="Q159" s="1" t="s">
        <v>1922</v>
      </c>
      <c r="R159" s="1" t="s">
        <v>1922</v>
      </c>
      <c r="S159" s="1" t="s">
        <v>1922</v>
      </c>
      <c r="T159" s="1" t="s">
        <v>1922</v>
      </c>
      <c r="U159" s="1" t="s">
        <v>1922</v>
      </c>
    </row>
    <row r="160" spans="1:21">
      <c r="A160" s="59" t="s">
        <v>500</v>
      </c>
      <c r="B160" s="59" t="s">
        <v>2419</v>
      </c>
      <c r="C160" s="59" t="s">
        <v>499</v>
      </c>
      <c r="D160" s="59" t="s">
        <v>1919</v>
      </c>
      <c r="E160" s="59" t="s">
        <v>2420</v>
      </c>
      <c r="F160" s="59" t="s">
        <v>2073</v>
      </c>
      <c r="G160" s="59" t="s">
        <v>61</v>
      </c>
      <c r="H160" s="59" t="s">
        <v>2135</v>
      </c>
      <c r="I160" s="59" t="s">
        <v>2074</v>
      </c>
      <c r="J160" s="59" t="s">
        <v>1922</v>
      </c>
      <c r="K160" s="59" t="s">
        <v>1922</v>
      </c>
      <c r="L160" s="59" t="s">
        <v>1922</v>
      </c>
      <c r="M160" s="59" t="s">
        <v>1922</v>
      </c>
      <c r="N160" s="59" t="s">
        <v>1922</v>
      </c>
      <c r="O160" s="59" t="s">
        <v>1922</v>
      </c>
      <c r="P160" s="59" t="s">
        <v>1922</v>
      </c>
      <c r="Q160" s="59" t="s">
        <v>1922</v>
      </c>
      <c r="R160" s="59" t="s">
        <v>1922</v>
      </c>
      <c r="S160" s="59" t="s">
        <v>1922</v>
      </c>
      <c r="T160" s="59" t="s">
        <v>1922</v>
      </c>
      <c r="U160" s="59" t="s">
        <v>1922</v>
      </c>
    </row>
    <row r="161" spans="1:21">
      <c r="A161" s="1" t="s">
        <v>2421</v>
      </c>
      <c r="B161" s="1" t="s">
        <v>2422</v>
      </c>
      <c r="C161" s="1" t="s">
        <v>2423</v>
      </c>
      <c r="D161" s="1" t="s">
        <v>1919</v>
      </c>
      <c r="E161" s="1" t="s">
        <v>2424</v>
      </c>
      <c r="F161" s="1" t="s">
        <v>1970</v>
      </c>
      <c r="G161" s="1" t="s">
        <v>2058</v>
      </c>
      <c r="H161" s="1" t="s">
        <v>2425</v>
      </c>
      <c r="I161" s="1" t="s">
        <v>2146</v>
      </c>
      <c r="J161" s="1" t="s">
        <v>1977</v>
      </c>
      <c r="K161" s="1" t="s">
        <v>1922</v>
      </c>
      <c r="L161" s="1" t="s">
        <v>1922</v>
      </c>
      <c r="M161" s="1" t="s">
        <v>1922</v>
      </c>
      <c r="N161" s="1" t="s">
        <v>1922</v>
      </c>
      <c r="O161" s="1" t="s">
        <v>1922</v>
      </c>
      <c r="P161" s="1" t="s">
        <v>1922</v>
      </c>
      <c r="Q161" s="1" t="s">
        <v>1922</v>
      </c>
      <c r="R161" s="1" t="s">
        <v>1922</v>
      </c>
      <c r="S161" s="1" t="s">
        <v>1922</v>
      </c>
      <c r="T161" s="1" t="s">
        <v>1922</v>
      </c>
      <c r="U161" s="1" t="s">
        <v>1922</v>
      </c>
    </row>
    <row r="162" spans="1:21">
      <c r="A162" s="1" t="s">
        <v>673</v>
      </c>
      <c r="B162" s="1" t="s">
        <v>2426</v>
      </c>
      <c r="C162" s="1" t="s">
        <v>2427</v>
      </c>
      <c r="D162" s="1" t="s">
        <v>1919</v>
      </c>
      <c r="E162" s="1" t="s">
        <v>2428</v>
      </c>
      <c r="F162" s="1" t="s">
        <v>409</v>
      </c>
      <c r="G162" s="1" t="s">
        <v>1985</v>
      </c>
      <c r="H162" s="1" t="s">
        <v>1927</v>
      </c>
      <c r="I162" s="1" t="s">
        <v>1922</v>
      </c>
      <c r="J162" s="1" t="s">
        <v>1922</v>
      </c>
      <c r="K162" s="1" t="s">
        <v>1922</v>
      </c>
      <c r="L162" s="1" t="s">
        <v>1922</v>
      </c>
      <c r="M162" s="1" t="s">
        <v>1922</v>
      </c>
      <c r="N162" s="1" t="s">
        <v>1922</v>
      </c>
      <c r="O162" s="1" t="s">
        <v>1922</v>
      </c>
      <c r="P162" s="1" t="s">
        <v>1922</v>
      </c>
      <c r="Q162" s="1" t="s">
        <v>1922</v>
      </c>
      <c r="R162" s="1" t="s">
        <v>1922</v>
      </c>
      <c r="S162" s="1" t="s">
        <v>1922</v>
      </c>
      <c r="T162" s="1" t="s">
        <v>1922</v>
      </c>
      <c r="U162" s="1" t="s">
        <v>1922</v>
      </c>
    </row>
    <row r="163" spans="1:21">
      <c r="A163" s="1" t="s">
        <v>2429</v>
      </c>
      <c r="B163" s="1" t="s">
        <v>2430</v>
      </c>
      <c r="C163" s="1" t="s">
        <v>2431</v>
      </c>
      <c r="D163" s="1" t="s">
        <v>1919</v>
      </c>
      <c r="E163" s="1" t="s">
        <v>2432</v>
      </c>
      <c r="F163" s="1" t="s">
        <v>1970</v>
      </c>
      <c r="G163" s="1" t="s">
        <v>1975</v>
      </c>
      <c r="H163" s="1" t="s">
        <v>1976</v>
      </c>
      <c r="I163" s="1" t="s">
        <v>1999</v>
      </c>
      <c r="J163" s="1" t="s">
        <v>1977</v>
      </c>
      <c r="K163" s="1" t="s">
        <v>1922</v>
      </c>
      <c r="L163" s="1" t="s">
        <v>1922</v>
      </c>
      <c r="M163" s="1" t="s">
        <v>1922</v>
      </c>
      <c r="N163" s="1" t="s">
        <v>1922</v>
      </c>
      <c r="O163" s="1" t="s">
        <v>1922</v>
      </c>
      <c r="P163" s="1" t="s">
        <v>1922</v>
      </c>
      <c r="Q163" s="1" t="s">
        <v>1922</v>
      </c>
      <c r="R163" s="1" t="s">
        <v>1922</v>
      </c>
      <c r="S163" s="1" t="s">
        <v>1922</v>
      </c>
      <c r="T163" s="1" t="s">
        <v>1922</v>
      </c>
      <c r="U163" s="1" t="s">
        <v>1922</v>
      </c>
    </row>
    <row r="164" spans="1:21">
      <c r="A164" s="1" t="s">
        <v>779</v>
      </c>
      <c r="B164" s="1" t="s">
        <v>2433</v>
      </c>
      <c r="C164" s="1" t="s">
        <v>778</v>
      </c>
      <c r="D164" s="1" t="s">
        <v>1919</v>
      </c>
      <c r="E164" s="1" t="s">
        <v>2434</v>
      </c>
      <c r="F164" s="1" t="s">
        <v>402</v>
      </c>
      <c r="G164" s="1" t="s">
        <v>2260</v>
      </c>
      <c r="H164" s="1" t="s">
        <v>2261</v>
      </c>
      <c r="I164" s="1" t="s">
        <v>1922</v>
      </c>
      <c r="J164" s="1" t="s">
        <v>1922</v>
      </c>
      <c r="K164" s="1" t="s">
        <v>1922</v>
      </c>
      <c r="L164" s="1" t="s">
        <v>1922</v>
      </c>
      <c r="M164" s="1" t="s">
        <v>1922</v>
      </c>
      <c r="N164" s="1" t="s">
        <v>1922</v>
      </c>
      <c r="O164" s="1" t="s">
        <v>1922</v>
      </c>
      <c r="P164" s="1" t="s">
        <v>1922</v>
      </c>
      <c r="Q164" s="1" t="s">
        <v>1922</v>
      </c>
      <c r="R164" s="1" t="s">
        <v>1922</v>
      </c>
      <c r="S164" s="1" t="s">
        <v>1922</v>
      </c>
      <c r="T164" s="1" t="s">
        <v>1922</v>
      </c>
      <c r="U164" s="1" t="s">
        <v>1922</v>
      </c>
    </row>
    <row r="165" spans="1:21">
      <c r="A165" s="1" t="s">
        <v>677</v>
      </c>
      <c r="B165" s="1" t="s">
        <v>2435</v>
      </c>
      <c r="C165" s="1" t="s">
        <v>676</v>
      </c>
      <c r="D165" s="1" t="s">
        <v>1919</v>
      </c>
      <c r="E165" s="1" t="s">
        <v>2436</v>
      </c>
      <c r="F165" s="1" t="s">
        <v>409</v>
      </c>
      <c r="G165" s="1" t="s">
        <v>1985</v>
      </c>
      <c r="H165" s="1" t="s">
        <v>1927</v>
      </c>
      <c r="I165" s="1" t="s">
        <v>1922</v>
      </c>
      <c r="J165" s="1" t="s">
        <v>1922</v>
      </c>
      <c r="K165" s="1" t="s">
        <v>1922</v>
      </c>
      <c r="L165" s="1" t="s">
        <v>1922</v>
      </c>
      <c r="M165" s="1" t="s">
        <v>1922</v>
      </c>
      <c r="N165" s="1" t="s">
        <v>1922</v>
      </c>
      <c r="O165" s="1" t="s">
        <v>1922</v>
      </c>
      <c r="P165" s="1" t="s">
        <v>1922</v>
      </c>
      <c r="Q165" s="1" t="s">
        <v>1922</v>
      </c>
      <c r="R165" s="1" t="s">
        <v>1922</v>
      </c>
      <c r="S165" s="1" t="s">
        <v>1922</v>
      </c>
      <c r="T165" s="1" t="s">
        <v>1922</v>
      </c>
      <c r="U165" s="1" t="s">
        <v>1922</v>
      </c>
    </row>
    <row r="166" spans="1:21">
      <c r="A166" s="1" t="s">
        <v>693</v>
      </c>
      <c r="B166" s="1" t="s">
        <v>2437</v>
      </c>
      <c r="C166" s="1" t="s">
        <v>2438</v>
      </c>
      <c r="D166" s="1" t="s">
        <v>1919</v>
      </c>
      <c r="E166" s="1" t="s">
        <v>2439</v>
      </c>
      <c r="F166" s="1" t="s">
        <v>409</v>
      </c>
      <c r="G166" s="1" t="s">
        <v>1985</v>
      </c>
      <c r="H166" s="1" t="s">
        <v>1927</v>
      </c>
      <c r="I166" s="1" t="s">
        <v>1922</v>
      </c>
      <c r="J166" s="1" t="s">
        <v>1922</v>
      </c>
      <c r="K166" s="1" t="s">
        <v>1922</v>
      </c>
      <c r="L166" s="1" t="s">
        <v>1922</v>
      </c>
      <c r="M166" s="1" t="s">
        <v>1922</v>
      </c>
      <c r="N166" s="1" t="s">
        <v>1922</v>
      </c>
      <c r="O166" s="1" t="s">
        <v>1922</v>
      </c>
      <c r="P166" s="1" t="s">
        <v>1922</v>
      </c>
      <c r="Q166" s="1" t="s">
        <v>1922</v>
      </c>
      <c r="R166" s="1" t="s">
        <v>1922</v>
      </c>
      <c r="S166" s="1" t="s">
        <v>1922</v>
      </c>
      <c r="T166" s="1" t="s">
        <v>1922</v>
      </c>
      <c r="U166" s="1" t="s">
        <v>1922</v>
      </c>
    </row>
    <row r="167" spans="1:21">
      <c r="A167" s="1" t="s">
        <v>702</v>
      </c>
      <c r="B167" s="1" t="s">
        <v>2440</v>
      </c>
      <c r="C167" s="1" t="s">
        <v>2441</v>
      </c>
      <c r="D167" s="1" t="s">
        <v>1919</v>
      </c>
      <c r="E167" s="1" t="s">
        <v>2442</v>
      </c>
      <c r="F167" s="1" t="s">
        <v>409</v>
      </c>
      <c r="G167" s="1" t="s">
        <v>1985</v>
      </c>
      <c r="H167" s="1" t="s">
        <v>1927</v>
      </c>
      <c r="I167" s="1" t="s">
        <v>1922</v>
      </c>
      <c r="J167" s="1" t="s">
        <v>1922</v>
      </c>
      <c r="K167" s="1" t="s">
        <v>1922</v>
      </c>
      <c r="L167" s="1" t="s">
        <v>1922</v>
      </c>
      <c r="M167" s="1" t="s">
        <v>1922</v>
      </c>
      <c r="N167" s="1" t="s">
        <v>1922</v>
      </c>
      <c r="O167" s="1" t="s">
        <v>1922</v>
      </c>
      <c r="P167" s="1" t="s">
        <v>1922</v>
      </c>
      <c r="Q167" s="1" t="s">
        <v>1922</v>
      </c>
      <c r="R167" s="1" t="s">
        <v>1922</v>
      </c>
      <c r="S167" s="1" t="s">
        <v>1922</v>
      </c>
      <c r="T167" s="1" t="s">
        <v>1922</v>
      </c>
      <c r="U167" s="1" t="s">
        <v>1922</v>
      </c>
    </row>
    <row r="168" spans="1:21">
      <c r="A168" s="1" t="s">
        <v>1712</v>
      </c>
      <c r="B168" s="1" t="s">
        <v>2443</v>
      </c>
      <c r="C168" s="1" t="s">
        <v>439</v>
      </c>
      <c r="D168" s="1" t="s">
        <v>1919</v>
      </c>
      <c r="E168" s="1" t="s">
        <v>2444</v>
      </c>
      <c r="F168" s="1" t="s">
        <v>388</v>
      </c>
      <c r="G168" s="1" t="s">
        <v>1930</v>
      </c>
      <c r="H168" s="1" t="s">
        <v>1922</v>
      </c>
      <c r="I168" s="1" t="s">
        <v>1922</v>
      </c>
      <c r="J168" s="1" t="s">
        <v>1922</v>
      </c>
      <c r="K168" s="1" t="s">
        <v>1922</v>
      </c>
      <c r="L168" s="1" t="s">
        <v>1922</v>
      </c>
      <c r="M168" s="1" t="s">
        <v>1922</v>
      </c>
      <c r="N168" s="1" t="s">
        <v>1922</v>
      </c>
      <c r="O168" s="1" t="s">
        <v>1922</v>
      </c>
      <c r="P168" s="1" t="s">
        <v>1922</v>
      </c>
      <c r="Q168" s="1" t="s">
        <v>1922</v>
      </c>
      <c r="R168" s="1" t="s">
        <v>1922</v>
      </c>
      <c r="S168" s="1" t="s">
        <v>1922</v>
      </c>
      <c r="T168" s="1" t="s">
        <v>1922</v>
      </c>
      <c r="U168" s="1" t="s">
        <v>1922</v>
      </c>
    </row>
    <row r="169" spans="1:21">
      <c r="A169" s="1" t="s">
        <v>798</v>
      </c>
      <c r="B169" s="1" t="s">
        <v>2445</v>
      </c>
      <c r="C169" s="1" t="s">
        <v>797</v>
      </c>
      <c r="D169" s="1" t="s">
        <v>1919</v>
      </c>
      <c r="E169" s="1" t="s">
        <v>2446</v>
      </c>
      <c r="F169" s="1" t="s">
        <v>409</v>
      </c>
      <c r="G169" s="1" t="s">
        <v>1985</v>
      </c>
      <c r="H169" s="1" t="s">
        <v>1922</v>
      </c>
      <c r="I169" s="1" t="s">
        <v>1922</v>
      </c>
      <c r="J169" s="1" t="s">
        <v>1922</v>
      </c>
      <c r="K169" s="1" t="s">
        <v>1922</v>
      </c>
      <c r="L169" s="1" t="s">
        <v>1922</v>
      </c>
      <c r="M169" s="1" t="s">
        <v>1922</v>
      </c>
      <c r="N169" s="1" t="s">
        <v>1922</v>
      </c>
      <c r="O169" s="1" t="s">
        <v>1922</v>
      </c>
      <c r="P169" s="1" t="s">
        <v>1922</v>
      </c>
      <c r="Q169" s="1" t="s">
        <v>1922</v>
      </c>
      <c r="R169" s="1" t="s">
        <v>1922</v>
      </c>
      <c r="S169" s="1" t="s">
        <v>1922</v>
      </c>
      <c r="T169" s="1" t="s">
        <v>1922</v>
      </c>
      <c r="U169" s="1" t="s">
        <v>1922</v>
      </c>
    </row>
    <row r="170" spans="1:21">
      <c r="A170" s="1" t="s">
        <v>788</v>
      </c>
      <c r="B170" s="1" t="s">
        <v>2447</v>
      </c>
      <c r="C170" s="1" t="s">
        <v>787</v>
      </c>
      <c r="D170" s="1" t="s">
        <v>1919</v>
      </c>
      <c r="E170" s="1" t="s">
        <v>2448</v>
      </c>
      <c r="F170" s="1" t="s">
        <v>409</v>
      </c>
      <c r="G170" s="1" t="s">
        <v>1985</v>
      </c>
      <c r="H170" s="1" t="s">
        <v>1922</v>
      </c>
      <c r="I170" s="1" t="s">
        <v>1922</v>
      </c>
      <c r="J170" s="1" t="s">
        <v>1922</v>
      </c>
      <c r="K170" s="1" t="s">
        <v>1922</v>
      </c>
      <c r="L170" s="1" t="s">
        <v>1922</v>
      </c>
      <c r="M170" s="1" t="s">
        <v>1922</v>
      </c>
      <c r="N170" s="1" t="s">
        <v>1922</v>
      </c>
      <c r="O170" s="1" t="s">
        <v>1922</v>
      </c>
      <c r="P170" s="1" t="s">
        <v>1922</v>
      </c>
      <c r="Q170" s="1" t="s">
        <v>1922</v>
      </c>
      <c r="R170" s="1" t="s">
        <v>1922</v>
      </c>
      <c r="S170" s="1" t="s">
        <v>1922</v>
      </c>
      <c r="T170" s="1" t="s">
        <v>1922</v>
      </c>
      <c r="U170" s="1" t="s">
        <v>1922</v>
      </c>
    </row>
    <row r="171" spans="1:21">
      <c r="A171" s="1" t="s">
        <v>783</v>
      </c>
      <c r="B171" s="1" t="s">
        <v>2449</v>
      </c>
      <c r="C171" s="1" t="s">
        <v>2450</v>
      </c>
      <c r="D171" s="1" t="s">
        <v>1919</v>
      </c>
      <c r="E171" s="1" t="s">
        <v>2451</v>
      </c>
      <c r="F171" s="1" t="s">
        <v>409</v>
      </c>
      <c r="G171" s="1" t="s">
        <v>1985</v>
      </c>
      <c r="H171" s="1" t="s">
        <v>1922</v>
      </c>
      <c r="I171" s="1" t="s">
        <v>1922</v>
      </c>
      <c r="J171" s="1" t="s">
        <v>1922</v>
      </c>
      <c r="K171" s="1" t="s">
        <v>1922</v>
      </c>
      <c r="L171" s="1" t="s">
        <v>1922</v>
      </c>
      <c r="M171" s="1" t="s">
        <v>1922</v>
      </c>
      <c r="N171" s="1" t="s">
        <v>1922</v>
      </c>
      <c r="O171" s="1" t="s">
        <v>1922</v>
      </c>
      <c r="P171" s="1" t="s">
        <v>1922</v>
      </c>
      <c r="Q171" s="1" t="s">
        <v>1922</v>
      </c>
      <c r="R171" s="1" t="s">
        <v>1922</v>
      </c>
      <c r="S171" s="1" t="s">
        <v>1922</v>
      </c>
      <c r="T171" s="1" t="s">
        <v>1922</v>
      </c>
      <c r="U171" s="1" t="s">
        <v>1922</v>
      </c>
    </row>
    <row r="172" spans="1:21">
      <c r="A172" s="1" t="s">
        <v>967</v>
      </c>
      <c r="B172" s="1" t="s">
        <v>2452</v>
      </c>
      <c r="C172" s="1" t="s">
        <v>966</v>
      </c>
      <c r="D172" s="1" t="s">
        <v>1919</v>
      </c>
      <c r="E172" s="1" t="s">
        <v>2453</v>
      </c>
      <c r="F172" s="1" t="s">
        <v>390</v>
      </c>
      <c r="G172" s="1" t="s">
        <v>409</v>
      </c>
      <c r="H172" s="1" t="s">
        <v>1964</v>
      </c>
      <c r="I172" s="1" t="s">
        <v>1922</v>
      </c>
      <c r="J172" s="1" t="s">
        <v>1922</v>
      </c>
      <c r="K172" s="1" t="s">
        <v>1922</v>
      </c>
      <c r="L172" s="1" t="s">
        <v>1922</v>
      </c>
      <c r="M172" s="1" t="s">
        <v>1922</v>
      </c>
      <c r="N172" s="1" t="s">
        <v>1922</v>
      </c>
      <c r="O172" s="1" t="s">
        <v>1922</v>
      </c>
      <c r="P172" s="1" t="s">
        <v>1922</v>
      </c>
      <c r="Q172" s="1" t="s">
        <v>1922</v>
      </c>
      <c r="R172" s="1" t="s">
        <v>1922</v>
      </c>
      <c r="S172" s="1" t="s">
        <v>1922</v>
      </c>
      <c r="T172" s="1" t="s">
        <v>1922</v>
      </c>
      <c r="U172" s="1" t="s">
        <v>1922</v>
      </c>
    </row>
    <row r="173" spans="1:21">
      <c r="A173" s="1" t="s">
        <v>1865</v>
      </c>
      <c r="B173" s="1" t="s">
        <v>2454</v>
      </c>
      <c r="C173" s="1" t="s">
        <v>2455</v>
      </c>
      <c r="D173" s="1" t="s">
        <v>1919</v>
      </c>
      <c r="E173" s="1" t="s">
        <v>2456</v>
      </c>
      <c r="F173" s="1" t="s">
        <v>390</v>
      </c>
      <c r="G173" s="1" t="s">
        <v>409</v>
      </c>
      <c r="H173" s="1" t="s">
        <v>1964</v>
      </c>
      <c r="I173" s="1" t="s">
        <v>1922</v>
      </c>
      <c r="J173" s="1" t="s">
        <v>1922</v>
      </c>
      <c r="K173" s="1" t="s">
        <v>1922</v>
      </c>
      <c r="L173" s="1" t="s">
        <v>1922</v>
      </c>
      <c r="M173" s="1" t="s">
        <v>1922</v>
      </c>
      <c r="N173" s="1" t="s">
        <v>1922</v>
      </c>
      <c r="O173" s="1" t="s">
        <v>1922</v>
      </c>
      <c r="P173" s="1" t="s">
        <v>1922</v>
      </c>
      <c r="Q173" s="1" t="s">
        <v>1922</v>
      </c>
      <c r="R173" s="1" t="s">
        <v>1922</v>
      </c>
      <c r="S173" s="1" t="s">
        <v>1922</v>
      </c>
      <c r="T173" s="1" t="s">
        <v>1922</v>
      </c>
      <c r="U173" s="1" t="s">
        <v>1922</v>
      </c>
    </row>
    <row r="174" spans="1:21">
      <c r="A174" s="1" t="s">
        <v>2457</v>
      </c>
      <c r="B174" s="1" t="s">
        <v>2458</v>
      </c>
      <c r="C174" s="1" t="s">
        <v>1882</v>
      </c>
      <c r="D174" s="1" t="s">
        <v>1919</v>
      </c>
      <c r="E174" s="1" t="s">
        <v>2459</v>
      </c>
      <c r="F174" s="1" t="s">
        <v>49</v>
      </c>
      <c r="G174" s="1" t="s">
        <v>2059</v>
      </c>
      <c r="H174" s="1" t="s">
        <v>1922</v>
      </c>
      <c r="I174" s="1" t="s">
        <v>1922</v>
      </c>
      <c r="J174" s="1" t="s">
        <v>1922</v>
      </c>
      <c r="K174" s="1" t="s">
        <v>1922</v>
      </c>
      <c r="L174" s="1" t="s">
        <v>1922</v>
      </c>
      <c r="M174" s="1" t="s">
        <v>1922</v>
      </c>
      <c r="N174" s="1" t="s">
        <v>1922</v>
      </c>
      <c r="O174" s="1" t="s">
        <v>1922</v>
      </c>
      <c r="P174" s="1" t="s">
        <v>1922</v>
      </c>
      <c r="Q174" s="1" t="s">
        <v>1922</v>
      </c>
      <c r="R174" s="1" t="s">
        <v>1922</v>
      </c>
      <c r="S174" s="1" t="s">
        <v>1922</v>
      </c>
      <c r="T174" s="1" t="s">
        <v>1922</v>
      </c>
      <c r="U174" s="1" t="s">
        <v>1922</v>
      </c>
    </row>
    <row r="175" spans="1:21">
      <c r="A175" s="1" t="s">
        <v>1867</v>
      </c>
      <c r="B175" s="1" t="s">
        <v>2460</v>
      </c>
      <c r="C175" s="1" t="s">
        <v>2461</v>
      </c>
      <c r="D175" s="1" t="s">
        <v>1919</v>
      </c>
      <c r="E175" s="1" t="s">
        <v>2462</v>
      </c>
      <c r="F175" s="1" t="s">
        <v>390</v>
      </c>
      <c r="G175" s="1" t="s">
        <v>409</v>
      </c>
      <c r="H175" s="1" t="s">
        <v>1964</v>
      </c>
      <c r="I175" s="1" t="s">
        <v>1922</v>
      </c>
      <c r="J175" s="1" t="s">
        <v>1922</v>
      </c>
      <c r="K175" s="1" t="s">
        <v>1922</v>
      </c>
      <c r="L175" s="1" t="s">
        <v>1922</v>
      </c>
      <c r="M175" s="1" t="s">
        <v>1922</v>
      </c>
      <c r="N175" s="1" t="s">
        <v>1922</v>
      </c>
      <c r="O175" s="1" t="s">
        <v>1922</v>
      </c>
      <c r="P175" s="1" t="s">
        <v>1922</v>
      </c>
      <c r="Q175" s="1" t="s">
        <v>1922</v>
      </c>
      <c r="R175" s="1" t="s">
        <v>1922</v>
      </c>
      <c r="S175" s="1" t="s">
        <v>1922</v>
      </c>
      <c r="T175" s="1" t="s">
        <v>1922</v>
      </c>
      <c r="U175" s="1" t="s">
        <v>1922</v>
      </c>
    </row>
    <row r="176" spans="1:21">
      <c r="A176" s="1" t="s">
        <v>889</v>
      </c>
      <c r="B176" s="1" t="s">
        <v>2463</v>
      </c>
      <c r="C176" s="1" t="s">
        <v>2464</v>
      </c>
      <c r="D176" s="1" t="s">
        <v>1919</v>
      </c>
      <c r="E176" s="1" t="s">
        <v>2465</v>
      </c>
      <c r="F176" s="1" t="s">
        <v>2073</v>
      </c>
      <c r="G176" s="1" t="s">
        <v>381</v>
      </c>
      <c r="H176" s="1" t="s">
        <v>2466</v>
      </c>
      <c r="I176" s="1" t="s">
        <v>409</v>
      </c>
      <c r="J176" s="1" t="s">
        <v>1922</v>
      </c>
      <c r="K176" s="1" t="s">
        <v>1922</v>
      </c>
      <c r="L176" s="1" t="s">
        <v>1922</v>
      </c>
      <c r="M176" s="1" t="s">
        <v>1922</v>
      </c>
      <c r="N176" s="1" t="s">
        <v>1922</v>
      </c>
      <c r="O176" s="1" t="s">
        <v>1922</v>
      </c>
      <c r="P176" s="1" t="s">
        <v>1922</v>
      </c>
      <c r="Q176" s="1" t="s">
        <v>1922</v>
      </c>
      <c r="R176" s="1" t="s">
        <v>1922</v>
      </c>
      <c r="S176" s="1" t="s">
        <v>1922</v>
      </c>
      <c r="T176" s="1" t="s">
        <v>1922</v>
      </c>
      <c r="U176" s="1" t="s">
        <v>1922</v>
      </c>
    </row>
    <row r="177" spans="1:21">
      <c r="A177" s="1" t="s">
        <v>1857</v>
      </c>
      <c r="B177" s="1" t="s">
        <v>2467</v>
      </c>
      <c r="C177" s="1" t="s">
        <v>1856</v>
      </c>
      <c r="D177" s="1" t="s">
        <v>1932</v>
      </c>
      <c r="E177" s="1" t="s">
        <v>2468</v>
      </c>
      <c r="F177" s="1" t="s">
        <v>396</v>
      </c>
      <c r="G177" s="1" t="s">
        <v>96</v>
      </c>
      <c r="H177" s="1" t="s">
        <v>2111</v>
      </c>
      <c r="I177" s="1" t="s">
        <v>2469</v>
      </c>
      <c r="J177" s="1" t="s">
        <v>2026</v>
      </c>
      <c r="K177" s="1" t="s">
        <v>2044</v>
      </c>
      <c r="L177" s="1" t="s">
        <v>1922</v>
      </c>
      <c r="M177" s="1" t="s">
        <v>1922</v>
      </c>
      <c r="N177" s="1" t="s">
        <v>1922</v>
      </c>
      <c r="O177" s="1" t="s">
        <v>1922</v>
      </c>
      <c r="P177" s="1" t="s">
        <v>1922</v>
      </c>
      <c r="Q177" s="1" t="s">
        <v>1922</v>
      </c>
      <c r="R177" s="1" t="s">
        <v>1922</v>
      </c>
      <c r="S177" s="1" t="s">
        <v>1922</v>
      </c>
      <c r="T177" s="1" t="s">
        <v>1922</v>
      </c>
      <c r="U177" s="1" t="s">
        <v>1922</v>
      </c>
    </row>
    <row r="178" spans="1:21">
      <c r="A178" s="1" t="s">
        <v>867</v>
      </c>
      <c r="B178" s="1" t="s">
        <v>2470</v>
      </c>
      <c r="C178" s="1" t="s">
        <v>866</v>
      </c>
      <c r="D178" s="1" t="s">
        <v>1919</v>
      </c>
      <c r="E178" s="1" t="s">
        <v>2471</v>
      </c>
      <c r="F178" s="1" t="s">
        <v>1951</v>
      </c>
      <c r="G178" s="1" t="s">
        <v>2032</v>
      </c>
      <c r="H178" s="1" t="s">
        <v>386</v>
      </c>
      <c r="I178" s="1" t="s">
        <v>77</v>
      </c>
      <c r="J178" s="1" t="s">
        <v>387</v>
      </c>
      <c r="K178" s="1" t="s">
        <v>2017</v>
      </c>
      <c r="L178" s="1" t="s">
        <v>1922</v>
      </c>
      <c r="M178" s="1" t="s">
        <v>1922</v>
      </c>
      <c r="N178" s="1" t="s">
        <v>1922</v>
      </c>
      <c r="O178" s="1" t="s">
        <v>1922</v>
      </c>
      <c r="P178" s="1" t="s">
        <v>1922</v>
      </c>
      <c r="Q178" s="1" t="s">
        <v>1922</v>
      </c>
      <c r="R178" s="1" t="s">
        <v>1922</v>
      </c>
      <c r="S178" s="1" t="s">
        <v>1922</v>
      </c>
      <c r="T178" s="1" t="s">
        <v>1922</v>
      </c>
      <c r="U178" s="1" t="s">
        <v>1922</v>
      </c>
    </row>
    <row r="179" spans="1:21">
      <c r="A179" s="1" t="s">
        <v>851</v>
      </c>
      <c r="B179" s="1" t="s">
        <v>2472</v>
      </c>
      <c r="C179" s="1" t="s">
        <v>850</v>
      </c>
      <c r="D179" s="1" t="s">
        <v>1932</v>
      </c>
      <c r="E179" s="1" t="s">
        <v>2473</v>
      </c>
      <c r="F179" s="1" t="s">
        <v>1951</v>
      </c>
      <c r="G179" s="1" t="s">
        <v>2032</v>
      </c>
      <c r="H179" s="1" t="s">
        <v>77</v>
      </c>
      <c r="I179" s="1" t="s">
        <v>387</v>
      </c>
      <c r="J179" s="1" t="s">
        <v>2017</v>
      </c>
      <c r="K179" s="1" t="s">
        <v>2285</v>
      </c>
      <c r="L179" s="1" t="s">
        <v>1939</v>
      </c>
      <c r="M179" s="1" t="s">
        <v>1922</v>
      </c>
      <c r="N179" s="1" t="s">
        <v>1922</v>
      </c>
      <c r="O179" s="1" t="s">
        <v>1922</v>
      </c>
      <c r="P179" s="1" t="s">
        <v>1922</v>
      </c>
      <c r="Q179" s="1" t="s">
        <v>1922</v>
      </c>
      <c r="R179" s="1" t="s">
        <v>1922</v>
      </c>
      <c r="S179" s="1" t="s">
        <v>1922</v>
      </c>
      <c r="T179" s="1" t="s">
        <v>1922</v>
      </c>
      <c r="U179" s="1" t="s">
        <v>1922</v>
      </c>
    </row>
    <row r="180" spans="1:21">
      <c r="A180" s="1" t="s">
        <v>921</v>
      </c>
      <c r="B180" s="1" t="s">
        <v>2474</v>
      </c>
      <c r="C180" s="1" t="s">
        <v>920</v>
      </c>
      <c r="D180" s="1" t="s">
        <v>1932</v>
      </c>
      <c r="E180" s="1" t="s">
        <v>2475</v>
      </c>
      <c r="F180" s="1" t="s">
        <v>399</v>
      </c>
      <c r="G180" s="1" t="s">
        <v>2064</v>
      </c>
      <c r="H180" s="1" t="s">
        <v>2066</v>
      </c>
      <c r="I180" s="1" t="s">
        <v>2476</v>
      </c>
      <c r="J180" s="1" t="s">
        <v>1922</v>
      </c>
      <c r="K180" s="1" t="s">
        <v>1922</v>
      </c>
      <c r="L180" s="1" t="s">
        <v>1922</v>
      </c>
      <c r="M180" s="1" t="s">
        <v>1922</v>
      </c>
      <c r="N180" s="1" t="s">
        <v>1922</v>
      </c>
      <c r="O180" s="1" t="s">
        <v>1922</v>
      </c>
      <c r="P180" s="1" t="s">
        <v>1922</v>
      </c>
      <c r="Q180" s="1" t="s">
        <v>1922</v>
      </c>
      <c r="R180" s="1" t="s">
        <v>1922</v>
      </c>
      <c r="S180" s="1" t="s">
        <v>1922</v>
      </c>
      <c r="T180" s="1" t="s">
        <v>1922</v>
      </c>
      <c r="U180" s="1" t="s">
        <v>1922</v>
      </c>
    </row>
    <row r="181" spans="1:21">
      <c r="A181" s="1" t="s">
        <v>961</v>
      </c>
      <c r="B181" s="1" t="s">
        <v>2477</v>
      </c>
      <c r="C181" s="1" t="s">
        <v>960</v>
      </c>
      <c r="D181" s="1" t="s">
        <v>1919</v>
      </c>
      <c r="E181" s="1" t="s">
        <v>2478</v>
      </c>
      <c r="F181" s="1" t="s">
        <v>2396</v>
      </c>
      <c r="G181" s="1" t="s">
        <v>1922</v>
      </c>
      <c r="H181" s="1" t="s">
        <v>1922</v>
      </c>
      <c r="I181" s="1" t="s">
        <v>1922</v>
      </c>
      <c r="J181" s="1" t="s">
        <v>1922</v>
      </c>
      <c r="K181" s="1" t="s">
        <v>1922</v>
      </c>
      <c r="L181" s="1" t="s">
        <v>1922</v>
      </c>
      <c r="M181" s="1" t="s">
        <v>1922</v>
      </c>
      <c r="N181" s="1" t="s">
        <v>1922</v>
      </c>
      <c r="O181" s="1" t="s">
        <v>1922</v>
      </c>
      <c r="P181" s="1" t="s">
        <v>1922</v>
      </c>
      <c r="Q181" s="1" t="s">
        <v>1922</v>
      </c>
      <c r="R181" s="1" t="s">
        <v>1922</v>
      </c>
      <c r="S181" s="1" t="s">
        <v>1922</v>
      </c>
      <c r="T181" s="1" t="s">
        <v>1922</v>
      </c>
      <c r="U181" s="1" t="s">
        <v>1922</v>
      </c>
    </row>
    <row r="182" spans="1:21">
      <c r="A182" s="1" t="s">
        <v>936</v>
      </c>
      <c r="B182" s="1" t="s">
        <v>2479</v>
      </c>
      <c r="C182" s="1" t="s">
        <v>2480</v>
      </c>
      <c r="D182" s="1" t="s">
        <v>1919</v>
      </c>
      <c r="E182" s="1" t="s">
        <v>2481</v>
      </c>
      <c r="F182" s="1" t="s">
        <v>2396</v>
      </c>
      <c r="G182" s="1" t="s">
        <v>1922</v>
      </c>
      <c r="H182" s="1" t="s">
        <v>1922</v>
      </c>
      <c r="I182" s="1" t="s">
        <v>1922</v>
      </c>
      <c r="J182" s="1" t="s">
        <v>1922</v>
      </c>
      <c r="K182" s="1" t="s">
        <v>1922</v>
      </c>
      <c r="L182" s="1" t="s">
        <v>1922</v>
      </c>
      <c r="M182" s="1" t="s">
        <v>1922</v>
      </c>
      <c r="N182" s="1" t="s">
        <v>1922</v>
      </c>
      <c r="O182" s="1" t="s">
        <v>1922</v>
      </c>
      <c r="P182" s="1" t="s">
        <v>1922</v>
      </c>
      <c r="Q182" s="1" t="s">
        <v>1922</v>
      </c>
      <c r="R182" s="1" t="s">
        <v>1922</v>
      </c>
      <c r="S182" s="1" t="s">
        <v>1922</v>
      </c>
      <c r="T182" s="1" t="s">
        <v>1922</v>
      </c>
      <c r="U182" s="1" t="s">
        <v>1922</v>
      </c>
    </row>
    <row r="183" spans="1:21">
      <c r="A183" s="1" t="s">
        <v>1780</v>
      </c>
      <c r="B183" s="1" t="s">
        <v>2482</v>
      </c>
      <c r="C183" s="1" t="s">
        <v>1886</v>
      </c>
      <c r="D183" s="1" t="s">
        <v>1932</v>
      </c>
      <c r="E183" s="1" t="s">
        <v>2483</v>
      </c>
      <c r="F183" s="1" t="s">
        <v>96</v>
      </c>
      <c r="G183" s="1" t="s">
        <v>1939</v>
      </c>
      <c r="H183" s="1" t="s">
        <v>1922</v>
      </c>
      <c r="I183" s="1" t="s">
        <v>1922</v>
      </c>
      <c r="J183" s="1" t="s">
        <v>1922</v>
      </c>
      <c r="K183" s="1" t="s">
        <v>1922</v>
      </c>
      <c r="L183" s="1" t="s">
        <v>1922</v>
      </c>
      <c r="M183" s="1" t="s">
        <v>1922</v>
      </c>
      <c r="N183" s="1" t="s">
        <v>1922</v>
      </c>
      <c r="O183" s="1" t="s">
        <v>1922</v>
      </c>
      <c r="P183" s="1" t="s">
        <v>1922</v>
      </c>
      <c r="Q183" s="1" t="s">
        <v>1922</v>
      </c>
      <c r="R183" s="1" t="s">
        <v>1922</v>
      </c>
      <c r="S183" s="1" t="s">
        <v>1922</v>
      </c>
      <c r="T183" s="1" t="s">
        <v>1922</v>
      </c>
      <c r="U183" s="1" t="s">
        <v>1922</v>
      </c>
    </row>
    <row r="184" spans="1:21">
      <c r="A184" s="1" t="s">
        <v>1771</v>
      </c>
      <c r="B184" s="1" t="s">
        <v>2484</v>
      </c>
      <c r="C184" s="1" t="s">
        <v>662</v>
      </c>
      <c r="D184" s="1" t="s">
        <v>1932</v>
      </c>
      <c r="E184" s="1" t="s">
        <v>2485</v>
      </c>
      <c r="F184" s="1" t="s">
        <v>664</v>
      </c>
      <c r="G184" s="1" t="s">
        <v>2111</v>
      </c>
      <c r="H184" s="1" t="s">
        <v>1922</v>
      </c>
      <c r="I184" s="1" t="s">
        <v>1922</v>
      </c>
      <c r="J184" s="1" t="s">
        <v>1922</v>
      </c>
      <c r="K184" s="1" t="s">
        <v>1922</v>
      </c>
      <c r="L184" s="1" t="s">
        <v>1922</v>
      </c>
      <c r="M184" s="1" t="s">
        <v>1922</v>
      </c>
      <c r="N184" s="1" t="s">
        <v>1922</v>
      </c>
      <c r="O184" s="1" t="s">
        <v>1922</v>
      </c>
      <c r="P184" s="1" t="s">
        <v>1922</v>
      </c>
      <c r="Q184" s="1" t="s">
        <v>1922</v>
      </c>
      <c r="R184" s="1" t="s">
        <v>1922</v>
      </c>
      <c r="S184" s="1" t="s">
        <v>1922</v>
      </c>
      <c r="T184" s="1" t="s">
        <v>1922</v>
      </c>
      <c r="U184" s="1" t="s">
        <v>1922</v>
      </c>
    </row>
    <row r="185" spans="1:21">
      <c r="A185" s="1" t="s">
        <v>731</v>
      </c>
      <c r="B185" s="1" t="s">
        <v>2486</v>
      </c>
      <c r="C185" s="1" t="s">
        <v>1804</v>
      </c>
      <c r="D185" s="1" t="s">
        <v>1946</v>
      </c>
      <c r="E185" s="1" t="s">
        <v>2487</v>
      </c>
      <c r="F185" s="1" t="s">
        <v>96</v>
      </c>
      <c r="G185" s="1" t="s">
        <v>2099</v>
      </c>
      <c r="H185" s="1" t="s">
        <v>2011</v>
      </c>
      <c r="I185" s="1" t="s">
        <v>2100</v>
      </c>
      <c r="J185" s="1" t="s">
        <v>1922</v>
      </c>
      <c r="K185" s="1" t="s">
        <v>1922</v>
      </c>
      <c r="L185" s="1" t="s">
        <v>1922</v>
      </c>
      <c r="M185" s="1" t="s">
        <v>1922</v>
      </c>
      <c r="N185" s="1" t="s">
        <v>1922</v>
      </c>
      <c r="O185" s="1" t="s">
        <v>1922</v>
      </c>
      <c r="P185" s="1" t="s">
        <v>1922</v>
      </c>
      <c r="Q185" s="1" t="s">
        <v>1922</v>
      </c>
      <c r="R185" s="1" t="s">
        <v>1922</v>
      </c>
      <c r="S185" s="1" t="s">
        <v>1922</v>
      </c>
      <c r="T185" s="1" t="s">
        <v>1922</v>
      </c>
      <c r="U185" s="1" t="s">
        <v>1922</v>
      </c>
    </row>
    <row r="186" spans="1:21">
      <c r="A186" s="1" t="s">
        <v>2488</v>
      </c>
      <c r="B186" s="1" t="s">
        <v>2489</v>
      </c>
      <c r="C186" s="1" t="s">
        <v>2490</v>
      </c>
      <c r="D186" s="1" t="s">
        <v>2491</v>
      </c>
      <c r="E186" s="1" t="s">
        <v>2492</v>
      </c>
      <c r="F186" s="1" t="s">
        <v>2073</v>
      </c>
      <c r="G186" s="1" t="s">
        <v>2170</v>
      </c>
      <c r="H186" s="1" t="s">
        <v>391</v>
      </c>
      <c r="I186" s="1" t="s">
        <v>2493</v>
      </c>
      <c r="J186" s="1" t="s">
        <v>1955</v>
      </c>
      <c r="K186" s="1" t="s">
        <v>2371</v>
      </c>
      <c r="L186" s="1" t="s">
        <v>1930</v>
      </c>
      <c r="M186" s="1" t="s">
        <v>1976</v>
      </c>
      <c r="N186" s="1" t="s">
        <v>1999</v>
      </c>
      <c r="O186" s="1" t="s">
        <v>2149</v>
      </c>
      <c r="P186" s="1" t="s">
        <v>2145</v>
      </c>
      <c r="Q186" s="1" t="s">
        <v>2146</v>
      </c>
      <c r="R186" s="1" t="s">
        <v>2494</v>
      </c>
      <c r="S186" s="1" t="s">
        <v>1977</v>
      </c>
      <c r="T186" s="1" t="s">
        <v>2044</v>
      </c>
      <c r="U186" s="1" t="s">
        <v>2125</v>
      </c>
    </row>
    <row r="187" spans="1:21">
      <c r="A187" s="59" t="s">
        <v>2495</v>
      </c>
      <c r="B187" s="59" t="s">
        <v>2496</v>
      </c>
      <c r="C187" s="59" t="s">
        <v>2497</v>
      </c>
      <c r="D187" s="59" t="s">
        <v>1942</v>
      </c>
      <c r="E187" s="59" t="s">
        <v>2498</v>
      </c>
      <c r="F187" s="59" t="s">
        <v>381</v>
      </c>
      <c r="G187" s="59" t="s">
        <v>90</v>
      </c>
      <c r="H187" s="59" t="s">
        <v>1922</v>
      </c>
      <c r="I187" s="59" t="s">
        <v>1922</v>
      </c>
      <c r="J187" s="59" t="s">
        <v>1922</v>
      </c>
      <c r="K187" s="59" t="s">
        <v>1922</v>
      </c>
      <c r="L187" s="59" t="s">
        <v>1922</v>
      </c>
      <c r="M187" s="59" t="s">
        <v>1922</v>
      </c>
      <c r="N187" s="59" t="s">
        <v>1922</v>
      </c>
      <c r="O187" s="59" t="s">
        <v>1922</v>
      </c>
      <c r="P187" s="59" t="s">
        <v>1922</v>
      </c>
      <c r="Q187" s="59" t="s">
        <v>1922</v>
      </c>
      <c r="R187" s="59" t="s">
        <v>1922</v>
      </c>
      <c r="S187" s="59" t="s">
        <v>1922</v>
      </c>
      <c r="T187" s="59" t="s">
        <v>1922</v>
      </c>
      <c r="U187" s="59" t="s">
        <v>1922</v>
      </c>
    </row>
    <row r="188" spans="1:21">
      <c r="A188" s="1" t="s">
        <v>2499</v>
      </c>
      <c r="B188" s="1" t="s">
        <v>2500</v>
      </c>
      <c r="C188" s="1" t="s">
        <v>2501</v>
      </c>
      <c r="D188" s="1" t="s">
        <v>1942</v>
      </c>
      <c r="E188" s="1" t="s">
        <v>2502</v>
      </c>
      <c r="F188" s="1" t="s">
        <v>409</v>
      </c>
      <c r="G188" s="1" t="s">
        <v>1985</v>
      </c>
      <c r="H188" s="1" t="s">
        <v>1922</v>
      </c>
      <c r="I188" s="1" t="s">
        <v>1922</v>
      </c>
      <c r="J188" s="1" t="s">
        <v>1922</v>
      </c>
      <c r="K188" s="1" t="s">
        <v>1922</v>
      </c>
      <c r="L188" s="1" t="s">
        <v>1922</v>
      </c>
      <c r="M188" s="1" t="s">
        <v>1922</v>
      </c>
      <c r="N188" s="1" t="s">
        <v>1922</v>
      </c>
      <c r="O188" s="1" t="s">
        <v>1922</v>
      </c>
      <c r="P188" s="1" t="s">
        <v>1922</v>
      </c>
      <c r="Q188" s="1" t="s">
        <v>1922</v>
      </c>
      <c r="R188" s="1" t="s">
        <v>1922</v>
      </c>
      <c r="S188" s="1" t="s">
        <v>1922</v>
      </c>
      <c r="T188" s="1" t="s">
        <v>1922</v>
      </c>
      <c r="U188" s="1" t="s">
        <v>1922</v>
      </c>
    </row>
    <row r="189" spans="1:21">
      <c r="A189" s="1" t="s">
        <v>2503</v>
      </c>
      <c r="B189" s="1" t="s">
        <v>2504</v>
      </c>
      <c r="C189" s="1" t="s">
        <v>2505</v>
      </c>
      <c r="D189" s="1" t="s">
        <v>1942</v>
      </c>
      <c r="E189" s="1" t="s">
        <v>2506</v>
      </c>
      <c r="F189" s="1" t="s">
        <v>100</v>
      </c>
      <c r="G189" s="1" t="s">
        <v>1548</v>
      </c>
      <c r="H189" s="1" t="s">
        <v>62</v>
      </c>
      <c r="I189" s="1" t="s">
        <v>2507</v>
      </c>
      <c r="J189" s="1" t="s">
        <v>1922</v>
      </c>
      <c r="K189" s="1" t="s">
        <v>1922</v>
      </c>
      <c r="L189" s="1" t="s">
        <v>1922</v>
      </c>
      <c r="M189" s="1" t="s">
        <v>1922</v>
      </c>
      <c r="N189" s="1" t="s">
        <v>1922</v>
      </c>
      <c r="O189" s="1" t="s">
        <v>1922</v>
      </c>
      <c r="P189" s="1" t="s">
        <v>1922</v>
      </c>
      <c r="Q189" s="1" t="s">
        <v>1922</v>
      </c>
      <c r="R189" s="1" t="s">
        <v>1922</v>
      </c>
      <c r="S189" s="1" t="s">
        <v>1922</v>
      </c>
      <c r="T189" s="1" t="s">
        <v>1922</v>
      </c>
      <c r="U189" s="1" t="s">
        <v>1922</v>
      </c>
    </row>
    <row r="190" spans="1:21">
      <c r="A190" s="59" t="s">
        <v>2508</v>
      </c>
      <c r="B190" s="59" t="s">
        <v>2509</v>
      </c>
      <c r="C190" s="59" t="s">
        <v>2510</v>
      </c>
      <c r="D190" s="59" t="s">
        <v>1942</v>
      </c>
      <c r="E190" s="59" t="s">
        <v>2511</v>
      </c>
      <c r="F190" s="59" t="s">
        <v>100</v>
      </c>
      <c r="G190" s="59" t="s">
        <v>99</v>
      </c>
      <c r="H190" s="59" t="s">
        <v>1955</v>
      </c>
      <c r="I190" s="59" t="s">
        <v>1922</v>
      </c>
      <c r="J190" s="59" t="s">
        <v>1922</v>
      </c>
      <c r="K190" s="59" t="s">
        <v>1922</v>
      </c>
      <c r="L190" s="59" t="s">
        <v>1922</v>
      </c>
      <c r="M190" s="59" t="s">
        <v>1922</v>
      </c>
      <c r="N190" s="59" t="s">
        <v>1922</v>
      </c>
      <c r="O190" s="59" t="s">
        <v>1922</v>
      </c>
      <c r="P190" s="59" t="s">
        <v>1922</v>
      </c>
      <c r="Q190" s="59" t="s">
        <v>1922</v>
      </c>
      <c r="R190" s="59" t="s">
        <v>1922</v>
      </c>
      <c r="S190" s="59" t="s">
        <v>1922</v>
      </c>
      <c r="T190" s="59" t="s">
        <v>1922</v>
      </c>
      <c r="U190" s="59" t="s">
        <v>1922</v>
      </c>
    </row>
    <row r="191" spans="1:21">
      <c r="A191" s="59" t="s">
        <v>2512</v>
      </c>
      <c r="B191" s="59" t="s">
        <v>2513</v>
      </c>
      <c r="C191" s="59" t="s">
        <v>2514</v>
      </c>
      <c r="D191" s="59" t="s">
        <v>1942</v>
      </c>
      <c r="E191" s="59" t="s">
        <v>2515</v>
      </c>
      <c r="F191" s="59" t="s">
        <v>381</v>
      </c>
      <c r="G191" s="59" t="s">
        <v>91</v>
      </c>
      <c r="H191" s="59" t="s">
        <v>377</v>
      </c>
      <c r="I191" s="59" t="s">
        <v>90</v>
      </c>
      <c r="J191" s="59" t="s">
        <v>2145</v>
      </c>
      <c r="K191" s="59" t="s">
        <v>1922</v>
      </c>
      <c r="L191" s="59" t="s">
        <v>1922</v>
      </c>
      <c r="M191" s="59" t="s">
        <v>1922</v>
      </c>
      <c r="N191" s="59" t="s">
        <v>1922</v>
      </c>
      <c r="O191" s="59" t="s">
        <v>1922</v>
      </c>
      <c r="P191" s="59" t="s">
        <v>1922</v>
      </c>
      <c r="Q191" s="59" t="s">
        <v>1922</v>
      </c>
      <c r="R191" s="59" t="s">
        <v>1922</v>
      </c>
      <c r="S191" s="59" t="s">
        <v>1922</v>
      </c>
      <c r="T191" s="59" t="s">
        <v>1922</v>
      </c>
      <c r="U191" s="59" t="s">
        <v>1922</v>
      </c>
    </row>
    <row r="192" spans="1:21">
      <c r="A192" s="59" t="s">
        <v>2516</v>
      </c>
      <c r="B192" s="59" t="s">
        <v>2517</v>
      </c>
      <c r="C192" s="59" t="s">
        <v>2518</v>
      </c>
      <c r="D192" s="59" t="s">
        <v>1942</v>
      </c>
      <c r="E192" s="59" t="s">
        <v>2519</v>
      </c>
      <c r="F192" s="59" t="s">
        <v>2073</v>
      </c>
      <c r="G192" s="59" t="s">
        <v>61</v>
      </c>
      <c r="H192" s="59" t="s">
        <v>1922</v>
      </c>
      <c r="I192" s="59" t="s">
        <v>1922</v>
      </c>
      <c r="J192" s="59" t="s">
        <v>1922</v>
      </c>
      <c r="K192" s="59" t="s">
        <v>1922</v>
      </c>
      <c r="L192" s="59" t="s">
        <v>1922</v>
      </c>
      <c r="M192" s="59" t="s">
        <v>1922</v>
      </c>
      <c r="N192" s="59" t="s">
        <v>1922</v>
      </c>
      <c r="O192" s="59" t="s">
        <v>1922</v>
      </c>
      <c r="P192" s="59" t="s">
        <v>1922</v>
      </c>
      <c r="Q192" s="59" t="s">
        <v>1922</v>
      </c>
      <c r="R192" s="59" t="s">
        <v>1922</v>
      </c>
      <c r="S192" s="59" t="s">
        <v>1922</v>
      </c>
      <c r="T192" s="59" t="s">
        <v>1922</v>
      </c>
      <c r="U192" s="59" t="s">
        <v>1922</v>
      </c>
    </row>
    <row r="193" spans="1:21">
      <c r="A193" s="1" t="s">
        <v>603</v>
      </c>
      <c r="B193" s="1" t="s">
        <v>2520</v>
      </c>
      <c r="C193" s="1" t="s">
        <v>602</v>
      </c>
      <c r="D193" s="1" t="s">
        <v>1919</v>
      </c>
      <c r="E193" s="1" t="s">
        <v>2521</v>
      </c>
      <c r="F193" s="1" t="s">
        <v>1970</v>
      </c>
      <c r="G193" s="1" t="s">
        <v>2058</v>
      </c>
      <c r="H193" s="1" t="s">
        <v>2181</v>
      </c>
      <c r="I193" s="1" t="s">
        <v>2146</v>
      </c>
      <c r="J193" s="1" t="s">
        <v>1977</v>
      </c>
      <c r="K193" s="1" t="s">
        <v>1922</v>
      </c>
      <c r="L193" s="1" t="s">
        <v>1922</v>
      </c>
      <c r="M193" s="1" t="s">
        <v>1922</v>
      </c>
      <c r="N193" s="1" t="s">
        <v>1922</v>
      </c>
      <c r="O193" s="1" t="s">
        <v>1922</v>
      </c>
      <c r="P193" s="1" t="s">
        <v>1922</v>
      </c>
      <c r="Q193" s="1" t="s">
        <v>1922</v>
      </c>
      <c r="R193" s="1" t="s">
        <v>1922</v>
      </c>
      <c r="S193" s="1" t="s">
        <v>1922</v>
      </c>
      <c r="T193" s="1" t="s">
        <v>1922</v>
      </c>
      <c r="U193" s="1" t="s">
        <v>1922</v>
      </c>
    </row>
    <row r="194" spans="1:21">
      <c r="A194" s="59" t="s">
        <v>685</v>
      </c>
      <c r="B194" s="59" t="s">
        <v>2522</v>
      </c>
      <c r="C194" s="59" t="s">
        <v>684</v>
      </c>
      <c r="D194" s="59" t="s">
        <v>1919</v>
      </c>
      <c r="E194" s="59" t="s">
        <v>2523</v>
      </c>
      <c r="F194" s="59" t="s">
        <v>407</v>
      </c>
      <c r="G194" s="59" t="s">
        <v>2170</v>
      </c>
      <c r="H194" s="59" t="s">
        <v>2171</v>
      </c>
      <c r="I194" s="59" t="s">
        <v>2172</v>
      </c>
      <c r="J194" s="59" t="s">
        <v>1922</v>
      </c>
      <c r="K194" s="59" t="s">
        <v>1922</v>
      </c>
      <c r="L194" s="59" t="s">
        <v>1922</v>
      </c>
      <c r="M194" s="59" t="s">
        <v>1922</v>
      </c>
      <c r="N194" s="59" t="s">
        <v>1922</v>
      </c>
      <c r="O194" s="59" t="s">
        <v>1922</v>
      </c>
      <c r="P194" s="59" t="s">
        <v>1922</v>
      </c>
      <c r="Q194" s="59" t="s">
        <v>1922</v>
      </c>
      <c r="R194" s="59" t="s">
        <v>1922</v>
      </c>
      <c r="S194" s="59" t="s">
        <v>1922</v>
      </c>
      <c r="T194" s="59" t="s">
        <v>1922</v>
      </c>
      <c r="U194" s="59" t="s">
        <v>1922</v>
      </c>
    </row>
    <row r="195" spans="1:21">
      <c r="A195" s="4" t="s">
        <v>2524</v>
      </c>
      <c r="B195" s="4" t="s">
        <v>2525</v>
      </c>
      <c r="C195" s="4" t="s">
        <v>2526</v>
      </c>
      <c r="D195" s="4" t="s">
        <v>1919</v>
      </c>
      <c r="E195" s="4" t="s">
        <v>2527</v>
      </c>
      <c r="F195" s="4" t="s">
        <v>388</v>
      </c>
      <c r="G195" s="4" t="s">
        <v>2058</v>
      </c>
      <c r="H195" s="4" t="s">
        <v>49</v>
      </c>
      <c r="I195" s="4" t="s">
        <v>2059</v>
      </c>
      <c r="J195" s="4" t="s">
        <v>1922</v>
      </c>
      <c r="K195" s="4" t="s">
        <v>1922</v>
      </c>
      <c r="L195" s="4" t="s">
        <v>1922</v>
      </c>
      <c r="M195" s="4" t="s">
        <v>1922</v>
      </c>
      <c r="N195" s="4" t="s">
        <v>1922</v>
      </c>
      <c r="O195" s="4" t="s">
        <v>1922</v>
      </c>
      <c r="P195" s="4" t="s">
        <v>1922</v>
      </c>
      <c r="Q195" s="4" t="s">
        <v>1922</v>
      </c>
      <c r="R195" s="4" t="s">
        <v>1922</v>
      </c>
      <c r="S195" s="4" t="s">
        <v>1922</v>
      </c>
      <c r="T195" s="4" t="s">
        <v>1922</v>
      </c>
      <c r="U195" s="4" t="s">
        <v>1922</v>
      </c>
    </row>
    <row r="196" spans="1:21">
      <c r="A196" s="1" t="s">
        <v>2528</v>
      </c>
      <c r="B196" s="1" t="s">
        <v>2529</v>
      </c>
      <c r="C196" s="1" t="s">
        <v>2490</v>
      </c>
      <c r="D196" s="1" t="s">
        <v>2491</v>
      </c>
      <c r="E196" s="1" t="s">
        <v>2530</v>
      </c>
      <c r="F196" s="1" t="s">
        <v>1930</v>
      </c>
      <c r="G196" s="1" t="s">
        <v>1922</v>
      </c>
      <c r="H196" s="1" t="s">
        <v>1922</v>
      </c>
      <c r="I196" s="1" t="s">
        <v>1922</v>
      </c>
      <c r="J196" s="1" t="s">
        <v>1922</v>
      </c>
      <c r="K196" s="1" t="s">
        <v>1922</v>
      </c>
      <c r="L196" s="1" t="s">
        <v>1922</v>
      </c>
      <c r="M196" s="1" t="s">
        <v>1922</v>
      </c>
      <c r="N196" s="1" t="s">
        <v>1922</v>
      </c>
      <c r="O196" s="1" t="s">
        <v>1922</v>
      </c>
      <c r="P196" s="1" t="s">
        <v>1922</v>
      </c>
      <c r="Q196" s="1" t="s">
        <v>1922</v>
      </c>
      <c r="R196" s="1" t="s">
        <v>1922</v>
      </c>
      <c r="S196" s="1" t="s">
        <v>1922</v>
      </c>
      <c r="T196" s="1" t="s">
        <v>1922</v>
      </c>
      <c r="U196" s="1" t="s">
        <v>1922</v>
      </c>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33"/>
  <sheetViews>
    <sheetView workbookViewId="0"/>
  </sheetViews>
  <sheetFormatPr defaultColWidth="12.5703125" defaultRowHeight="15.75" customHeight="1"/>
  <cols>
    <col min="1" max="1" width="13.140625" hidden="1" customWidth="1"/>
    <col min="2" max="2" width="30.42578125" customWidth="1"/>
    <col min="3" max="3" width="16.28515625" customWidth="1"/>
    <col min="4" max="4" width="16.42578125" customWidth="1"/>
    <col min="5" max="5" width="2.85546875" customWidth="1"/>
  </cols>
  <sheetData>
    <row r="1" spans="1:6">
      <c r="A1" s="1" t="s">
        <v>79</v>
      </c>
      <c r="B1" s="60" t="s">
        <v>409</v>
      </c>
      <c r="E1" s="1">
        <f>COUNTIF('Export of publications with tag'!$F$2:$U$197,B1)</f>
        <v>42</v>
      </c>
    </row>
    <row r="2" spans="1:6">
      <c r="A2" s="1" t="s">
        <v>79</v>
      </c>
      <c r="B2" s="1" t="s">
        <v>1985</v>
      </c>
      <c r="C2" s="1" t="s">
        <v>1964</v>
      </c>
      <c r="D2" s="1" t="s">
        <v>409</v>
      </c>
      <c r="E2" s="1">
        <f>COUNTIF('Export of publications with tag'!$F$2:$U$197,B2)</f>
        <v>22</v>
      </c>
    </row>
    <row r="3" spans="1:6">
      <c r="A3" s="1" t="s">
        <v>79</v>
      </c>
      <c r="B3" s="1" t="s">
        <v>1964</v>
      </c>
      <c r="E3" s="1">
        <f>COUNTIF('Export of publications with tag'!$F$2:$U$197,B3)</f>
        <v>17</v>
      </c>
    </row>
    <row r="4" spans="1:6">
      <c r="A4" s="1" t="s">
        <v>2531</v>
      </c>
      <c r="B4" s="1" t="s">
        <v>381</v>
      </c>
      <c r="E4" s="1">
        <f>COUNTIF('Export of publications with tag'!$F$2:$U$197,B4)</f>
        <v>17</v>
      </c>
    </row>
    <row r="5" spans="1:6">
      <c r="A5" s="1" t="s">
        <v>2532</v>
      </c>
      <c r="B5" s="1" t="s">
        <v>1939</v>
      </c>
      <c r="C5" s="1" t="s">
        <v>2124</v>
      </c>
      <c r="E5" s="1">
        <f>COUNTIF('Export of publications with tag'!$F$2:$U$197,B5)</f>
        <v>16</v>
      </c>
      <c r="F5" s="1" t="s">
        <v>2533</v>
      </c>
    </row>
    <row r="6" spans="1:6">
      <c r="A6" s="1" t="s">
        <v>98</v>
      </c>
      <c r="B6" s="1" t="s">
        <v>100</v>
      </c>
      <c r="E6" s="1">
        <f>COUNTIF('Export of publications with tag'!$F$2:$U$197,B6)</f>
        <v>16</v>
      </c>
    </row>
    <row r="7" spans="1:6">
      <c r="A7" s="1" t="s">
        <v>2534</v>
      </c>
      <c r="B7" s="1" t="s">
        <v>2059</v>
      </c>
      <c r="E7" s="1">
        <f>COUNTIF('Export of publications with tag'!$F$2:$U$197,B7)</f>
        <v>15</v>
      </c>
    </row>
    <row r="8" spans="1:6">
      <c r="A8" s="1" t="s">
        <v>2534</v>
      </c>
      <c r="B8" s="1" t="s">
        <v>49</v>
      </c>
      <c r="E8" s="1">
        <f>COUNTIF('Export of publications with tag'!$F$2:$U$197,B8)</f>
        <v>15</v>
      </c>
    </row>
    <row r="9" spans="1:6">
      <c r="A9" s="1" t="s">
        <v>2534</v>
      </c>
      <c r="B9" s="1" t="s">
        <v>2058</v>
      </c>
      <c r="E9" s="1">
        <f>COUNTIF('Export of publications with tag'!$F$2:$U$197,B9)</f>
        <v>14</v>
      </c>
    </row>
    <row r="10" spans="1:6">
      <c r="A10" s="1" t="s">
        <v>1831</v>
      </c>
      <c r="B10" s="1" t="s">
        <v>1982</v>
      </c>
      <c r="E10" s="1">
        <f>COUNTIF('Export of publications with tag'!$F$2:$U$197,B10)</f>
        <v>13</v>
      </c>
    </row>
    <row r="11" spans="1:6">
      <c r="A11" s="1" t="s">
        <v>1831</v>
      </c>
      <c r="B11" s="1" t="s">
        <v>30</v>
      </c>
      <c r="E11" s="1">
        <f>COUNTIF('Export of publications with tag'!$F$2:$U$197,B11)</f>
        <v>12</v>
      </c>
    </row>
    <row r="12" spans="1:6">
      <c r="A12" s="1" t="s">
        <v>2535</v>
      </c>
      <c r="B12" s="1" t="s">
        <v>2073</v>
      </c>
      <c r="E12" s="1">
        <f>COUNTIF('Export of publications with tag'!$F$2:$U$197,B12)</f>
        <v>12</v>
      </c>
    </row>
    <row r="13" spans="1:6">
      <c r="A13" s="1" t="s">
        <v>98</v>
      </c>
      <c r="B13" s="1" t="s">
        <v>1955</v>
      </c>
      <c r="E13" s="1">
        <f>COUNTIF('Export of publications with tag'!$F$2:$U$197,B13)</f>
        <v>11</v>
      </c>
    </row>
    <row r="14" spans="1:6">
      <c r="A14" s="1" t="s">
        <v>2536</v>
      </c>
      <c r="B14" s="1" t="s">
        <v>390</v>
      </c>
      <c r="E14" s="1">
        <f>COUNTIF('Export of publications with tag'!$F$2:$U$197,B14)</f>
        <v>11</v>
      </c>
    </row>
    <row r="15" spans="1:6">
      <c r="A15" s="1" t="s">
        <v>2531</v>
      </c>
      <c r="B15" s="1" t="s">
        <v>90</v>
      </c>
      <c r="E15" s="1">
        <f>COUNTIF('Export of publications with tag'!$F$2:$U$197,B15)</f>
        <v>10</v>
      </c>
    </row>
    <row r="16" spans="1:6">
      <c r="A16" s="1" t="s">
        <v>1833</v>
      </c>
      <c r="B16" s="60" t="s">
        <v>1952</v>
      </c>
      <c r="E16" s="1">
        <f>COUNTIF('Export of publications with tag'!$F$2:$U$197,B16)</f>
        <v>10</v>
      </c>
    </row>
    <row r="17" spans="1:5">
      <c r="A17" s="1" t="s">
        <v>1833</v>
      </c>
      <c r="B17" s="1" t="s">
        <v>1888</v>
      </c>
      <c r="C17" s="1" t="s">
        <v>1952</v>
      </c>
      <c r="D17" s="1" t="s">
        <v>351</v>
      </c>
      <c r="E17" s="1">
        <f>COUNTIF('Export of publications with tag'!$F$2:$U$197,B17)</f>
        <v>10</v>
      </c>
    </row>
    <row r="18" spans="1:5">
      <c r="A18" s="1" t="s">
        <v>2537</v>
      </c>
      <c r="B18" s="1" t="s">
        <v>407</v>
      </c>
      <c r="C18" s="1" t="s">
        <v>2172</v>
      </c>
      <c r="E18" s="1">
        <f>COUNTIF('Export of publications with tag'!$F$2:$U$197,B18)</f>
        <v>10</v>
      </c>
    </row>
    <row r="19" spans="1:5">
      <c r="A19" s="1" t="s">
        <v>2538</v>
      </c>
      <c r="B19" s="1" t="s">
        <v>413</v>
      </c>
      <c r="E19" s="1">
        <f>COUNTIF('Export of publications with tag'!$F$2:$U$197,B19)</f>
        <v>10</v>
      </c>
    </row>
    <row r="20" spans="1:5">
      <c r="A20" s="1" t="s">
        <v>2531</v>
      </c>
      <c r="B20" s="1" t="s">
        <v>2146</v>
      </c>
      <c r="E20" s="1">
        <f>COUNTIF('Export of publications with tag'!$F$2:$U$197,B20)</f>
        <v>9</v>
      </c>
    </row>
    <row r="21" spans="1:5">
      <c r="A21" s="1" t="s">
        <v>2539</v>
      </c>
      <c r="B21" s="58" t="s">
        <v>1976</v>
      </c>
      <c r="E21" s="1">
        <f>COUNTIF('Export of publications with tag'!$F$2:$U$197,B21)</f>
        <v>9</v>
      </c>
    </row>
    <row r="22" spans="1:5">
      <c r="A22" s="1" t="s">
        <v>2538</v>
      </c>
      <c r="B22" s="1" t="s">
        <v>2125</v>
      </c>
      <c r="E22" s="1">
        <f>COUNTIF('Export of publications with tag'!$F$2:$U$197,B22)</f>
        <v>9</v>
      </c>
    </row>
    <row r="23" spans="1:5">
      <c r="A23" s="1" t="s">
        <v>1833</v>
      </c>
      <c r="B23" s="60" t="s">
        <v>351</v>
      </c>
      <c r="E23" s="1">
        <f>COUNTIF('Export of publications with tag'!$F$2:$U$197,B23)</f>
        <v>9</v>
      </c>
    </row>
    <row r="24" spans="1:5">
      <c r="A24" s="1" t="s">
        <v>2537</v>
      </c>
      <c r="B24" s="60" t="s">
        <v>2170</v>
      </c>
      <c r="E24" s="1">
        <f>COUNTIF('Export of publications with tag'!$F$2:$U$197,B24)</f>
        <v>9</v>
      </c>
    </row>
    <row r="25" spans="1:5">
      <c r="A25" s="1" t="s">
        <v>2539</v>
      </c>
      <c r="B25" s="1" t="s">
        <v>1930</v>
      </c>
      <c r="E25" s="1">
        <f>COUNTIF('Export of publications with tag'!$F$2:$U$197,B25)</f>
        <v>9</v>
      </c>
    </row>
    <row r="26" spans="1:5">
      <c r="A26" s="1" t="s">
        <v>1831</v>
      </c>
      <c r="B26" s="1" t="s">
        <v>2206</v>
      </c>
      <c r="E26" s="1">
        <f>COUNTIF('Export of publications with tag'!$F$2:$U$197,B26)</f>
        <v>8</v>
      </c>
    </row>
    <row r="27" spans="1:5">
      <c r="A27" s="1" t="s">
        <v>2531</v>
      </c>
      <c r="B27" s="1" t="s">
        <v>2145</v>
      </c>
      <c r="E27" s="1">
        <f>COUNTIF('Export of publications with tag'!$F$2:$U$197,B27)</f>
        <v>8</v>
      </c>
    </row>
    <row r="28" spans="1:5">
      <c r="A28" s="1" t="s">
        <v>2537</v>
      </c>
      <c r="B28" s="1" t="s">
        <v>2172</v>
      </c>
      <c r="E28" s="1">
        <f>COUNTIF('Export of publications with tag'!$F$2:$U$197,B28)</f>
        <v>8</v>
      </c>
    </row>
    <row r="29" spans="1:5">
      <c r="A29" s="1" t="s">
        <v>98</v>
      </c>
      <c r="B29" s="1" t="s">
        <v>99</v>
      </c>
      <c r="E29" s="1">
        <f>COUNTIF('Export of publications with tag'!$F$2:$U$197,B29)</f>
        <v>8</v>
      </c>
    </row>
    <row r="30" spans="1:5">
      <c r="A30" s="1" t="s">
        <v>2537</v>
      </c>
      <c r="B30" s="1" t="s">
        <v>2171</v>
      </c>
      <c r="E30" s="1">
        <f>COUNTIF('Export of publications with tag'!$F$2:$U$197,B30)</f>
        <v>8</v>
      </c>
    </row>
    <row r="31" spans="1:5">
      <c r="A31" s="1" t="s">
        <v>79</v>
      </c>
      <c r="B31" s="60" t="s">
        <v>1927</v>
      </c>
      <c r="E31" s="1">
        <f>COUNTIF('Export of publications with tag'!$F$2:$U$197,B31)</f>
        <v>8</v>
      </c>
    </row>
    <row r="32" spans="1:5">
      <c r="A32" s="1" t="s">
        <v>322</v>
      </c>
      <c r="B32" s="1" t="s">
        <v>96</v>
      </c>
      <c r="E32" s="1">
        <f>COUNTIF('Export of publications with tag'!$F$2:$U$197,B32)</f>
        <v>8</v>
      </c>
    </row>
    <row r="33" spans="1:5">
      <c r="A33" s="1" t="s">
        <v>2540</v>
      </c>
      <c r="B33" s="1" t="s">
        <v>1893</v>
      </c>
      <c r="E33" s="1">
        <f>COUNTIF('Export of publications with tag'!$F$2:$U$197,B33)</f>
        <v>8</v>
      </c>
    </row>
    <row r="34" spans="1:5">
      <c r="A34" s="1" t="s">
        <v>2541</v>
      </c>
      <c r="B34" s="1" t="s">
        <v>1977</v>
      </c>
      <c r="E34" s="1">
        <f>COUNTIF('Export of publications with tag'!$F$2:$U$197,B34)</f>
        <v>7</v>
      </c>
    </row>
    <row r="35" spans="1:5">
      <c r="A35" s="1" t="s">
        <v>2538</v>
      </c>
      <c r="B35" s="1" t="s">
        <v>29</v>
      </c>
      <c r="E35" s="1">
        <f>COUNTIF('Export of publications with tag'!$F$2:$U$197,B35)</f>
        <v>7</v>
      </c>
    </row>
    <row r="36" spans="1:5">
      <c r="A36" s="1" t="s">
        <v>1833</v>
      </c>
      <c r="B36" s="1" t="s">
        <v>2032</v>
      </c>
      <c r="E36" s="1">
        <f>COUNTIF('Export of publications with tag'!$F$2:$U$197,B36)</f>
        <v>7</v>
      </c>
    </row>
    <row r="37" spans="1:5">
      <c r="A37" s="1" t="s">
        <v>2541</v>
      </c>
      <c r="B37" s="1" t="s">
        <v>1970</v>
      </c>
      <c r="E37" s="1">
        <f>COUNTIF('Export of publications with tag'!$F$2:$U$197,B37)</f>
        <v>7</v>
      </c>
    </row>
    <row r="38" spans="1:5">
      <c r="A38" s="1" t="s">
        <v>2535</v>
      </c>
      <c r="B38" s="1" t="s">
        <v>2074</v>
      </c>
      <c r="E38" s="1">
        <f>COUNTIF('Export of publications with tag'!$F$2:$U$197,B38)</f>
        <v>6</v>
      </c>
    </row>
    <row r="39" spans="1:5">
      <c r="A39" s="1" t="s">
        <v>2542</v>
      </c>
      <c r="B39" s="1" t="s">
        <v>2044</v>
      </c>
      <c r="E39" s="1">
        <f>COUNTIF('Export of publications with tag'!$F$2:$U$197,B39)</f>
        <v>6</v>
      </c>
    </row>
    <row r="40" spans="1:5">
      <c r="A40" s="1" t="s">
        <v>2535</v>
      </c>
      <c r="B40" s="1" t="s">
        <v>61</v>
      </c>
      <c r="E40" s="1">
        <f>COUNTIF('Export of publications with tag'!$F$2:$U$197,B40)</f>
        <v>6</v>
      </c>
    </row>
    <row r="41" spans="1:5">
      <c r="A41" s="1" t="s">
        <v>2538</v>
      </c>
      <c r="B41" s="4" t="s">
        <v>2128</v>
      </c>
      <c r="E41" s="1">
        <f>COUNTIF('Export of publications with tag'!$F$2:$U$197,B41)</f>
        <v>6</v>
      </c>
    </row>
    <row r="42" spans="1:5">
      <c r="A42" s="1" t="s">
        <v>2543</v>
      </c>
      <c r="B42" s="1" t="s">
        <v>91</v>
      </c>
      <c r="E42" s="1">
        <f>COUNTIF('Export of publications with tag'!$F$2:$U$197,B42)</f>
        <v>6</v>
      </c>
    </row>
    <row r="43" spans="1:5">
      <c r="A43" s="1" t="s">
        <v>2544</v>
      </c>
      <c r="B43" s="1" t="s">
        <v>77</v>
      </c>
      <c r="E43" s="1">
        <f>COUNTIF('Export of publications with tag'!$F$2:$U$197,B43)</f>
        <v>6</v>
      </c>
    </row>
    <row r="44" spans="1:5">
      <c r="A44" s="1" t="s">
        <v>2532</v>
      </c>
      <c r="B44" s="1" t="s">
        <v>2026</v>
      </c>
      <c r="E44" s="1">
        <f>COUNTIF('Export of publications with tag'!$F$2:$U$197,B44)</f>
        <v>5</v>
      </c>
    </row>
    <row r="45" spans="1:5">
      <c r="A45" s="1" t="s">
        <v>2539</v>
      </c>
      <c r="B45" s="1" t="s">
        <v>1999</v>
      </c>
      <c r="E45" s="1">
        <f>COUNTIF('Export of publications with tag'!$F$2:$U$197,B45)</f>
        <v>5</v>
      </c>
    </row>
    <row r="46" spans="1:5">
      <c r="A46" s="1" t="s">
        <v>2543</v>
      </c>
      <c r="B46" s="1" t="s">
        <v>2149</v>
      </c>
      <c r="E46" s="1">
        <f>COUNTIF('Export of publications with tag'!$F$2:$U$197,B46)</f>
        <v>5</v>
      </c>
    </row>
    <row r="47" spans="1:5">
      <c r="A47" s="1" t="s">
        <v>2545</v>
      </c>
      <c r="B47" s="1" t="s">
        <v>2261</v>
      </c>
      <c r="E47" s="1">
        <f>COUNTIF('Export of publications with tag'!$F$2:$U$197,B47)</f>
        <v>5</v>
      </c>
    </row>
    <row r="48" spans="1:5">
      <c r="A48" s="1" t="s">
        <v>2543</v>
      </c>
      <c r="B48" s="1" t="s">
        <v>377</v>
      </c>
      <c r="E48" s="1">
        <f>COUNTIF('Export of publications with tag'!$F$2:$U$197,B48)</f>
        <v>5</v>
      </c>
    </row>
    <row r="49" spans="1:5">
      <c r="A49" s="1" t="s">
        <v>2532</v>
      </c>
      <c r="B49" s="1" t="s">
        <v>2017</v>
      </c>
      <c r="E49" s="1">
        <f>COUNTIF('Export of publications with tag'!$F$2:$U$197,B49)</f>
        <v>5</v>
      </c>
    </row>
    <row r="50" spans="1:5">
      <c r="A50" s="1" t="s">
        <v>2545</v>
      </c>
      <c r="B50" s="1" t="s">
        <v>2064</v>
      </c>
      <c r="C50" s="61" t="s">
        <v>2063</v>
      </c>
      <c r="D50" s="1" t="s">
        <v>399</v>
      </c>
      <c r="E50" s="1">
        <f>COUNTIF('Export of publications with tag'!$F$2:$U$197,B50)</f>
        <v>5</v>
      </c>
    </row>
    <row r="51" spans="1:5">
      <c r="A51" s="1" t="s">
        <v>2545</v>
      </c>
      <c r="B51" s="1" t="s">
        <v>2260</v>
      </c>
      <c r="E51" s="1">
        <f>COUNTIF('Export of publications with tag'!$F$2:$U$197,B51)</f>
        <v>5</v>
      </c>
    </row>
    <row r="52" spans="1:5">
      <c r="A52" s="1" t="s">
        <v>1833</v>
      </c>
      <c r="B52" s="1" t="s">
        <v>387</v>
      </c>
      <c r="E52" s="1">
        <f>COUNTIF('Export of publications with tag'!$F$2:$U$197,B52)</f>
        <v>5</v>
      </c>
    </row>
    <row r="53" spans="1:5">
      <c r="A53" s="1" t="s">
        <v>1833</v>
      </c>
      <c r="B53" s="1" t="s">
        <v>398</v>
      </c>
      <c r="E53" s="1">
        <f>COUNTIF('Export of publications with tag'!$F$2:$U$197,B53)</f>
        <v>5</v>
      </c>
    </row>
    <row r="54" spans="1:5">
      <c r="A54" s="1" t="s">
        <v>2546</v>
      </c>
      <c r="B54" s="1" t="s">
        <v>62</v>
      </c>
      <c r="E54" s="1">
        <f>COUNTIF('Export of publications with tag'!$F$2:$U$197,B54)</f>
        <v>5</v>
      </c>
    </row>
    <row r="55" spans="1:5">
      <c r="A55" s="1" t="s">
        <v>2542</v>
      </c>
      <c r="B55" s="1" t="s">
        <v>396</v>
      </c>
      <c r="E55" s="1">
        <f>COUNTIF('Export of publications with tag'!$F$2:$U$197,B55)</f>
        <v>5</v>
      </c>
    </row>
    <row r="56" spans="1:5">
      <c r="A56" s="1" t="s">
        <v>2539</v>
      </c>
      <c r="B56" s="1" t="s">
        <v>1465</v>
      </c>
      <c r="E56" s="1">
        <f>COUNTIF('Export of publications with tag'!$F$2:$U$197,B56)</f>
        <v>5</v>
      </c>
    </row>
    <row r="57" spans="1:5">
      <c r="A57" s="1" t="s">
        <v>2545</v>
      </c>
      <c r="B57" s="1" t="s">
        <v>402</v>
      </c>
      <c r="E57" s="1">
        <f>COUNTIF('Export of publications with tag'!$F$2:$U$197,B57)</f>
        <v>5</v>
      </c>
    </row>
    <row r="58" spans="1:5">
      <c r="A58" s="1" t="s">
        <v>1833</v>
      </c>
      <c r="B58" s="1" t="s">
        <v>2011</v>
      </c>
      <c r="E58" s="1">
        <f>COUNTIF('Export of publications with tag'!$F$2:$U$197,B58)</f>
        <v>4</v>
      </c>
    </row>
    <row r="59" spans="1:5">
      <c r="A59" s="1" t="s">
        <v>2532</v>
      </c>
      <c r="B59" s="1" t="s">
        <v>2111</v>
      </c>
      <c r="E59" s="1">
        <f>COUNTIF('Export of publications with tag'!$F$2:$U$197,B59)</f>
        <v>4</v>
      </c>
    </row>
    <row r="60" spans="1:5">
      <c r="A60" s="1" t="s">
        <v>2532</v>
      </c>
      <c r="B60" s="4" t="s">
        <v>2118</v>
      </c>
      <c r="E60" s="1">
        <f>COUNTIF('Export of publications with tag'!$F$2:$U$197,B60)</f>
        <v>4</v>
      </c>
    </row>
    <row r="61" spans="1:5">
      <c r="A61" s="1" t="s">
        <v>1833</v>
      </c>
      <c r="B61" s="1" t="s">
        <v>2135</v>
      </c>
      <c r="E61" s="1">
        <f>COUNTIF('Export of publications with tag'!$F$2:$U$197,B61)</f>
        <v>4</v>
      </c>
    </row>
    <row r="62" spans="1:5">
      <c r="A62" s="1" t="s">
        <v>2539</v>
      </c>
      <c r="B62" s="1" t="s">
        <v>2231</v>
      </c>
      <c r="E62" s="1">
        <f>COUNTIF('Export of publications with tag'!$F$2:$U$197,B62)</f>
        <v>4</v>
      </c>
    </row>
    <row r="63" spans="1:5">
      <c r="A63" s="1" t="s">
        <v>98</v>
      </c>
      <c r="B63" s="1" t="s">
        <v>1998</v>
      </c>
      <c r="E63" s="1">
        <f>COUNTIF('Export of publications with tag'!$F$2:$U$197,B63)</f>
        <v>4</v>
      </c>
    </row>
    <row r="64" spans="1:5">
      <c r="A64" s="1" t="s">
        <v>2542</v>
      </c>
      <c r="B64" s="4" t="s">
        <v>2253</v>
      </c>
      <c r="E64" s="1">
        <f>COUNTIF('Export of publications with tag'!$F$2:$U$197,B64)</f>
        <v>4</v>
      </c>
    </row>
    <row r="65" spans="1:6">
      <c r="A65" s="1" t="s">
        <v>2542</v>
      </c>
      <c r="B65" s="4" t="s">
        <v>2254</v>
      </c>
      <c r="E65" s="1">
        <f>COUNTIF('Export of publications with tag'!$F$2:$U$197,B65)</f>
        <v>4</v>
      </c>
    </row>
    <row r="66" spans="1:6">
      <c r="A66" s="1" t="s">
        <v>2532</v>
      </c>
      <c r="B66" s="1" t="s">
        <v>664</v>
      </c>
      <c r="E66" s="1">
        <f>COUNTIF('Export of publications with tag'!$F$2:$U$197,B66)</f>
        <v>4</v>
      </c>
    </row>
    <row r="67" spans="1:6">
      <c r="A67" s="1" t="s">
        <v>1833</v>
      </c>
      <c r="B67" s="1" t="s">
        <v>1951</v>
      </c>
      <c r="E67" s="1">
        <f>COUNTIF('Export of publications with tag'!$F$2:$U$197,B67)</f>
        <v>4</v>
      </c>
    </row>
    <row r="68" spans="1:6">
      <c r="A68" s="1" t="s">
        <v>2540</v>
      </c>
      <c r="B68" s="1" t="s">
        <v>2193</v>
      </c>
      <c r="E68" s="1">
        <f>COUNTIF('Export of publications with tag'!$F$2:$U$197,B68)</f>
        <v>4</v>
      </c>
    </row>
    <row r="69" spans="1:6">
      <c r="A69" s="1" t="s">
        <v>2542</v>
      </c>
      <c r="B69" s="4" t="s">
        <v>2252</v>
      </c>
      <c r="E69" s="1">
        <f>COUNTIF('Export of publications with tag'!$F$2:$U$197,B69)</f>
        <v>4</v>
      </c>
    </row>
    <row r="70" spans="1:6">
      <c r="A70" s="1" t="s">
        <v>2547</v>
      </c>
      <c r="B70" s="4" t="s">
        <v>1960</v>
      </c>
      <c r="E70" s="1">
        <f>COUNTIF('Export of publications with tag'!$F$2:$U$197,B70)</f>
        <v>4</v>
      </c>
    </row>
    <row r="71" spans="1:6">
      <c r="A71" s="1" t="s">
        <v>1831</v>
      </c>
      <c r="B71" s="1" t="s">
        <v>2212</v>
      </c>
      <c r="E71" s="1">
        <f>COUNTIF('Export of publications with tag'!$F$2:$U$197,B71)</f>
        <v>3</v>
      </c>
    </row>
    <row r="72" spans="1:6">
      <c r="A72" s="1" t="s">
        <v>2542</v>
      </c>
      <c r="B72" s="1" t="s">
        <v>2129</v>
      </c>
      <c r="E72" s="1">
        <f>COUNTIF('Export of publications with tag'!$F$2:$U$197,B72)</f>
        <v>3</v>
      </c>
    </row>
    <row r="73" spans="1:6">
      <c r="A73" s="1" t="s">
        <v>2542</v>
      </c>
      <c r="B73" s="1" t="s">
        <v>2181</v>
      </c>
      <c r="E73" s="1">
        <f>COUNTIF('Export of publications with tag'!$F$2:$U$197,B73)</f>
        <v>3</v>
      </c>
    </row>
    <row r="74" spans="1:6">
      <c r="A74" s="1" t="s">
        <v>2547</v>
      </c>
      <c r="B74" s="4" t="s">
        <v>1961</v>
      </c>
      <c r="E74" s="1">
        <f>COUNTIF('Export of publications with tag'!$F$2:$U$197,B74)</f>
        <v>3</v>
      </c>
    </row>
    <row r="75" spans="1:6">
      <c r="A75" s="1" t="s">
        <v>2541</v>
      </c>
      <c r="B75" s="1" t="s">
        <v>23</v>
      </c>
      <c r="E75" s="1">
        <f>COUNTIF('Export of publications with tag'!$F$2:$U$197,B75)</f>
        <v>3</v>
      </c>
    </row>
    <row r="76" spans="1:6">
      <c r="A76" s="1" t="s">
        <v>2531</v>
      </c>
      <c r="B76" s="4" t="s">
        <v>2144</v>
      </c>
      <c r="E76" s="1">
        <f>COUNTIF('Export of publications with tag'!$F$2:$U$197,B76)</f>
        <v>3</v>
      </c>
    </row>
    <row r="77" spans="1:6">
      <c r="A77" s="1" t="s">
        <v>98</v>
      </c>
      <c r="B77" s="4" t="s">
        <v>2002</v>
      </c>
      <c r="E77" s="1">
        <f>COUNTIF('Export of publications with tag'!$F$2:$U$197,B77)</f>
        <v>3</v>
      </c>
    </row>
    <row r="78" spans="1:6">
      <c r="A78" s="1" t="s">
        <v>2545</v>
      </c>
      <c r="B78" s="60" t="s">
        <v>2063</v>
      </c>
      <c r="E78" s="1">
        <f>COUNTIF('Export of publications with tag'!$F$2:$U$197,B78)</f>
        <v>3</v>
      </c>
    </row>
    <row r="79" spans="1:6">
      <c r="A79" s="1" t="s">
        <v>2545</v>
      </c>
      <c r="B79" s="1" t="s">
        <v>2066</v>
      </c>
      <c r="E79" s="1">
        <f>COUNTIF('Export of publications with tag'!$F$2:$U$197,B79)</f>
        <v>3</v>
      </c>
    </row>
    <row r="80" spans="1:6">
      <c r="A80" s="1" t="s">
        <v>2545</v>
      </c>
      <c r="B80" s="60" t="s">
        <v>2065</v>
      </c>
      <c r="E80" s="1">
        <f>COUNTIF('Export of publications with tag'!$F$2:$U$197,B80)</f>
        <v>3</v>
      </c>
      <c r="F80" s="1" t="s">
        <v>2548</v>
      </c>
    </row>
    <row r="81" spans="1:5">
      <c r="A81" s="1" t="s">
        <v>2545</v>
      </c>
      <c r="B81" s="1" t="s">
        <v>2062</v>
      </c>
      <c r="C81" s="1" t="s">
        <v>2065</v>
      </c>
      <c r="E81" s="1">
        <f>COUNTIF('Export of publications with tag'!$F$2:$U$197,B81)</f>
        <v>3</v>
      </c>
    </row>
    <row r="82" spans="1:5">
      <c r="A82" s="1" t="s">
        <v>2542</v>
      </c>
      <c r="B82" s="1" t="s">
        <v>1548</v>
      </c>
      <c r="E82" s="1">
        <f>COUNTIF('Export of publications with tag'!$F$2:$U$197,B82)</f>
        <v>3</v>
      </c>
    </row>
    <row r="83" spans="1:5">
      <c r="A83" s="1" t="s">
        <v>73</v>
      </c>
      <c r="B83" s="1" t="s">
        <v>1944</v>
      </c>
      <c r="E83" s="1">
        <f>COUNTIF('Export of publications with tag'!$F$2:$U$197,B83)</f>
        <v>3</v>
      </c>
    </row>
    <row r="84" spans="1:5">
      <c r="A84" s="1" t="s">
        <v>79</v>
      </c>
      <c r="B84" s="1" t="s">
        <v>2396</v>
      </c>
      <c r="E84" s="1">
        <f>COUNTIF('Export of publications with tag'!$F$2:$U$197,B84)</f>
        <v>3</v>
      </c>
    </row>
    <row r="85" spans="1:5">
      <c r="A85" s="1" t="s">
        <v>2545</v>
      </c>
      <c r="B85" s="60" t="s">
        <v>399</v>
      </c>
      <c r="E85" s="1">
        <f>COUNTIF('Export of publications with tag'!$F$2:$U$197,B85)</f>
        <v>3</v>
      </c>
    </row>
    <row r="86" spans="1:5">
      <c r="A86" s="1" t="s">
        <v>2549</v>
      </c>
      <c r="B86" s="1" t="s">
        <v>2211</v>
      </c>
      <c r="E86" s="1">
        <f>COUNTIF('Export of publications with tag'!$F$2:$U$197,B86)</f>
        <v>2</v>
      </c>
    </row>
    <row r="87" spans="1:5">
      <c r="A87" s="1" t="s">
        <v>1833</v>
      </c>
      <c r="B87" s="1" t="s">
        <v>2355</v>
      </c>
      <c r="E87" s="1">
        <f>COUNTIF('Export of publications with tag'!$F$2:$U$197,B87)</f>
        <v>2</v>
      </c>
    </row>
    <row r="88" spans="1:5">
      <c r="A88" s="1" t="s">
        <v>1833</v>
      </c>
      <c r="B88" s="1" t="s">
        <v>1954</v>
      </c>
      <c r="E88" s="1">
        <f>COUNTIF('Export of publications with tag'!$F$2:$U$197,B88)</f>
        <v>2</v>
      </c>
    </row>
    <row r="89" spans="1:5">
      <c r="A89" s="1" t="s">
        <v>2542</v>
      </c>
      <c r="B89" s="1" t="s">
        <v>2371</v>
      </c>
      <c r="E89" s="1">
        <f>COUNTIF('Export of publications with tag'!$F$2:$U$197,B89)</f>
        <v>2</v>
      </c>
    </row>
    <row r="90" spans="1:5">
      <c r="A90" s="1" t="s">
        <v>2547</v>
      </c>
      <c r="B90" s="4" t="s">
        <v>2053</v>
      </c>
      <c r="E90" s="1">
        <f>COUNTIF('Export of publications with tag'!$F$2:$U$197,B90)</f>
        <v>2</v>
      </c>
    </row>
    <row r="91" spans="1:5">
      <c r="A91" s="1" t="s">
        <v>2542</v>
      </c>
      <c r="B91" s="1" t="s">
        <v>367</v>
      </c>
      <c r="E91" s="1">
        <f>COUNTIF('Export of publications with tag'!$F$2:$U$197,B91)</f>
        <v>2</v>
      </c>
    </row>
    <row r="92" spans="1:5">
      <c r="A92" s="1" t="s">
        <v>98</v>
      </c>
      <c r="B92" s="1" t="s">
        <v>2100</v>
      </c>
      <c r="E92" s="1">
        <f>COUNTIF('Export of publications with tag'!$F$2:$U$197,B92)</f>
        <v>2</v>
      </c>
    </row>
    <row r="93" spans="1:5">
      <c r="A93" s="1" t="s">
        <v>2541</v>
      </c>
      <c r="B93" s="4" t="s">
        <v>1975</v>
      </c>
      <c r="E93" s="1">
        <f>COUNTIF('Export of publications with tag'!$F$2:$U$197,B93)</f>
        <v>2</v>
      </c>
    </row>
    <row r="94" spans="1:5">
      <c r="A94" s="1" t="s">
        <v>1833</v>
      </c>
      <c r="B94" s="1" t="s">
        <v>71</v>
      </c>
      <c r="E94" s="1">
        <f>COUNTIF('Export of publications with tag'!$F$2:$U$197,B94)</f>
        <v>2</v>
      </c>
    </row>
    <row r="95" spans="1:5">
      <c r="A95" s="1" t="s">
        <v>2542</v>
      </c>
      <c r="B95" s="4" t="s">
        <v>2067</v>
      </c>
      <c r="E95" s="1">
        <f>COUNTIF('Export of publications with tag'!$F$2:$U$197,B95)</f>
        <v>2</v>
      </c>
    </row>
    <row r="96" spans="1:5">
      <c r="A96" s="1" t="s">
        <v>1833</v>
      </c>
      <c r="B96" s="1" t="s">
        <v>386</v>
      </c>
      <c r="E96" s="1">
        <f>COUNTIF('Export of publications with tag'!$F$2:$U$197,B96)</f>
        <v>2</v>
      </c>
    </row>
    <row r="97" spans="1:6">
      <c r="A97" s="1" t="s">
        <v>1833</v>
      </c>
      <c r="B97" s="1" t="s">
        <v>392</v>
      </c>
      <c r="E97" s="1">
        <f>COUNTIF('Export of publications with tag'!$F$2:$U$197,B97)</f>
        <v>2</v>
      </c>
    </row>
    <row r="98" spans="1:6">
      <c r="A98" s="1" t="s">
        <v>1833</v>
      </c>
      <c r="B98" s="1" t="s">
        <v>2285</v>
      </c>
      <c r="E98" s="1">
        <f>COUNTIF('Export of publications with tag'!$F$2:$U$197,B98)</f>
        <v>2</v>
      </c>
    </row>
    <row r="99" spans="1:6">
      <c r="A99" s="1" t="s">
        <v>1833</v>
      </c>
      <c r="B99" s="1" t="s">
        <v>1948</v>
      </c>
      <c r="E99" s="1">
        <f>COUNTIF('Export of publications with tag'!$F$2:$U$197,B99)</f>
        <v>2</v>
      </c>
    </row>
    <row r="100" spans="1:6">
      <c r="A100" s="1" t="s">
        <v>2542</v>
      </c>
      <c r="B100" s="1" t="s">
        <v>2099</v>
      </c>
      <c r="E100" s="1">
        <f>COUNTIF('Export of publications with tag'!$F$2:$U$197,B100)</f>
        <v>2</v>
      </c>
    </row>
    <row r="101" spans="1:6">
      <c r="A101" s="1" t="s">
        <v>2550</v>
      </c>
      <c r="B101" s="1" t="s">
        <v>391</v>
      </c>
      <c r="E101" s="1">
        <f>COUNTIF('Export of publications with tag'!$F$2:$U$197,B101)</f>
        <v>2</v>
      </c>
    </row>
    <row r="102" spans="1:6">
      <c r="A102" s="1" t="s">
        <v>2534</v>
      </c>
      <c r="B102" s="4" t="s">
        <v>2085</v>
      </c>
      <c r="E102" s="1">
        <f>COUNTIF('Export of publications with tag'!$F$2:$U$197,B102)</f>
        <v>2</v>
      </c>
    </row>
    <row r="103" spans="1:6">
      <c r="A103" s="1" t="s">
        <v>2549</v>
      </c>
      <c r="B103" s="1" t="s">
        <v>34</v>
      </c>
      <c r="E103" s="1">
        <f>COUNTIF('Export of publications with tag'!$F$2:$U$197,B103)</f>
        <v>2</v>
      </c>
    </row>
    <row r="104" spans="1:6">
      <c r="A104" s="1" t="s">
        <v>2545</v>
      </c>
      <c r="B104" s="1" t="s">
        <v>388</v>
      </c>
      <c r="E104" s="1">
        <f>COUNTIF('Export of publications with tag'!$F$2:$U$197,B104)</f>
        <v>2</v>
      </c>
    </row>
    <row r="105" spans="1:6">
      <c r="A105" s="1" t="s">
        <v>1831</v>
      </c>
      <c r="B105" s="60" t="s">
        <v>2325</v>
      </c>
      <c r="E105" s="1">
        <f>COUNTIF('Export of publications with tag'!$F$2:$U$197,B105)</f>
        <v>1</v>
      </c>
    </row>
    <row r="106" spans="1:6">
      <c r="A106" s="1" t="s">
        <v>2538</v>
      </c>
      <c r="B106" s="1" t="s">
        <v>2119</v>
      </c>
      <c r="E106" s="1">
        <f>COUNTIF('Export of publications with tag'!$F$2:$U$197,B106)</f>
        <v>1</v>
      </c>
    </row>
    <row r="107" spans="1:6">
      <c r="A107" s="1" t="s">
        <v>2545</v>
      </c>
      <c r="B107" s="1" t="s">
        <v>2476</v>
      </c>
      <c r="E107" s="1">
        <f>COUNTIF('Export of publications with tag'!$F$2:$U$197,B107)</f>
        <v>1</v>
      </c>
    </row>
    <row r="108" spans="1:6">
      <c r="A108" s="1" t="s">
        <v>2551</v>
      </c>
      <c r="B108" s="1" t="s">
        <v>2025</v>
      </c>
      <c r="E108" s="1">
        <f>COUNTIF('Export of publications with tag'!$F$2:$U$197,B108)</f>
        <v>1</v>
      </c>
    </row>
    <row r="109" spans="1:6">
      <c r="A109" s="1" t="s">
        <v>2540</v>
      </c>
      <c r="B109" s="1" t="s">
        <v>2153</v>
      </c>
      <c r="E109" s="1">
        <f>COUNTIF('Export of publications with tag'!$F$2:$U$197,B109)</f>
        <v>1</v>
      </c>
    </row>
    <row r="110" spans="1:6">
      <c r="A110" s="1" t="s">
        <v>322</v>
      </c>
      <c r="B110" s="1" t="s">
        <v>2469</v>
      </c>
      <c r="E110" s="1">
        <f>COUNTIF('Export of publications with tag'!$F$2:$U$197,B110)</f>
        <v>1</v>
      </c>
    </row>
    <row r="111" spans="1:6">
      <c r="A111" s="1" t="s">
        <v>2549</v>
      </c>
      <c r="B111" s="1" t="s">
        <v>1921</v>
      </c>
      <c r="E111" s="1">
        <f>COUNTIF('Export of publications with tag'!$F$2:$U$197,B111)</f>
        <v>1</v>
      </c>
    </row>
    <row r="112" spans="1:6">
      <c r="A112" s="1" t="s">
        <v>2546</v>
      </c>
      <c r="B112" s="4" t="s">
        <v>2507</v>
      </c>
      <c r="E112" s="1">
        <f>COUNTIF('Export of publications with tag'!$F$2:$U$197,B112)</f>
        <v>1</v>
      </c>
      <c r="F112" s="1" t="s">
        <v>2552</v>
      </c>
    </row>
    <row r="113" spans="1:5">
      <c r="A113" s="1" t="s">
        <v>1833</v>
      </c>
      <c r="B113" s="1" t="s">
        <v>1953</v>
      </c>
      <c r="E113" s="1">
        <f>COUNTIF('Export of publications with tag'!$F$2:$U$197,B113)</f>
        <v>1</v>
      </c>
    </row>
    <row r="114" spans="1:5">
      <c r="A114" s="1" t="s">
        <v>2544</v>
      </c>
      <c r="B114" s="1" t="s">
        <v>2494</v>
      </c>
      <c r="E114" s="1">
        <f>COUNTIF('Export of publications with tag'!$F$2:$U$197,B114)</f>
        <v>1</v>
      </c>
    </row>
    <row r="115" spans="1:5">
      <c r="A115" s="1" t="s">
        <v>2532</v>
      </c>
      <c r="B115" s="60" t="s">
        <v>2124</v>
      </c>
      <c r="E115" s="1">
        <f>COUNTIF('Export of publications with tag'!$F$2:$U$197,B115)</f>
        <v>1</v>
      </c>
    </row>
    <row r="116" spans="1:5">
      <c r="A116" s="1" t="s">
        <v>2545</v>
      </c>
      <c r="B116" s="4" t="s">
        <v>2493</v>
      </c>
      <c r="E116" s="1">
        <f>COUNTIF('Export of publications with tag'!$F$2:$U$197,B116)</f>
        <v>1</v>
      </c>
    </row>
    <row r="117" spans="1:5">
      <c r="A117" s="1" t="s">
        <v>2540</v>
      </c>
      <c r="B117" s="1" t="s">
        <v>2160</v>
      </c>
      <c r="E117" s="1">
        <f>COUNTIF('Export of publications with tag'!$F$2:$U$197,B117)</f>
        <v>1</v>
      </c>
    </row>
    <row r="118" spans="1:5">
      <c r="A118" s="1" t="s">
        <v>2535</v>
      </c>
      <c r="B118" s="4" t="s">
        <v>2370</v>
      </c>
      <c r="E118" s="1">
        <f>COUNTIF('Export of publications with tag'!$F$2:$U$197,B118)</f>
        <v>1</v>
      </c>
    </row>
    <row r="119" spans="1:5">
      <c r="A119" s="1" t="s">
        <v>2553</v>
      </c>
      <c r="B119" s="4" t="s">
        <v>2377</v>
      </c>
      <c r="E119" s="1">
        <f>COUNTIF('Export of publications with tag'!$F$2:$U$197,B119)</f>
        <v>1</v>
      </c>
    </row>
    <row r="120" spans="1:5">
      <c r="A120" s="1" t="s">
        <v>1833</v>
      </c>
      <c r="B120" s="1" t="s">
        <v>1950</v>
      </c>
      <c r="E120" s="1">
        <f>COUNTIF('Export of publications with tag'!$F$2:$U$197,B120)</f>
        <v>1</v>
      </c>
    </row>
    <row r="121" spans="1:5">
      <c r="A121" s="1" t="s">
        <v>1833</v>
      </c>
      <c r="B121" s="1" t="s">
        <v>2077</v>
      </c>
      <c r="E121" s="1">
        <f>COUNTIF('Export of publications with tag'!$F$2:$U$197,B121)</f>
        <v>1</v>
      </c>
    </row>
    <row r="122" spans="1:5">
      <c r="A122" s="1" t="s">
        <v>2545</v>
      </c>
      <c r="B122" s="1" t="s">
        <v>2466</v>
      </c>
      <c r="E122" s="1">
        <f>COUNTIF('Export of publications with tag'!$F$2:$U$197,B122)</f>
        <v>1</v>
      </c>
    </row>
    <row r="123" spans="1:5">
      <c r="A123" s="1" t="s">
        <v>1833</v>
      </c>
      <c r="B123" s="1" t="s">
        <v>2132</v>
      </c>
      <c r="E123" s="1">
        <f>COUNTIF('Export of publications with tag'!$F$2:$U$197,B123)</f>
        <v>1</v>
      </c>
    </row>
    <row r="124" spans="1:5">
      <c r="A124" s="1" t="s">
        <v>2542</v>
      </c>
      <c r="B124" s="1" t="s">
        <v>2098</v>
      </c>
      <c r="E124" s="1">
        <f>COUNTIF('Export of publications with tag'!$F$2:$U$197,B124)</f>
        <v>1</v>
      </c>
    </row>
    <row r="125" spans="1:5">
      <c r="A125" s="1" t="s">
        <v>2551</v>
      </c>
      <c r="B125" s="1" t="s">
        <v>476</v>
      </c>
      <c r="E125" s="1">
        <f>COUNTIF('Export of publications with tag'!$F$2:$U$197,B125)</f>
        <v>1</v>
      </c>
    </row>
    <row r="126" spans="1:5">
      <c r="A126" s="1" t="s">
        <v>2540</v>
      </c>
      <c r="B126" s="1" t="s">
        <v>2152</v>
      </c>
      <c r="E126" s="1">
        <f>COUNTIF('Export of publications with tag'!$F$2:$U$197,B126)</f>
        <v>1</v>
      </c>
    </row>
    <row r="127" spans="1:5">
      <c r="A127" s="1" t="s">
        <v>2534</v>
      </c>
      <c r="B127" s="1" t="s">
        <v>2425</v>
      </c>
      <c r="E127" s="1">
        <f>COUNTIF('Export of publications with tag'!$F$2:$U$197,B127)</f>
        <v>1</v>
      </c>
    </row>
    <row r="128" spans="1:5">
      <c r="A128" s="1" t="s">
        <v>1833</v>
      </c>
      <c r="B128" s="1" t="s">
        <v>1949</v>
      </c>
      <c r="E128" s="1">
        <f>COUNTIF('Export of publications with tag'!$F$2:$U$197,B128)</f>
        <v>1</v>
      </c>
    </row>
    <row r="129" spans="1:5">
      <c r="A129" s="1" t="s">
        <v>1833</v>
      </c>
      <c r="B129" s="1" t="s">
        <v>2165</v>
      </c>
      <c r="E129" s="1">
        <f>COUNTIF('Export of publications with tag'!$F$2:$U$197,B129)</f>
        <v>1</v>
      </c>
    </row>
    <row r="130" spans="1:5">
      <c r="A130" s="1" t="s">
        <v>2540</v>
      </c>
      <c r="B130" s="1" t="s">
        <v>406</v>
      </c>
      <c r="E130" s="1">
        <f>COUNTIF('Export of publications with tag'!$F$2:$U$197,B130)</f>
        <v>1</v>
      </c>
    </row>
    <row r="131" spans="1:5">
      <c r="A131" s="1" t="s">
        <v>322</v>
      </c>
      <c r="B131" s="1" t="s">
        <v>2103</v>
      </c>
      <c r="E131" s="1">
        <f>COUNTIF('Export of publications with tag'!$F$2:$U$197,B131)</f>
        <v>1</v>
      </c>
    </row>
    <row r="132" spans="1:5">
      <c r="A132" s="1" t="s">
        <v>2542</v>
      </c>
      <c r="B132" s="1" t="s">
        <v>2300</v>
      </c>
      <c r="E132" s="1">
        <f>COUNTIF('Export of publications with tag'!$F$2:$U$197,B132)</f>
        <v>1</v>
      </c>
    </row>
    <row r="133" spans="1:5">
      <c r="A133" s="1" t="s">
        <v>2551</v>
      </c>
      <c r="B133" s="1" t="s">
        <v>2020</v>
      </c>
      <c r="E133" s="1">
        <f>COUNTIF('Export of publications with tag'!$F$2:$U$197,B133)</f>
        <v>1</v>
      </c>
    </row>
  </sheetData>
  <conditionalFormatting sqref="E1:E133">
    <cfRule type="colorScale" priority="1">
      <colorScale>
        <cfvo type="min"/>
        <cfvo type="percentile" val="50"/>
        <cfvo type="max"/>
        <color rgb="FFE67C73"/>
        <color rgb="FFFFFFFF"/>
        <color rgb="FF57BB8A"/>
      </colorScale>
    </cfRule>
  </conditionalFormatting>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33"/>
  <sheetViews>
    <sheetView workbookViewId="0"/>
  </sheetViews>
  <sheetFormatPr defaultColWidth="12.5703125" defaultRowHeight="15.75" customHeight="1"/>
  <cols>
    <col min="1" max="1" width="13.85546875" customWidth="1"/>
    <col min="2" max="2" width="13.140625" customWidth="1"/>
    <col min="4" max="4" width="81.42578125" customWidth="1"/>
  </cols>
  <sheetData>
    <row r="1" spans="1:4">
      <c r="A1" s="1" t="s">
        <v>2554</v>
      </c>
      <c r="B1" s="1" t="str" cm="1">
        <f t="array" ref="B1:B26">_xlfn.UNIQUE('Count of Unique tags'!A1:A133)</f>
        <v>Investing</v>
      </c>
      <c r="C1" s="1">
        <f>COUNTIF('Count of Unique tags'!A1:A133,B1)</f>
        <v>5</v>
      </c>
    </row>
    <row r="2" spans="1:4">
      <c r="B2" s="59" t="str">
        <v>Debt</v>
      </c>
      <c r="C2" s="1">
        <f>COUNTIF('Count of Unique tags'!A2:A134,B2)</f>
        <v>5</v>
      </c>
    </row>
    <row r="3" spans="1:4">
      <c r="A3" s="1" t="s">
        <v>2532</v>
      </c>
      <c r="B3" s="1" t="str">
        <v>Benefits</v>
      </c>
      <c r="C3" s="1">
        <f>COUNTIF('Count of Unique tags'!A3:A135,B3)</f>
        <v>7</v>
      </c>
    </row>
    <row r="4" spans="1:4">
      <c r="B4" s="26" t="str">
        <v>Retirement</v>
      </c>
      <c r="C4" s="1">
        <f>COUNTIF('Count of Unique tags'!A4:A136,B4)</f>
        <v>6</v>
      </c>
    </row>
    <row r="5" spans="1:4">
      <c r="B5" s="1" t="str">
        <v>Housing</v>
      </c>
      <c r="C5" s="1">
        <f>COUNTIF('Count of Unique tags'!A5:A137,B5)</f>
        <v>5</v>
      </c>
    </row>
    <row r="6" spans="1:4">
      <c r="B6" s="1" t="str">
        <v>Family</v>
      </c>
      <c r="C6" s="1">
        <f>COUNTIF('Count of Unique tags'!A6:A138,B6)</f>
        <v>5</v>
      </c>
      <c r="D6" s="1" t="s">
        <v>2541</v>
      </c>
    </row>
    <row r="7" spans="1:4">
      <c r="A7" s="1" t="s">
        <v>2555</v>
      </c>
      <c r="B7" s="1" t="str">
        <v>Emergency fund</v>
      </c>
      <c r="C7" s="1">
        <f>COUNTIF('Count of Unique tags'!A7:A139,B7)</f>
        <v>4</v>
      </c>
    </row>
    <row r="8" spans="1:4">
      <c r="B8" s="1" t="str">
        <v>Markets</v>
      </c>
      <c r="C8" s="1">
        <f>COUNTIF('Count of Unique tags'!A8:A140,B8)</f>
        <v>1</v>
      </c>
      <c r="D8" s="1" t="s">
        <v>2542</v>
      </c>
    </row>
    <row r="9" spans="1:4">
      <c r="A9" s="1" t="s">
        <v>2554</v>
      </c>
      <c r="B9" s="1" t="str">
        <v>Account types</v>
      </c>
      <c r="C9" s="1">
        <f>COUNTIF('Count of Unique tags'!A9:A141,B9)</f>
        <v>22</v>
      </c>
      <c r="D9" s="1" t="s">
        <v>2556</v>
      </c>
    </row>
    <row r="10" spans="1:4">
      <c r="A10" s="1" t="s">
        <v>2557</v>
      </c>
      <c r="B10" s="1" t="str">
        <v>Budget - Extras</v>
      </c>
      <c r="C10" s="1">
        <f>COUNTIF('Count of Unique tags'!A10:A142,B10)</f>
        <v>4</v>
      </c>
    </row>
    <row r="11" spans="1:4">
      <c r="B11" s="26" t="str">
        <v>Kids Education</v>
      </c>
      <c r="C11" s="1">
        <f>COUNTIF('Count of Unique tags'!A11:A143,B11)</f>
        <v>5</v>
      </c>
      <c r="D11" s="1" t="s">
        <v>2542</v>
      </c>
    </row>
    <row r="12" spans="1:4">
      <c r="B12" s="1" t="str">
        <v>App</v>
      </c>
      <c r="C12" s="1">
        <f>COUNTIF('Count of Unique tags'!A12:A144,B12)</f>
        <v>5</v>
      </c>
    </row>
    <row r="13" spans="1:4">
      <c r="A13" s="1" t="s">
        <v>2554</v>
      </c>
      <c r="B13" s="1" t="str">
        <v>Taxes</v>
      </c>
      <c r="C13" s="1">
        <f>COUNTIF('Count of Unique tags'!A13:A145,B13)</f>
        <v>3</v>
      </c>
    </row>
    <row r="14" spans="1:4">
      <c r="B14" s="1" t="str">
        <v>Loans</v>
      </c>
      <c r="C14" s="1">
        <f>COUNTIF('Count of Unique tags'!A14:A146,B14)</f>
        <v>6</v>
      </c>
    </row>
    <row r="15" spans="1:4">
      <c r="B15" s="1" t="str">
        <v>Couples</v>
      </c>
      <c r="C15" s="1">
        <f>COUNTIF('Count of Unique tags'!A15:A147,B15)</f>
        <v>4</v>
      </c>
      <c r="D15" s="1" t="s">
        <v>1831</v>
      </c>
    </row>
    <row r="16" spans="1:4">
      <c r="B16" s="1" t="str">
        <v>??</v>
      </c>
      <c r="C16" s="1">
        <f>COUNTIF('Count of Unique tags'!A16:A148,B16)</f>
        <v>14</v>
      </c>
    </row>
    <row r="17" spans="1:4">
      <c r="B17" s="1" t="str">
        <v>Credit</v>
      </c>
      <c r="C17" s="1">
        <f>COUNTIF('Count of Unique tags'!A17:A149,B17)</f>
        <v>3</v>
      </c>
      <c r="D17" s="1" t="s">
        <v>2540</v>
      </c>
    </row>
    <row r="18" spans="1:4">
      <c r="A18" s="1" t="s">
        <v>2555</v>
      </c>
      <c r="B18" s="1" t="str">
        <v>Health</v>
      </c>
      <c r="C18" s="1">
        <f>COUNTIF('Count of Unique tags'!A18:A150,B18)</f>
        <v>2</v>
      </c>
    </row>
    <row r="19" spans="1:4">
      <c r="B19" s="1" t="str">
        <v>Income</v>
      </c>
      <c r="C19" s="1">
        <f>COUNTIF('Count of Unique tags'!A19:A151,B19)</f>
        <v>13</v>
      </c>
      <c r="D19" s="1" t="s">
        <v>2558</v>
      </c>
    </row>
    <row r="20" spans="1:4">
      <c r="A20" s="1" t="s">
        <v>2555</v>
      </c>
      <c r="B20" s="1" t="str">
        <v>Budget</v>
      </c>
      <c r="C20" s="1">
        <f>COUNTIF('Count of Unique tags'!A20:A152,B20)</f>
        <v>2</v>
      </c>
    </row>
    <row r="21" spans="1:4">
      <c r="A21" s="1" t="s">
        <v>2555</v>
      </c>
      <c r="B21" s="1" t="str">
        <v>Insurance</v>
      </c>
      <c r="C21" s="1">
        <f>COUNTIF('Count of Unique tags'!A21:A153,B21)</f>
        <v>3</v>
      </c>
    </row>
    <row r="22" spans="1:4">
      <c r="B22" s="1" t="str">
        <v>Estate planning</v>
      </c>
      <c r="C22" s="1">
        <f>COUNTIF('Count of Unique tags'!A22:A154,B22)</f>
        <v>1</v>
      </c>
      <c r="D22" s="1" t="s">
        <v>2550</v>
      </c>
    </row>
    <row r="23" spans="1:4">
      <c r="B23" s="1" t="str">
        <v>Care</v>
      </c>
      <c r="C23" s="1">
        <f>COUNTIF('Count of Unique tags'!A23:A155,B23)</f>
        <v>3</v>
      </c>
    </row>
    <row r="24" spans="1:4">
      <c r="B24" s="1" t="str">
        <v>Inheritance</v>
      </c>
      <c r="C24" s="1">
        <f>COUNTIF('Count of Unique tags'!A24:A156,B24)</f>
        <v>1</v>
      </c>
      <c r="D24" s="1" t="s">
        <v>2559</v>
      </c>
    </row>
    <row r="25" spans="1:4">
      <c r="B25" s="1" t="str">
        <v>Mental health</v>
      </c>
      <c r="C25" s="1">
        <f>COUNTIF('Count of Unique tags'!A25:A157,B25)</f>
        <v>3</v>
      </c>
      <c r="D25" s="1" t="s">
        <v>2560</v>
      </c>
    </row>
    <row r="26" spans="1:4">
      <c r="B26" s="1" t="str">
        <v>Relocation</v>
      </c>
      <c r="C26" s="1">
        <f>COUNTIF('Count of Unique tags'!A26:A158,B26)</f>
        <v>1</v>
      </c>
      <c r="D26" s="1" t="s">
        <v>2561</v>
      </c>
    </row>
    <row r="27" spans="1:4">
      <c r="C27" s="1">
        <f>COUNTIF('Count of Unique tags'!A27:A159,B27)</f>
        <v>0</v>
      </c>
    </row>
    <row r="28" spans="1:4">
      <c r="C28" s="1">
        <f>COUNTIF('Count of Unique tags'!A28:A160,B28)</f>
        <v>0</v>
      </c>
    </row>
    <row r="33" spans="4:4">
      <c r="D33" s="1" t="s">
        <v>2562</v>
      </c>
    </row>
  </sheetData>
  <conditionalFormatting sqref="C1:C32">
    <cfRule type="colorScale" priority="1">
      <colorScale>
        <cfvo type="min"/>
        <cfvo type="percentile" val="50"/>
        <cfvo type="max"/>
        <color rgb="FFE67C73"/>
        <color rgb="FFFFFFFF"/>
        <color rgb="FF57BB8A"/>
      </colorScale>
    </cfRule>
  </conditionalFormatting>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L1178"/>
  <sheetViews>
    <sheetView workbookViewId="0"/>
  </sheetViews>
  <sheetFormatPr defaultColWidth="12.5703125" defaultRowHeight="15.75" customHeight="1"/>
  <cols>
    <col min="1" max="1" width="19.5703125" customWidth="1"/>
  </cols>
  <sheetData>
    <row r="1" spans="1:12">
      <c r="A1" s="1" t="s">
        <v>34</v>
      </c>
      <c r="C1" s="1" t="s">
        <v>1922</v>
      </c>
      <c r="D1" s="1" t="s">
        <v>1922</v>
      </c>
      <c r="F1" s="1" t="s">
        <v>1922</v>
      </c>
      <c r="G1" s="1" t="s">
        <v>1922</v>
      </c>
      <c r="H1" s="1" t="s">
        <v>1922</v>
      </c>
      <c r="I1" s="1" t="s">
        <v>1922</v>
      </c>
      <c r="J1" s="1" t="s">
        <v>1922</v>
      </c>
      <c r="K1" s="1" t="s">
        <v>1922</v>
      </c>
      <c r="L1" s="1" t="s">
        <v>1922</v>
      </c>
    </row>
    <row r="2" spans="1:12">
      <c r="A2" s="1" t="s">
        <v>1548</v>
      </c>
      <c r="B2" s="1" t="s">
        <v>1922</v>
      </c>
      <c r="C2" s="1" t="s">
        <v>1922</v>
      </c>
      <c r="D2" s="1" t="s">
        <v>1922</v>
      </c>
      <c r="E2" s="1" t="s">
        <v>1922</v>
      </c>
      <c r="F2" s="1" t="s">
        <v>1922</v>
      </c>
      <c r="G2" s="1" t="s">
        <v>1922</v>
      </c>
      <c r="H2" s="1" t="s">
        <v>1922</v>
      </c>
      <c r="I2" s="1" t="s">
        <v>1922</v>
      </c>
      <c r="J2" s="1" t="s">
        <v>1922</v>
      </c>
      <c r="K2" s="1" t="s">
        <v>1922</v>
      </c>
      <c r="L2" s="1" t="s">
        <v>1922</v>
      </c>
    </row>
    <row r="3" spans="1:12">
      <c r="A3" s="1" t="s">
        <v>409</v>
      </c>
      <c r="B3" s="1" t="s">
        <v>1922</v>
      </c>
      <c r="C3" s="1" t="s">
        <v>1922</v>
      </c>
      <c r="D3" s="1" t="s">
        <v>1922</v>
      </c>
      <c r="E3" s="1" t="s">
        <v>1922</v>
      </c>
      <c r="F3" s="1" t="s">
        <v>1922</v>
      </c>
      <c r="G3" s="1" t="s">
        <v>1922</v>
      </c>
      <c r="H3" s="1" t="s">
        <v>1922</v>
      </c>
      <c r="I3" s="1" t="s">
        <v>1922</v>
      </c>
      <c r="J3" s="1" t="s">
        <v>1922</v>
      </c>
      <c r="K3" s="1" t="s">
        <v>1922</v>
      </c>
      <c r="L3" s="1" t="s">
        <v>1922</v>
      </c>
    </row>
    <row r="4" spans="1:12">
      <c r="A4" s="1" t="s">
        <v>390</v>
      </c>
      <c r="B4" s="1" t="s">
        <v>1922</v>
      </c>
      <c r="C4" s="1" t="s">
        <v>1922</v>
      </c>
      <c r="D4" s="1" t="s">
        <v>1922</v>
      </c>
      <c r="E4" s="1" t="s">
        <v>1922</v>
      </c>
      <c r="F4" s="1" t="s">
        <v>1922</v>
      </c>
      <c r="G4" s="1" t="s">
        <v>1922</v>
      </c>
      <c r="H4" s="1" t="s">
        <v>1922</v>
      </c>
      <c r="I4" s="1" t="s">
        <v>1922</v>
      </c>
      <c r="J4" s="1" t="s">
        <v>1922</v>
      </c>
      <c r="K4" s="1" t="s">
        <v>1922</v>
      </c>
      <c r="L4" s="1" t="s">
        <v>1922</v>
      </c>
    </row>
    <row r="5" spans="1:12">
      <c r="A5" s="1" t="s">
        <v>34</v>
      </c>
      <c r="B5" s="1" t="s">
        <v>1922</v>
      </c>
      <c r="C5" s="1" t="s">
        <v>1922</v>
      </c>
      <c r="D5" s="1" t="s">
        <v>1922</v>
      </c>
      <c r="E5" s="1" t="s">
        <v>1922</v>
      </c>
      <c r="F5" s="1" t="s">
        <v>1922</v>
      </c>
      <c r="G5" s="1" t="s">
        <v>1922</v>
      </c>
      <c r="H5" s="1" t="s">
        <v>1922</v>
      </c>
      <c r="I5" s="1" t="s">
        <v>1922</v>
      </c>
      <c r="J5" s="1" t="s">
        <v>1922</v>
      </c>
      <c r="K5" s="1" t="s">
        <v>1922</v>
      </c>
      <c r="L5" s="1" t="s">
        <v>1922</v>
      </c>
    </row>
    <row r="6" spans="1:12">
      <c r="A6" s="1" t="s">
        <v>391</v>
      </c>
      <c r="B6" s="1" t="s">
        <v>1922</v>
      </c>
      <c r="C6" s="1" t="s">
        <v>1922</v>
      </c>
      <c r="D6" s="1" t="s">
        <v>1922</v>
      </c>
      <c r="E6" s="1" t="s">
        <v>1922</v>
      </c>
      <c r="F6" s="1" t="s">
        <v>1922</v>
      </c>
      <c r="G6" s="1" t="s">
        <v>1922</v>
      </c>
      <c r="H6" s="1" t="s">
        <v>1922</v>
      </c>
      <c r="I6" s="1" t="s">
        <v>1922</v>
      </c>
      <c r="J6" s="1" t="s">
        <v>1922</v>
      </c>
      <c r="K6" s="1" t="s">
        <v>1922</v>
      </c>
      <c r="L6" s="1" t="s">
        <v>1922</v>
      </c>
    </row>
    <row r="7" spans="1:12">
      <c r="A7" s="1" t="s">
        <v>1939</v>
      </c>
      <c r="B7" s="1" t="s">
        <v>1922</v>
      </c>
      <c r="C7" s="1" t="s">
        <v>1922</v>
      </c>
      <c r="D7" s="1" t="s">
        <v>1922</v>
      </c>
      <c r="E7" s="1" t="s">
        <v>1922</v>
      </c>
      <c r="F7" s="1" t="s">
        <v>1922</v>
      </c>
      <c r="G7" s="1" t="s">
        <v>1922</v>
      </c>
      <c r="H7" s="1" t="s">
        <v>1922</v>
      </c>
      <c r="I7" s="1" t="s">
        <v>1922</v>
      </c>
      <c r="J7" s="1" t="s">
        <v>1922</v>
      </c>
      <c r="K7" s="1" t="s">
        <v>1922</v>
      </c>
      <c r="L7" s="1" t="s">
        <v>1922</v>
      </c>
    </row>
    <row r="8" spans="1:12">
      <c r="A8" s="1" t="s">
        <v>1944</v>
      </c>
      <c r="B8" s="1" t="s">
        <v>1922</v>
      </c>
      <c r="C8" s="1" t="s">
        <v>1922</v>
      </c>
      <c r="D8" s="1" t="s">
        <v>1922</v>
      </c>
      <c r="E8" s="1" t="s">
        <v>1922</v>
      </c>
      <c r="F8" s="1" t="s">
        <v>1922</v>
      </c>
      <c r="G8" s="1" t="s">
        <v>1922</v>
      </c>
      <c r="H8" s="1" t="s">
        <v>1922</v>
      </c>
      <c r="I8" s="1" t="s">
        <v>1922</v>
      </c>
      <c r="J8" s="1" t="s">
        <v>1922</v>
      </c>
      <c r="K8" s="1" t="s">
        <v>1922</v>
      </c>
      <c r="L8" s="1" t="s">
        <v>1922</v>
      </c>
    </row>
    <row r="9" spans="1:12">
      <c r="A9" s="1" t="s">
        <v>100</v>
      </c>
      <c r="J9" s="1" t="s">
        <v>1922</v>
      </c>
      <c r="K9" s="1" t="s">
        <v>1922</v>
      </c>
      <c r="L9" s="1" t="s">
        <v>1922</v>
      </c>
    </row>
    <row r="10" spans="1:12">
      <c r="A10" s="1" t="s">
        <v>1960</v>
      </c>
      <c r="B10" s="1" t="s">
        <v>1922</v>
      </c>
      <c r="C10" s="1" t="s">
        <v>1922</v>
      </c>
      <c r="D10" s="1" t="s">
        <v>1922</v>
      </c>
      <c r="E10" s="1" t="s">
        <v>1922</v>
      </c>
      <c r="F10" s="1" t="s">
        <v>1922</v>
      </c>
      <c r="G10" s="1" t="s">
        <v>1922</v>
      </c>
      <c r="H10" s="1" t="s">
        <v>1922</v>
      </c>
      <c r="I10" s="1" t="s">
        <v>1922</v>
      </c>
      <c r="J10" s="1" t="s">
        <v>1922</v>
      </c>
      <c r="K10" s="1" t="s">
        <v>1922</v>
      </c>
      <c r="L10" s="1" t="s">
        <v>1922</v>
      </c>
    </row>
    <row r="11" spans="1:12">
      <c r="A11" s="1" t="s">
        <v>409</v>
      </c>
      <c r="B11" s="1" t="s">
        <v>1922</v>
      </c>
      <c r="C11" s="1" t="s">
        <v>1922</v>
      </c>
      <c r="D11" s="1" t="s">
        <v>1922</v>
      </c>
      <c r="E11" s="1" t="s">
        <v>1922</v>
      </c>
      <c r="F11" s="1" t="s">
        <v>1922</v>
      </c>
      <c r="G11" s="1" t="s">
        <v>1922</v>
      </c>
      <c r="H11" s="1" t="s">
        <v>1922</v>
      </c>
      <c r="I11" s="1" t="s">
        <v>1922</v>
      </c>
      <c r="J11" s="1" t="s">
        <v>1922</v>
      </c>
      <c r="K11" s="1" t="s">
        <v>1922</v>
      </c>
      <c r="L11" s="1" t="s">
        <v>1922</v>
      </c>
    </row>
    <row r="12" spans="1:12">
      <c r="A12" s="1" t="s">
        <v>409</v>
      </c>
      <c r="B12" s="1" t="s">
        <v>1922</v>
      </c>
      <c r="C12" s="1" t="s">
        <v>1922</v>
      </c>
      <c r="D12" s="1" t="s">
        <v>1922</v>
      </c>
      <c r="E12" s="1" t="s">
        <v>1922</v>
      </c>
      <c r="F12" s="1" t="s">
        <v>1922</v>
      </c>
      <c r="G12" s="1" t="s">
        <v>1922</v>
      </c>
      <c r="H12" s="1" t="s">
        <v>1922</v>
      </c>
      <c r="I12" s="1" t="s">
        <v>1922</v>
      </c>
      <c r="J12" s="1" t="s">
        <v>1922</v>
      </c>
      <c r="K12" s="1" t="s">
        <v>1922</v>
      </c>
      <c r="L12" s="1" t="s">
        <v>1922</v>
      </c>
    </row>
    <row r="13" spans="1:12">
      <c r="A13" s="1" t="s">
        <v>1970</v>
      </c>
      <c r="B13" s="1" t="s">
        <v>1922</v>
      </c>
      <c r="C13" s="1" t="s">
        <v>1922</v>
      </c>
      <c r="D13" s="1" t="s">
        <v>1922</v>
      </c>
      <c r="E13" s="1" t="s">
        <v>1922</v>
      </c>
      <c r="F13" s="1" t="s">
        <v>1922</v>
      </c>
      <c r="G13" s="1" t="s">
        <v>1922</v>
      </c>
      <c r="H13" s="1" t="s">
        <v>1922</v>
      </c>
      <c r="I13" s="1" t="s">
        <v>1922</v>
      </c>
      <c r="J13" s="1" t="s">
        <v>1922</v>
      </c>
      <c r="K13" s="1" t="s">
        <v>1922</v>
      </c>
      <c r="L13" s="1" t="s">
        <v>1922</v>
      </c>
    </row>
    <row r="14" spans="1:12">
      <c r="A14" s="1" t="s">
        <v>1970</v>
      </c>
      <c r="B14" s="1" t="s">
        <v>1922</v>
      </c>
      <c r="C14" s="1" t="s">
        <v>1922</v>
      </c>
      <c r="D14" s="1" t="s">
        <v>1922</v>
      </c>
      <c r="E14" s="1" t="s">
        <v>1922</v>
      </c>
      <c r="F14" s="1" t="s">
        <v>1922</v>
      </c>
      <c r="G14" s="1" t="s">
        <v>1922</v>
      </c>
      <c r="H14" s="1" t="s">
        <v>1922</v>
      </c>
      <c r="I14" s="1" t="s">
        <v>1922</v>
      </c>
      <c r="J14" s="1" t="s">
        <v>1922</v>
      </c>
      <c r="K14" s="1" t="s">
        <v>1922</v>
      </c>
      <c r="L14" s="1" t="s">
        <v>1922</v>
      </c>
    </row>
    <row r="15" spans="1:12">
      <c r="A15" s="1" t="s">
        <v>1548</v>
      </c>
      <c r="B15" s="1" t="s">
        <v>1922</v>
      </c>
      <c r="C15" s="1" t="s">
        <v>1922</v>
      </c>
      <c r="D15" s="1" t="s">
        <v>1922</v>
      </c>
      <c r="E15" s="1" t="s">
        <v>1922</v>
      </c>
      <c r="F15" s="1" t="s">
        <v>1922</v>
      </c>
      <c r="G15" s="1" t="s">
        <v>1922</v>
      </c>
      <c r="H15" s="1" t="s">
        <v>1922</v>
      </c>
      <c r="I15" s="1" t="s">
        <v>1922</v>
      </c>
      <c r="J15" s="1" t="s">
        <v>1922</v>
      </c>
      <c r="K15" s="1" t="s">
        <v>1922</v>
      </c>
      <c r="L15" s="1" t="s">
        <v>1922</v>
      </c>
    </row>
    <row r="16" spans="1:12">
      <c r="A16" s="1" t="s">
        <v>413</v>
      </c>
      <c r="B16" s="1" t="s">
        <v>1922</v>
      </c>
      <c r="C16" s="1" t="s">
        <v>1922</v>
      </c>
      <c r="D16" s="1" t="s">
        <v>1922</v>
      </c>
      <c r="E16" s="1" t="s">
        <v>1922</v>
      </c>
      <c r="F16" s="1" t="s">
        <v>1922</v>
      </c>
      <c r="G16" s="1" t="s">
        <v>1922</v>
      </c>
      <c r="H16" s="1" t="s">
        <v>1922</v>
      </c>
      <c r="I16" s="1" t="s">
        <v>1922</v>
      </c>
      <c r="J16" s="1" t="s">
        <v>1922</v>
      </c>
      <c r="K16" s="1" t="s">
        <v>1922</v>
      </c>
      <c r="L16" s="1" t="s">
        <v>1922</v>
      </c>
    </row>
    <row r="17" spans="1:12">
      <c r="A17" s="1" t="s">
        <v>409</v>
      </c>
      <c r="B17" s="1" t="s">
        <v>1922</v>
      </c>
      <c r="C17" s="1" t="s">
        <v>1922</v>
      </c>
      <c r="D17" s="1" t="s">
        <v>1922</v>
      </c>
      <c r="E17" s="1" t="s">
        <v>1922</v>
      </c>
      <c r="F17" s="1" t="s">
        <v>1922</v>
      </c>
      <c r="G17" s="1" t="s">
        <v>1922</v>
      </c>
      <c r="H17" s="1" t="s">
        <v>1922</v>
      </c>
      <c r="I17" s="1" t="s">
        <v>1922</v>
      </c>
      <c r="J17" s="1" t="s">
        <v>1922</v>
      </c>
      <c r="K17" s="1" t="s">
        <v>1922</v>
      </c>
      <c r="L17" s="1" t="s">
        <v>1922</v>
      </c>
    </row>
    <row r="18" spans="1:12">
      <c r="A18" s="1" t="s">
        <v>409</v>
      </c>
      <c r="B18" s="1" t="s">
        <v>1922</v>
      </c>
      <c r="C18" s="1" t="s">
        <v>1922</v>
      </c>
      <c r="D18" s="1" t="s">
        <v>1922</v>
      </c>
      <c r="E18" s="1" t="s">
        <v>1922</v>
      </c>
      <c r="F18" s="1" t="s">
        <v>1922</v>
      </c>
      <c r="G18" s="1" t="s">
        <v>1922</v>
      </c>
      <c r="H18" s="1" t="s">
        <v>1922</v>
      </c>
      <c r="I18" s="1" t="s">
        <v>1922</v>
      </c>
      <c r="J18" s="1" t="s">
        <v>1922</v>
      </c>
      <c r="K18" s="1" t="s">
        <v>1922</v>
      </c>
      <c r="L18" s="1" t="s">
        <v>1922</v>
      </c>
    </row>
    <row r="19" spans="1:12">
      <c r="A19" s="1" t="s">
        <v>409</v>
      </c>
      <c r="B19" s="1" t="s">
        <v>1922</v>
      </c>
      <c r="C19" s="1" t="s">
        <v>1922</v>
      </c>
      <c r="D19" s="1" t="s">
        <v>1922</v>
      </c>
      <c r="E19" s="1" t="s">
        <v>1922</v>
      </c>
      <c r="F19" s="1" t="s">
        <v>1922</v>
      </c>
      <c r="G19" s="1" t="s">
        <v>1922</v>
      </c>
      <c r="H19" s="1" t="s">
        <v>1922</v>
      </c>
      <c r="I19" s="1" t="s">
        <v>1922</v>
      </c>
      <c r="J19" s="1" t="s">
        <v>1922</v>
      </c>
      <c r="K19" s="1" t="s">
        <v>1922</v>
      </c>
      <c r="L19" s="1" t="s">
        <v>1922</v>
      </c>
    </row>
    <row r="20" spans="1:12">
      <c r="A20" s="1" t="s">
        <v>409</v>
      </c>
      <c r="B20" s="1" t="s">
        <v>1922</v>
      </c>
      <c r="C20" s="1" t="s">
        <v>1922</v>
      </c>
      <c r="D20" s="1" t="s">
        <v>1922</v>
      </c>
      <c r="E20" s="1" t="s">
        <v>1922</v>
      </c>
      <c r="F20" s="1" t="s">
        <v>1922</v>
      </c>
      <c r="G20" s="1" t="s">
        <v>1922</v>
      </c>
      <c r="H20" s="1" t="s">
        <v>1922</v>
      </c>
      <c r="I20" s="1" t="s">
        <v>1922</v>
      </c>
      <c r="J20" s="1" t="s">
        <v>1922</v>
      </c>
      <c r="K20" s="1" t="s">
        <v>1922</v>
      </c>
      <c r="L20" s="1" t="s">
        <v>1922</v>
      </c>
    </row>
    <row r="21" spans="1:12">
      <c r="A21" s="1" t="s">
        <v>409</v>
      </c>
      <c r="B21" s="1" t="s">
        <v>1922</v>
      </c>
      <c r="C21" s="1" t="s">
        <v>1922</v>
      </c>
      <c r="D21" s="1" t="s">
        <v>1922</v>
      </c>
      <c r="E21" s="1" t="s">
        <v>1922</v>
      </c>
      <c r="F21" s="1" t="s">
        <v>1922</v>
      </c>
      <c r="G21" s="1" t="s">
        <v>1922</v>
      </c>
      <c r="H21" s="1" t="s">
        <v>1922</v>
      </c>
      <c r="I21" s="1" t="s">
        <v>1922</v>
      </c>
      <c r="J21" s="1" t="s">
        <v>1922</v>
      </c>
      <c r="K21" s="1" t="s">
        <v>1922</v>
      </c>
      <c r="L21" s="1" t="s">
        <v>1922</v>
      </c>
    </row>
    <row r="22" spans="1:12">
      <c r="A22" s="1" t="s">
        <v>100</v>
      </c>
      <c r="B22" s="1" t="s">
        <v>1922</v>
      </c>
      <c r="C22" s="1" t="s">
        <v>1922</v>
      </c>
      <c r="D22" s="1" t="s">
        <v>1922</v>
      </c>
      <c r="E22" s="1" t="s">
        <v>1922</v>
      </c>
      <c r="F22" s="1" t="s">
        <v>1922</v>
      </c>
      <c r="G22" s="1" t="s">
        <v>1922</v>
      </c>
      <c r="H22" s="1" t="s">
        <v>1922</v>
      </c>
      <c r="I22" s="1" t="s">
        <v>1922</v>
      </c>
      <c r="J22" s="1" t="s">
        <v>1922</v>
      </c>
      <c r="K22" s="1" t="s">
        <v>1922</v>
      </c>
      <c r="L22" s="1" t="s">
        <v>1922</v>
      </c>
    </row>
    <row r="23" spans="1:12">
      <c r="A23" s="1" t="s">
        <v>100</v>
      </c>
      <c r="C23" s="1" t="s">
        <v>1922</v>
      </c>
      <c r="D23" s="1" t="s">
        <v>1922</v>
      </c>
      <c r="E23" s="1" t="s">
        <v>1922</v>
      </c>
      <c r="F23" s="1" t="s">
        <v>1922</v>
      </c>
      <c r="G23" s="1" t="s">
        <v>1922</v>
      </c>
      <c r="H23" s="1" t="s">
        <v>1922</v>
      </c>
      <c r="I23" s="1" t="s">
        <v>1922</v>
      </c>
      <c r="J23" s="1" t="s">
        <v>1922</v>
      </c>
      <c r="K23" s="1" t="s">
        <v>1922</v>
      </c>
      <c r="L23" s="1" t="s">
        <v>1922</v>
      </c>
    </row>
    <row r="24" spans="1:12">
      <c r="A24" s="1" t="s">
        <v>100</v>
      </c>
      <c r="C24" s="1" t="s">
        <v>1922</v>
      </c>
      <c r="D24" s="1" t="s">
        <v>1922</v>
      </c>
      <c r="E24" s="1" t="s">
        <v>1922</v>
      </c>
      <c r="F24" s="1" t="s">
        <v>1922</v>
      </c>
      <c r="G24" s="1" t="s">
        <v>1922</v>
      </c>
      <c r="H24" s="1" t="s">
        <v>1922</v>
      </c>
      <c r="I24" s="1" t="s">
        <v>1922</v>
      </c>
      <c r="J24" s="1" t="s">
        <v>1922</v>
      </c>
      <c r="K24" s="1" t="s">
        <v>1922</v>
      </c>
      <c r="L24" s="1" t="s">
        <v>1922</v>
      </c>
    </row>
    <row r="25" spans="1:12">
      <c r="A25" s="1" t="s">
        <v>100</v>
      </c>
      <c r="D25" s="1" t="s">
        <v>1922</v>
      </c>
      <c r="E25" s="1" t="s">
        <v>1922</v>
      </c>
      <c r="F25" s="1" t="s">
        <v>1922</v>
      </c>
      <c r="G25" s="1" t="s">
        <v>1922</v>
      </c>
      <c r="H25" s="1" t="s">
        <v>1922</v>
      </c>
      <c r="I25" s="1" t="s">
        <v>1922</v>
      </c>
      <c r="J25" s="1" t="s">
        <v>1922</v>
      </c>
      <c r="K25" s="1" t="s">
        <v>1922</v>
      </c>
      <c r="L25" s="1" t="s">
        <v>1922</v>
      </c>
    </row>
    <row r="26" spans="1:12">
      <c r="A26" s="1" t="s">
        <v>100</v>
      </c>
      <c r="E26" s="1" t="s">
        <v>1922</v>
      </c>
      <c r="F26" s="1" t="s">
        <v>1922</v>
      </c>
      <c r="G26" s="1" t="s">
        <v>1922</v>
      </c>
      <c r="H26" s="1" t="s">
        <v>1922</v>
      </c>
      <c r="I26" s="1" t="s">
        <v>1922</v>
      </c>
      <c r="J26" s="1" t="s">
        <v>1922</v>
      </c>
      <c r="K26" s="1" t="s">
        <v>1922</v>
      </c>
      <c r="L26" s="1" t="s">
        <v>1922</v>
      </c>
    </row>
    <row r="27" spans="1:12">
      <c r="A27" s="1" t="s">
        <v>100</v>
      </c>
      <c r="C27" s="1" t="s">
        <v>1922</v>
      </c>
      <c r="D27" s="1" t="s">
        <v>1922</v>
      </c>
      <c r="E27" s="1" t="s">
        <v>1922</v>
      </c>
      <c r="F27" s="1" t="s">
        <v>1922</v>
      </c>
      <c r="G27" s="1" t="s">
        <v>1922</v>
      </c>
      <c r="H27" s="1" t="s">
        <v>1922</v>
      </c>
      <c r="I27" s="1" t="s">
        <v>1922</v>
      </c>
      <c r="J27" s="1" t="s">
        <v>1922</v>
      </c>
      <c r="K27" s="1" t="s">
        <v>1922</v>
      </c>
      <c r="L27" s="1" t="s">
        <v>1922</v>
      </c>
    </row>
    <row r="28" spans="1:12">
      <c r="A28" s="1" t="s">
        <v>100</v>
      </c>
      <c r="C28" s="1" t="s">
        <v>1922</v>
      </c>
      <c r="D28" s="1" t="s">
        <v>1922</v>
      </c>
      <c r="E28" s="1" t="s">
        <v>1922</v>
      </c>
      <c r="F28" s="1" t="s">
        <v>1922</v>
      </c>
      <c r="G28" s="1" t="s">
        <v>1922</v>
      </c>
      <c r="H28" s="1" t="s">
        <v>1922</v>
      </c>
      <c r="I28" s="1" t="s">
        <v>1922</v>
      </c>
      <c r="J28" s="1" t="s">
        <v>1922</v>
      </c>
      <c r="K28" s="1" t="s">
        <v>1922</v>
      </c>
      <c r="L28" s="1" t="s">
        <v>1922</v>
      </c>
    </row>
    <row r="29" spans="1:12">
      <c r="A29" s="1" t="s">
        <v>100</v>
      </c>
      <c r="C29" s="1" t="s">
        <v>1922</v>
      </c>
      <c r="D29" s="1" t="s">
        <v>1922</v>
      </c>
      <c r="E29" s="1" t="s">
        <v>1922</v>
      </c>
      <c r="F29" s="1" t="s">
        <v>1922</v>
      </c>
      <c r="G29" s="1" t="s">
        <v>1922</v>
      </c>
      <c r="H29" s="1" t="s">
        <v>1922</v>
      </c>
      <c r="I29" s="1" t="s">
        <v>1922</v>
      </c>
      <c r="J29" s="1" t="s">
        <v>1922</v>
      </c>
      <c r="K29" s="1" t="s">
        <v>1922</v>
      </c>
      <c r="L29" s="1" t="s">
        <v>1922</v>
      </c>
    </row>
    <row r="30" spans="1:12">
      <c r="A30" s="1" t="s">
        <v>2020</v>
      </c>
      <c r="C30" s="1" t="s">
        <v>1922</v>
      </c>
      <c r="D30" s="1" t="s">
        <v>1922</v>
      </c>
      <c r="E30" s="1" t="s">
        <v>1922</v>
      </c>
      <c r="F30" s="1" t="s">
        <v>1922</v>
      </c>
      <c r="G30" s="1" t="s">
        <v>1922</v>
      </c>
      <c r="H30" s="1" t="s">
        <v>1922</v>
      </c>
      <c r="I30" s="1" t="s">
        <v>1922</v>
      </c>
      <c r="J30" s="1" t="s">
        <v>1922</v>
      </c>
      <c r="K30" s="1" t="s">
        <v>1922</v>
      </c>
      <c r="L30" s="1" t="s">
        <v>1922</v>
      </c>
    </row>
    <row r="31" spans="1:12">
      <c r="A31" s="1" t="s">
        <v>77</v>
      </c>
      <c r="C31" s="1" t="s">
        <v>1922</v>
      </c>
      <c r="D31" s="1" t="s">
        <v>1922</v>
      </c>
      <c r="E31" s="1" t="s">
        <v>1922</v>
      </c>
      <c r="F31" s="1" t="s">
        <v>1922</v>
      </c>
      <c r="G31" s="1" t="s">
        <v>1922</v>
      </c>
      <c r="H31" s="1" t="s">
        <v>1922</v>
      </c>
      <c r="I31" s="1" t="s">
        <v>1922</v>
      </c>
      <c r="J31" s="1" t="s">
        <v>1922</v>
      </c>
      <c r="K31" s="1" t="s">
        <v>1922</v>
      </c>
      <c r="L31" s="1" t="s">
        <v>1922</v>
      </c>
    </row>
    <row r="32" spans="1:12">
      <c r="A32" s="1" t="s">
        <v>381</v>
      </c>
      <c r="C32" s="1" t="s">
        <v>1922</v>
      </c>
      <c r="D32" s="1" t="s">
        <v>1922</v>
      </c>
      <c r="E32" s="1" t="s">
        <v>1922</v>
      </c>
      <c r="F32" s="1" t="s">
        <v>1922</v>
      </c>
      <c r="G32" s="1" t="s">
        <v>1922</v>
      </c>
      <c r="H32" s="1" t="s">
        <v>1922</v>
      </c>
      <c r="I32" s="1" t="s">
        <v>1922</v>
      </c>
      <c r="J32" s="1" t="s">
        <v>1922</v>
      </c>
      <c r="K32" s="1" t="s">
        <v>1922</v>
      </c>
      <c r="L32" s="1" t="s">
        <v>1922</v>
      </c>
    </row>
    <row r="33" spans="1:12">
      <c r="A33" s="1" t="s">
        <v>409</v>
      </c>
      <c r="C33" s="1" t="s">
        <v>1922</v>
      </c>
      <c r="D33" s="1" t="s">
        <v>1922</v>
      </c>
      <c r="E33" s="1" t="s">
        <v>1922</v>
      </c>
      <c r="F33" s="1" t="s">
        <v>1922</v>
      </c>
      <c r="G33" s="1" t="s">
        <v>1922</v>
      </c>
      <c r="H33" s="1" t="s">
        <v>1922</v>
      </c>
      <c r="I33" s="1" t="s">
        <v>1922</v>
      </c>
      <c r="J33" s="1" t="s">
        <v>1922</v>
      </c>
      <c r="K33" s="1" t="s">
        <v>1922</v>
      </c>
      <c r="L33" s="1" t="s">
        <v>1922</v>
      </c>
    </row>
    <row r="34" spans="1:12">
      <c r="A34" s="1" t="s">
        <v>2032</v>
      </c>
      <c r="C34" s="1" t="s">
        <v>1922</v>
      </c>
      <c r="D34" s="1" t="s">
        <v>1922</v>
      </c>
      <c r="E34" s="1" t="s">
        <v>1922</v>
      </c>
      <c r="F34" s="1" t="s">
        <v>1922</v>
      </c>
      <c r="G34" s="1" t="s">
        <v>1922</v>
      </c>
      <c r="H34" s="1" t="s">
        <v>1922</v>
      </c>
      <c r="I34" s="1" t="s">
        <v>1922</v>
      </c>
      <c r="J34" s="1" t="s">
        <v>1922</v>
      </c>
      <c r="K34" s="1" t="s">
        <v>1922</v>
      </c>
      <c r="L34" s="1" t="s">
        <v>1922</v>
      </c>
    </row>
    <row r="35" spans="1:12">
      <c r="A35" s="1" t="s">
        <v>409</v>
      </c>
      <c r="C35" s="1" t="s">
        <v>1922</v>
      </c>
      <c r="D35" s="1" t="s">
        <v>1922</v>
      </c>
      <c r="E35" s="1" t="s">
        <v>1922</v>
      </c>
      <c r="F35" s="1" t="s">
        <v>1922</v>
      </c>
      <c r="G35" s="1" t="s">
        <v>1922</v>
      </c>
      <c r="H35" s="1" t="s">
        <v>1922</v>
      </c>
      <c r="I35" s="1" t="s">
        <v>1922</v>
      </c>
      <c r="J35" s="1" t="s">
        <v>1922</v>
      </c>
      <c r="K35" s="1" t="s">
        <v>1922</v>
      </c>
      <c r="L35" s="1" t="s">
        <v>1922</v>
      </c>
    </row>
    <row r="36" spans="1:12">
      <c r="A36" s="1" t="s">
        <v>1944</v>
      </c>
      <c r="C36" s="1" t="s">
        <v>1922</v>
      </c>
      <c r="D36" s="1" t="s">
        <v>1922</v>
      </c>
      <c r="E36" s="1" t="s">
        <v>1922</v>
      </c>
      <c r="F36" s="1" t="s">
        <v>1922</v>
      </c>
      <c r="G36" s="1" t="s">
        <v>1922</v>
      </c>
      <c r="H36" s="1" t="s">
        <v>1922</v>
      </c>
      <c r="I36" s="1" t="s">
        <v>1922</v>
      </c>
      <c r="J36" s="1" t="s">
        <v>1922</v>
      </c>
      <c r="K36" s="1" t="s">
        <v>1922</v>
      </c>
      <c r="L36" s="1" t="s">
        <v>1922</v>
      </c>
    </row>
    <row r="37" spans="1:12">
      <c r="A37" s="1" t="s">
        <v>409</v>
      </c>
      <c r="C37" s="1" t="s">
        <v>1922</v>
      </c>
      <c r="D37" s="1" t="s">
        <v>1922</v>
      </c>
      <c r="E37" s="1" t="s">
        <v>1922</v>
      </c>
      <c r="F37" s="1" t="s">
        <v>1922</v>
      </c>
      <c r="G37" s="1" t="s">
        <v>1922</v>
      </c>
      <c r="H37" s="1" t="s">
        <v>1922</v>
      </c>
      <c r="I37" s="1" t="s">
        <v>1922</v>
      </c>
      <c r="J37" s="1" t="s">
        <v>1922</v>
      </c>
      <c r="K37" s="1" t="s">
        <v>1922</v>
      </c>
      <c r="L37" s="1" t="s">
        <v>1922</v>
      </c>
    </row>
    <row r="38" spans="1:12">
      <c r="A38" s="1" t="s">
        <v>1888</v>
      </c>
      <c r="C38" s="1" t="s">
        <v>1922</v>
      </c>
      <c r="D38" s="1" t="s">
        <v>1922</v>
      </c>
      <c r="E38" s="1" t="s">
        <v>1922</v>
      </c>
      <c r="F38" s="1" t="s">
        <v>1922</v>
      </c>
      <c r="G38" s="1" t="s">
        <v>1922</v>
      </c>
      <c r="H38" s="1" t="s">
        <v>1922</v>
      </c>
      <c r="I38" s="1" t="s">
        <v>1922</v>
      </c>
      <c r="J38" s="1" t="s">
        <v>1922</v>
      </c>
      <c r="K38" s="1" t="s">
        <v>1922</v>
      </c>
      <c r="L38" s="1" t="s">
        <v>1922</v>
      </c>
    </row>
    <row r="39" spans="1:12">
      <c r="A39" s="1" t="s">
        <v>396</v>
      </c>
      <c r="C39" s="1" t="s">
        <v>1922</v>
      </c>
      <c r="D39" s="1" t="s">
        <v>1922</v>
      </c>
      <c r="E39" s="1" t="s">
        <v>1922</v>
      </c>
      <c r="F39" s="1" t="s">
        <v>1922</v>
      </c>
      <c r="G39" s="1" t="s">
        <v>1922</v>
      </c>
      <c r="H39" s="1" t="s">
        <v>1922</v>
      </c>
      <c r="I39" s="1" t="s">
        <v>1922</v>
      </c>
      <c r="J39" s="1" t="s">
        <v>1922</v>
      </c>
      <c r="K39" s="1" t="s">
        <v>1922</v>
      </c>
      <c r="L39" s="1" t="s">
        <v>1922</v>
      </c>
    </row>
    <row r="40" spans="1:12">
      <c r="A40" s="1" t="s">
        <v>2032</v>
      </c>
      <c r="C40" s="1" t="s">
        <v>1922</v>
      </c>
      <c r="D40" s="1" t="s">
        <v>1922</v>
      </c>
      <c r="E40" s="1" t="s">
        <v>1922</v>
      </c>
      <c r="F40" s="1" t="s">
        <v>1922</v>
      </c>
      <c r="G40" s="1" t="s">
        <v>1922</v>
      </c>
      <c r="H40" s="1" t="s">
        <v>1922</v>
      </c>
      <c r="I40" s="1" t="s">
        <v>1922</v>
      </c>
      <c r="J40" s="1" t="s">
        <v>1922</v>
      </c>
      <c r="K40" s="1" t="s">
        <v>1922</v>
      </c>
      <c r="L40" s="1" t="s">
        <v>1922</v>
      </c>
    </row>
    <row r="41" spans="1:12">
      <c r="A41" s="1" t="s">
        <v>1930</v>
      </c>
      <c r="C41" s="1" t="s">
        <v>1922</v>
      </c>
      <c r="D41" s="1" t="s">
        <v>1922</v>
      </c>
      <c r="E41" s="1" t="s">
        <v>1922</v>
      </c>
      <c r="F41" s="1" t="s">
        <v>1922</v>
      </c>
      <c r="G41" s="1" t="s">
        <v>1922</v>
      </c>
      <c r="H41" s="1" t="s">
        <v>1922</v>
      </c>
      <c r="I41" s="1" t="s">
        <v>1922</v>
      </c>
      <c r="J41" s="1" t="s">
        <v>1922</v>
      </c>
      <c r="K41" s="1" t="s">
        <v>1922</v>
      </c>
      <c r="L41" s="1" t="s">
        <v>1922</v>
      </c>
    </row>
    <row r="42" spans="1:12">
      <c r="A42" s="1" t="s">
        <v>1960</v>
      </c>
      <c r="C42" s="1" t="s">
        <v>1922</v>
      </c>
      <c r="D42" s="1" t="s">
        <v>1922</v>
      </c>
      <c r="E42" s="1" t="s">
        <v>1922</v>
      </c>
      <c r="F42" s="1" t="s">
        <v>1922</v>
      </c>
      <c r="G42" s="1" t="s">
        <v>1922</v>
      </c>
      <c r="H42" s="1" t="s">
        <v>1922</v>
      </c>
      <c r="I42" s="1" t="s">
        <v>1922</v>
      </c>
      <c r="J42" s="1" t="s">
        <v>1922</v>
      </c>
      <c r="K42" s="1" t="s">
        <v>1922</v>
      </c>
      <c r="L42" s="1" t="s">
        <v>1922</v>
      </c>
    </row>
    <row r="43" spans="1:12">
      <c r="A43" s="1" t="s">
        <v>62</v>
      </c>
      <c r="C43" s="1" t="s">
        <v>1922</v>
      </c>
      <c r="D43" s="1" t="s">
        <v>1922</v>
      </c>
      <c r="E43" s="1" t="s">
        <v>1922</v>
      </c>
      <c r="F43" s="1" t="s">
        <v>1922</v>
      </c>
      <c r="G43" s="1" t="s">
        <v>1922</v>
      </c>
      <c r="H43" s="1" t="s">
        <v>1922</v>
      </c>
      <c r="I43" s="1" t="s">
        <v>1922</v>
      </c>
      <c r="J43" s="1" t="s">
        <v>1922</v>
      </c>
      <c r="K43" s="1" t="s">
        <v>1922</v>
      </c>
      <c r="L43" s="1" t="s">
        <v>1922</v>
      </c>
    </row>
    <row r="44" spans="1:12">
      <c r="A44" s="1" t="s">
        <v>399</v>
      </c>
      <c r="F44" s="1" t="s">
        <v>1922</v>
      </c>
      <c r="G44" s="1" t="s">
        <v>1922</v>
      </c>
      <c r="H44" s="1" t="s">
        <v>1922</v>
      </c>
      <c r="I44" s="1" t="s">
        <v>1922</v>
      </c>
      <c r="J44" s="1" t="s">
        <v>1922</v>
      </c>
      <c r="K44" s="1" t="s">
        <v>1922</v>
      </c>
      <c r="L44" s="1" t="s">
        <v>1922</v>
      </c>
    </row>
    <row r="45" spans="1:12">
      <c r="A45" s="1" t="s">
        <v>96</v>
      </c>
      <c r="E45" s="1" t="s">
        <v>1922</v>
      </c>
      <c r="F45" s="1" t="s">
        <v>1922</v>
      </c>
      <c r="G45" s="1" t="s">
        <v>1922</v>
      </c>
      <c r="H45" s="1" t="s">
        <v>1922</v>
      </c>
      <c r="I45" s="1" t="s">
        <v>1922</v>
      </c>
      <c r="J45" s="1" t="s">
        <v>1922</v>
      </c>
      <c r="K45" s="1" t="s">
        <v>1922</v>
      </c>
      <c r="L45" s="1" t="s">
        <v>1922</v>
      </c>
    </row>
    <row r="46" spans="1:12">
      <c r="A46" s="1" t="s">
        <v>2073</v>
      </c>
      <c r="C46" s="1" t="s">
        <v>1922</v>
      </c>
      <c r="D46" s="1" t="s">
        <v>1922</v>
      </c>
      <c r="E46" s="1" t="s">
        <v>1922</v>
      </c>
      <c r="F46" s="1" t="s">
        <v>1922</v>
      </c>
      <c r="G46" s="1" t="s">
        <v>1922</v>
      </c>
      <c r="H46" s="1" t="s">
        <v>1922</v>
      </c>
      <c r="I46" s="1" t="s">
        <v>1922</v>
      </c>
      <c r="J46" s="1" t="s">
        <v>1922</v>
      </c>
      <c r="K46" s="1" t="s">
        <v>1922</v>
      </c>
      <c r="L46" s="1" t="s">
        <v>1922</v>
      </c>
    </row>
    <row r="47" spans="1:12">
      <c r="A47" s="1" t="s">
        <v>2073</v>
      </c>
      <c r="C47" s="1" t="s">
        <v>1922</v>
      </c>
      <c r="D47" s="1" t="s">
        <v>1922</v>
      </c>
      <c r="E47" s="1" t="s">
        <v>1922</v>
      </c>
      <c r="F47" s="1" t="s">
        <v>1922</v>
      </c>
      <c r="G47" s="1" t="s">
        <v>1922</v>
      </c>
      <c r="H47" s="1" t="s">
        <v>1922</v>
      </c>
      <c r="I47" s="1" t="s">
        <v>1922</v>
      </c>
      <c r="J47" s="1" t="s">
        <v>1922</v>
      </c>
      <c r="K47" s="1" t="s">
        <v>1922</v>
      </c>
      <c r="L47" s="1" t="s">
        <v>1922</v>
      </c>
    </row>
    <row r="48" spans="1:12">
      <c r="A48" s="1" t="s">
        <v>409</v>
      </c>
      <c r="C48" s="1" t="s">
        <v>1922</v>
      </c>
      <c r="D48" s="1" t="s">
        <v>1922</v>
      </c>
      <c r="E48" s="1" t="s">
        <v>1922</v>
      </c>
      <c r="F48" s="1" t="s">
        <v>1922</v>
      </c>
      <c r="G48" s="1" t="s">
        <v>1922</v>
      </c>
      <c r="H48" s="1" t="s">
        <v>1922</v>
      </c>
      <c r="I48" s="1" t="s">
        <v>1922</v>
      </c>
      <c r="J48" s="1" t="s">
        <v>1922</v>
      </c>
      <c r="K48" s="1" t="s">
        <v>1922</v>
      </c>
      <c r="L48" s="1" t="s">
        <v>1922</v>
      </c>
    </row>
    <row r="49" spans="1:12">
      <c r="A49" s="1" t="s">
        <v>407</v>
      </c>
      <c r="C49" s="1" t="s">
        <v>1922</v>
      </c>
      <c r="D49" s="1" t="s">
        <v>1922</v>
      </c>
      <c r="E49" s="1" t="s">
        <v>1922</v>
      </c>
      <c r="F49" s="1" t="s">
        <v>1922</v>
      </c>
      <c r="G49" s="1" t="s">
        <v>1922</v>
      </c>
      <c r="H49" s="1" t="s">
        <v>1922</v>
      </c>
      <c r="I49" s="1" t="s">
        <v>1922</v>
      </c>
      <c r="J49" s="1" t="s">
        <v>1922</v>
      </c>
      <c r="K49" s="1" t="s">
        <v>1922</v>
      </c>
      <c r="L49" s="1" t="s">
        <v>1922</v>
      </c>
    </row>
    <row r="50" spans="1:12">
      <c r="A50" s="1" t="s">
        <v>2085</v>
      </c>
      <c r="C50" s="1" t="s">
        <v>1922</v>
      </c>
      <c r="D50" s="1" t="s">
        <v>1922</v>
      </c>
      <c r="E50" s="1" t="s">
        <v>1922</v>
      </c>
      <c r="F50" s="1" t="s">
        <v>1922</v>
      </c>
      <c r="G50" s="1" t="s">
        <v>1922</v>
      </c>
      <c r="H50" s="1" t="s">
        <v>1922</v>
      </c>
      <c r="I50" s="1" t="s">
        <v>1922</v>
      </c>
      <c r="J50" s="1" t="s">
        <v>1922</v>
      </c>
      <c r="K50" s="1" t="s">
        <v>1922</v>
      </c>
      <c r="L50" s="1" t="s">
        <v>1922</v>
      </c>
    </row>
    <row r="51" spans="1:12">
      <c r="A51" s="1" t="s">
        <v>2085</v>
      </c>
      <c r="C51" s="1" t="s">
        <v>1922</v>
      </c>
      <c r="D51" s="1" t="s">
        <v>1922</v>
      </c>
      <c r="E51" s="1" t="s">
        <v>1922</v>
      </c>
      <c r="F51" s="1" t="s">
        <v>1922</v>
      </c>
      <c r="G51" s="1" t="s">
        <v>1922</v>
      </c>
      <c r="H51" s="1" t="s">
        <v>1922</v>
      </c>
      <c r="I51" s="1" t="s">
        <v>1922</v>
      </c>
      <c r="J51" s="1" t="s">
        <v>1922</v>
      </c>
      <c r="K51" s="1" t="s">
        <v>1922</v>
      </c>
      <c r="L51" s="1" t="s">
        <v>1922</v>
      </c>
    </row>
    <row r="52" spans="1:12">
      <c r="A52" s="1" t="s">
        <v>1944</v>
      </c>
      <c r="C52" s="1" t="s">
        <v>1922</v>
      </c>
      <c r="D52" s="1" t="s">
        <v>1922</v>
      </c>
      <c r="E52" s="1" t="s">
        <v>1922</v>
      </c>
      <c r="F52" s="1" t="s">
        <v>1922</v>
      </c>
      <c r="G52" s="1" t="s">
        <v>1922</v>
      </c>
      <c r="H52" s="1" t="s">
        <v>1922</v>
      </c>
      <c r="I52" s="1" t="s">
        <v>1922</v>
      </c>
      <c r="J52" s="1" t="s">
        <v>1922</v>
      </c>
      <c r="K52" s="1" t="s">
        <v>1922</v>
      </c>
      <c r="L52" s="1" t="s">
        <v>1922</v>
      </c>
    </row>
    <row r="53" spans="1:12">
      <c r="A53" s="1" t="s">
        <v>390</v>
      </c>
      <c r="C53" s="1" t="s">
        <v>1922</v>
      </c>
      <c r="D53" s="1" t="s">
        <v>1922</v>
      </c>
      <c r="E53" s="1" t="s">
        <v>1922</v>
      </c>
      <c r="F53" s="1" t="s">
        <v>1922</v>
      </c>
      <c r="G53" s="1" t="s">
        <v>1922</v>
      </c>
      <c r="H53" s="1" t="s">
        <v>1922</v>
      </c>
      <c r="I53" s="1" t="s">
        <v>1922</v>
      </c>
      <c r="J53" s="1" t="s">
        <v>1922</v>
      </c>
      <c r="K53" s="1" t="s">
        <v>1922</v>
      </c>
      <c r="L53" s="1" t="s">
        <v>1922</v>
      </c>
    </row>
    <row r="54" spans="1:12">
      <c r="A54" s="1" t="s">
        <v>409</v>
      </c>
      <c r="C54" s="1" t="s">
        <v>1922</v>
      </c>
      <c r="D54" s="1" t="s">
        <v>1922</v>
      </c>
      <c r="E54" s="1" t="s">
        <v>1922</v>
      </c>
      <c r="F54" s="1" t="s">
        <v>1922</v>
      </c>
      <c r="G54" s="1" t="s">
        <v>1922</v>
      </c>
      <c r="H54" s="1" t="s">
        <v>1922</v>
      </c>
      <c r="I54" s="1" t="s">
        <v>1922</v>
      </c>
      <c r="J54" s="1" t="s">
        <v>1922</v>
      </c>
      <c r="K54" s="1" t="s">
        <v>1922</v>
      </c>
      <c r="L54" s="1" t="s">
        <v>1922</v>
      </c>
    </row>
    <row r="55" spans="1:12">
      <c r="A55" s="1" t="s">
        <v>100</v>
      </c>
      <c r="C55" s="1" t="s">
        <v>1922</v>
      </c>
      <c r="D55" s="1" t="s">
        <v>1922</v>
      </c>
      <c r="E55" s="1" t="s">
        <v>1922</v>
      </c>
      <c r="F55" s="1" t="s">
        <v>1922</v>
      </c>
      <c r="G55" s="1" t="s">
        <v>1922</v>
      </c>
      <c r="H55" s="1" t="s">
        <v>1922</v>
      </c>
      <c r="I55" s="1" t="s">
        <v>1922</v>
      </c>
      <c r="J55" s="1" t="s">
        <v>1922</v>
      </c>
      <c r="K55" s="1" t="s">
        <v>1922</v>
      </c>
      <c r="L55" s="1" t="s">
        <v>1922</v>
      </c>
    </row>
    <row r="56" spans="1:12">
      <c r="A56" s="1" t="s">
        <v>398</v>
      </c>
      <c r="C56" s="1" t="s">
        <v>1922</v>
      </c>
      <c r="D56" s="1" t="s">
        <v>1922</v>
      </c>
      <c r="E56" s="1" t="s">
        <v>1922</v>
      </c>
      <c r="F56" s="1" t="s">
        <v>1922</v>
      </c>
      <c r="G56" s="1" t="s">
        <v>1922</v>
      </c>
      <c r="H56" s="1" t="s">
        <v>1922</v>
      </c>
      <c r="I56" s="1" t="s">
        <v>1922</v>
      </c>
      <c r="J56" s="1" t="s">
        <v>1922</v>
      </c>
      <c r="K56" s="1" t="s">
        <v>1922</v>
      </c>
      <c r="L56" s="1" t="s">
        <v>1922</v>
      </c>
    </row>
    <row r="57" spans="1:12">
      <c r="A57" s="1" t="s">
        <v>96</v>
      </c>
      <c r="C57" s="1" t="s">
        <v>1922</v>
      </c>
      <c r="D57" s="1" t="s">
        <v>1922</v>
      </c>
      <c r="E57" s="1" t="s">
        <v>1922</v>
      </c>
      <c r="F57" s="1" t="s">
        <v>1922</v>
      </c>
      <c r="G57" s="1" t="s">
        <v>1922</v>
      </c>
      <c r="H57" s="1" t="s">
        <v>1922</v>
      </c>
      <c r="I57" s="1" t="s">
        <v>1922</v>
      </c>
      <c r="J57" s="1" t="s">
        <v>1922</v>
      </c>
      <c r="K57" s="1" t="s">
        <v>1922</v>
      </c>
      <c r="L57" s="1" t="s">
        <v>1922</v>
      </c>
    </row>
    <row r="58" spans="1:12">
      <c r="A58" s="1" t="s">
        <v>1888</v>
      </c>
      <c r="C58" s="1" t="s">
        <v>1922</v>
      </c>
      <c r="D58" s="1" t="s">
        <v>1922</v>
      </c>
      <c r="E58" s="1" t="s">
        <v>1922</v>
      </c>
      <c r="F58" s="1" t="s">
        <v>1922</v>
      </c>
      <c r="G58" s="1" t="s">
        <v>1922</v>
      </c>
      <c r="H58" s="1" t="s">
        <v>1922</v>
      </c>
      <c r="I58" s="1" t="s">
        <v>1922</v>
      </c>
      <c r="J58" s="1" t="s">
        <v>1922</v>
      </c>
      <c r="K58" s="1" t="s">
        <v>1922</v>
      </c>
      <c r="L58" s="1" t="s">
        <v>1922</v>
      </c>
    </row>
    <row r="59" spans="1:12">
      <c r="A59" s="1" t="s">
        <v>1939</v>
      </c>
      <c r="C59" s="1" t="s">
        <v>1922</v>
      </c>
      <c r="D59" s="1" t="s">
        <v>1922</v>
      </c>
      <c r="E59" s="1" t="s">
        <v>1922</v>
      </c>
      <c r="F59" s="1" t="s">
        <v>1922</v>
      </c>
      <c r="G59" s="1" t="s">
        <v>1922</v>
      </c>
      <c r="H59" s="1" t="s">
        <v>1922</v>
      </c>
      <c r="I59" s="1" t="s">
        <v>1922</v>
      </c>
      <c r="J59" s="1" t="s">
        <v>1922</v>
      </c>
      <c r="K59" s="1" t="s">
        <v>1922</v>
      </c>
      <c r="L59" s="1" t="s">
        <v>1922</v>
      </c>
    </row>
    <row r="60" spans="1:12">
      <c r="A60" s="1" t="s">
        <v>413</v>
      </c>
      <c r="C60" s="1" t="s">
        <v>1922</v>
      </c>
      <c r="D60" s="1" t="s">
        <v>1922</v>
      </c>
      <c r="E60" s="1" t="s">
        <v>1922</v>
      </c>
      <c r="F60" s="1" t="s">
        <v>1922</v>
      </c>
      <c r="G60" s="1" t="s">
        <v>1922</v>
      </c>
      <c r="H60" s="1" t="s">
        <v>1922</v>
      </c>
      <c r="I60" s="1" t="s">
        <v>1922</v>
      </c>
      <c r="J60" s="1" t="s">
        <v>1922</v>
      </c>
      <c r="K60" s="1" t="s">
        <v>1922</v>
      </c>
      <c r="L60" s="1" t="s">
        <v>1922</v>
      </c>
    </row>
    <row r="61" spans="1:12">
      <c r="A61" s="1" t="s">
        <v>409</v>
      </c>
      <c r="C61" s="1" t="s">
        <v>1922</v>
      </c>
      <c r="D61" s="1" t="s">
        <v>1922</v>
      </c>
      <c r="E61" s="1" t="s">
        <v>1922</v>
      </c>
      <c r="F61" s="1" t="s">
        <v>1922</v>
      </c>
      <c r="G61" s="1" t="s">
        <v>1922</v>
      </c>
      <c r="H61" s="1" t="s">
        <v>1922</v>
      </c>
      <c r="I61" s="1" t="s">
        <v>1922</v>
      </c>
      <c r="J61" s="1" t="s">
        <v>1922</v>
      </c>
      <c r="K61" s="1" t="s">
        <v>1922</v>
      </c>
      <c r="L61" s="1" t="s">
        <v>1922</v>
      </c>
    </row>
    <row r="62" spans="1:12">
      <c r="A62" s="1" t="s">
        <v>413</v>
      </c>
      <c r="C62" s="1" t="s">
        <v>1922</v>
      </c>
      <c r="D62" s="1" t="s">
        <v>1922</v>
      </c>
      <c r="E62" s="1" t="s">
        <v>1922</v>
      </c>
      <c r="F62" s="1" t="s">
        <v>1922</v>
      </c>
      <c r="G62" s="1" t="s">
        <v>1922</v>
      </c>
      <c r="H62" s="1" t="s">
        <v>1922</v>
      </c>
      <c r="I62" s="1" t="s">
        <v>1922</v>
      </c>
      <c r="J62" s="1" t="s">
        <v>1922</v>
      </c>
      <c r="K62" s="1" t="s">
        <v>1922</v>
      </c>
      <c r="L62" s="1" t="s">
        <v>1922</v>
      </c>
    </row>
    <row r="63" spans="1:12">
      <c r="A63" s="1" t="s">
        <v>413</v>
      </c>
      <c r="C63" s="1" t="s">
        <v>1922</v>
      </c>
      <c r="D63" s="1" t="s">
        <v>1922</v>
      </c>
      <c r="E63" s="1" t="s">
        <v>1922</v>
      </c>
      <c r="F63" s="1" t="s">
        <v>1922</v>
      </c>
      <c r="G63" s="1" t="s">
        <v>1922</v>
      </c>
      <c r="H63" s="1" t="s">
        <v>1922</v>
      </c>
      <c r="I63" s="1" t="s">
        <v>1922</v>
      </c>
      <c r="J63" s="1" t="s">
        <v>1922</v>
      </c>
      <c r="K63" s="1" t="s">
        <v>1922</v>
      </c>
      <c r="L63" s="1" t="s">
        <v>1922</v>
      </c>
    </row>
    <row r="64" spans="1:12">
      <c r="A64" s="1" t="s">
        <v>413</v>
      </c>
      <c r="C64" s="1" t="s">
        <v>1922</v>
      </c>
      <c r="D64" s="1" t="s">
        <v>1922</v>
      </c>
      <c r="E64" s="1" t="s">
        <v>1922</v>
      </c>
      <c r="F64" s="1" t="s">
        <v>1922</v>
      </c>
      <c r="G64" s="1" t="s">
        <v>1922</v>
      </c>
      <c r="H64" s="1" t="s">
        <v>1922</v>
      </c>
      <c r="I64" s="1" t="s">
        <v>1922</v>
      </c>
      <c r="J64" s="1" t="s">
        <v>1922</v>
      </c>
      <c r="K64" s="1" t="s">
        <v>1922</v>
      </c>
      <c r="L64" s="1" t="s">
        <v>1922</v>
      </c>
    </row>
    <row r="65" spans="1:12">
      <c r="A65" s="1" t="s">
        <v>413</v>
      </c>
      <c r="C65" s="1" t="s">
        <v>1922</v>
      </c>
      <c r="D65" s="1" t="s">
        <v>1922</v>
      </c>
      <c r="E65" s="1" t="s">
        <v>1922</v>
      </c>
      <c r="F65" s="1" t="s">
        <v>1922</v>
      </c>
      <c r="G65" s="1" t="s">
        <v>1922</v>
      </c>
      <c r="H65" s="1" t="s">
        <v>1922</v>
      </c>
      <c r="I65" s="1" t="s">
        <v>1922</v>
      </c>
      <c r="J65" s="1" t="s">
        <v>1922</v>
      </c>
      <c r="K65" s="1" t="s">
        <v>1922</v>
      </c>
      <c r="L65" s="1" t="s">
        <v>1922</v>
      </c>
    </row>
    <row r="66" spans="1:12">
      <c r="A66" s="1" t="s">
        <v>413</v>
      </c>
      <c r="C66" s="1" t="s">
        <v>1922</v>
      </c>
      <c r="D66" s="1" t="s">
        <v>1922</v>
      </c>
      <c r="E66" s="1" t="s">
        <v>1922</v>
      </c>
      <c r="F66" s="1" t="s">
        <v>1922</v>
      </c>
      <c r="G66" s="1" t="s">
        <v>1922</v>
      </c>
      <c r="H66" s="1" t="s">
        <v>1922</v>
      </c>
      <c r="I66" s="1" t="s">
        <v>1922</v>
      </c>
      <c r="J66" s="1" t="s">
        <v>1922</v>
      </c>
      <c r="K66" s="1" t="s">
        <v>1922</v>
      </c>
      <c r="L66" s="1" t="s">
        <v>1922</v>
      </c>
    </row>
    <row r="67" spans="1:12">
      <c r="A67" s="1" t="s">
        <v>413</v>
      </c>
      <c r="C67" s="1" t="s">
        <v>1922</v>
      </c>
      <c r="D67" s="1" t="s">
        <v>1922</v>
      </c>
      <c r="E67" s="1" t="s">
        <v>1922</v>
      </c>
      <c r="F67" s="1" t="s">
        <v>1922</v>
      </c>
      <c r="G67" s="1" t="s">
        <v>1922</v>
      </c>
      <c r="H67" s="1" t="s">
        <v>1922</v>
      </c>
      <c r="I67" s="1" t="s">
        <v>1922</v>
      </c>
      <c r="J67" s="1" t="s">
        <v>1922</v>
      </c>
      <c r="K67" s="1" t="s">
        <v>1922</v>
      </c>
      <c r="L67" s="1" t="s">
        <v>1922</v>
      </c>
    </row>
    <row r="68" spans="1:12">
      <c r="A68" s="1" t="s">
        <v>413</v>
      </c>
      <c r="C68" s="1" t="s">
        <v>1922</v>
      </c>
      <c r="D68" s="1" t="s">
        <v>1922</v>
      </c>
      <c r="E68" s="1" t="s">
        <v>1922</v>
      </c>
      <c r="F68" s="1" t="s">
        <v>1922</v>
      </c>
      <c r="G68" s="1" t="s">
        <v>1922</v>
      </c>
      <c r="H68" s="1" t="s">
        <v>1922</v>
      </c>
      <c r="I68" s="1" t="s">
        <v>1922</v>
      </c>
      <c r="J68" s="1" t="s">
        <v>1922</v>
      </c>
      <c r="K68" s="1" t="s">
        <v>1922</v>
      </c>
      <c r="L68" s="1" t="s">
        <v>1922</v>
      </c>
    </row>
    <row r="69" spans="1:12">
      <c r="A69" s="1" t="s">
        <v>381</v>
      </c>
      <c r="C69" s="1" t="s">
        <v>1922</v>
      </c>
      <c r="D69" s="1" t="s">
        <v>1922</v>
      </c>
      <c r="E69" s="1" t="s">
        <v>1922</v>
      </c>
      <c r="F69" s="1" t="s">
        <v>1922</v>
      </c>
      <c r="G69" s="1" t="s">
        <v>1922</v>
      </c>
      <c r="H69" s="1" t="s">
        <v>1922</v>
      </c>
      <c r="I69" s="1" t="s">
        <v>1922</v>
      </c>
      <c r="J69" s="1" t="s">
        <v>1922</v>
      </c>
      <c r="K69" s="1" t="s">
        <v>1922</v>
      </c>
      <c r="L69" s="1" t="s">
        <v>1922</v>
      </c>
    </row>
    <row r="70" spans="1:12">
      <c r="A70" s="1" t="s">
        <v>91</v>
      </c>
      <c r="C70" s="1" t="s">
        <v>1922</v>
      </c>
      <c r="D70" s="1" t="s">
        <v>1922</v>
      </c>
      <c r="E70" s="1" t="s">
        <v>1922</v>
      </c>
      <c r="F70" s="1" t="s">
        <v>1922</v>
      </c>
      <c r="G70" s="1" t="s">
        <v>1922</v>
      </c>
      <c r="H70" s="1" t="s">
        <v>1922</v>
      </c>
      <c r="I70" s="1" t="s">
        <v>1922</v>
      </c>
      <c r="J70" s="1" t="s">
        <v>1922</v>
      </c>
      <c r="K70" s="1" t="s">
        <v>1922</v>
      </c>
      <c r="L70" s="1" t="s">
        <v>1922</v>
      </c>
    </row>
    <row r="71" spans="1:12">
      <c r="A71" s="1" t="s">
        <v>381</v>
      </c>
      <c r="C71" s="1" t="s">
        <v>1922</v>
      </c>
      <c r="D71" s="1" t="s">
        <v>1922</v>
      </c>
      <c r="E71" s="1" t="s">
        <v>1922</v>
      </c>
      <c r="F71" s="1" t="s">
        <v>1922</v>
      </c>
      <c r="G71" s="1" t="s">
        <v>1922</v>
      </c>
      <c r="H71" s="1" t="s">
        <v>1922</v>
      </c>
      <c r="I71" s="1" t="s">
        <v>1922</v>
      </c>
      <c r="J71" s="1" t="s">
        <v>1922</v>
      </c>
      <c r="K71" s="1" t="s">
        <v>1922</v>
      </c>
      <c r="L71" s="1" t="s">
        <v>1922</v>
      </c>
    </row>
    <row r="72" spans="1:12">
      <c r="A72" s="1" t="s">
        <v>381</v>
      </c>
      <c r="E72" s="1" t="s">
        <v>1922</v>
      </c>
      <c r="F72" s="1" t="s">
        <v>1922</v>
      </c>
      <c r="G72" s="1" t="s">
        <v>1922</v>
      </c>
      <c r="H72" s="1" t="s">
        <v>1922</v>
      </c>
      <c r="I72" s="1" t="s">
        <v>1922</v>
      </c>
      <c r="J72" s="1" t="s">
        <v>1922</v>
      </c>
      <c r="K72" s="1" t="s">
        <v>1922</v>
      </c>
      <c r="L72" s="1" t="s">
        <v>1922</v>
      </c>
    </row>
    <row r="73" spans="1:12">
      <c r="A73" s="1" t="s">
        <v>381</v>
      </c>
      <c r="E73" s="1" t="s">
        <v>1922</v>
      </c>
      <c r="F73" s="1" t="s">
        <v>1922</v>
      </c>
      <c r="G73" s="1" t="s">
        <v>1922</v>
      </c>
      <c r="H73" s="1" t="s">
        <v>1922</v>
      </c>
      <c r="I73" s="1" t="s">
        <v>1922</v>
      </c>
      <c r="J73" s="1" t="s">
        <v>1922</v>
      </c>
      <c r="K73" s="1" t="s">
        <v>1922</v>
      </c>
      <c r="L73" s="1" t="s">
        <v>1922</v>
      </c>
    </row>
    <row r="74" spans="1:12">
      <c r="A74" s="1" t="s">
        <v>381</v>
      </c>
      <c r="E74" s="1" t="s">
        <v>1922</v>
      </c>
      <c r="F74" s="1" t="s">
        <v>1922</v>
      </c>
      <c r="G74" s="1" t="s">
        <v>1922</v>
      </c>
      <c r="H74" s="1" t="s">
        <v>1922</v>
      </c>
      <c r="I74" s="1" t="s">
        <v>1922</v>
      </c>
      <c r="J74" s="1" t="s">
        <v>1922</v>
      </c>
      <c r="K74" s="1" t="s">
        <v>1922</v>
      </c>
      <c r="L74" s="1" t="s">
        <v>1922</v>
      </c>
    </row>
    <row r="75" spans="1:12">
      <c r="A75" s="1" t="s">
        <v>1888</v>
      </c>
      <c r="C75" s="1" t="s">
        <v>1922</v>
      </c>
      <c r="D75" s="1" t="s">
        <v>1922</v>
      </c>
      <c r="E75" s="1" t="s">
        <v>1922</v>
      </c>
      <c r="F75" s="1" t="s">
        <v>1922</v>
      </c>
      <c r="G75" s="1" t="s">
        <v>1922</v>
      </c>
      <c r="H75" s="1" t="s">
        <v>1922</v>
      </c>
      <c r="I75" s="1" t="s">
        <v>1922</v>
      </c>
      <c r="J75" s="1" t="s">
        <v>1922</v>
      </c>
      <c r="K75" s="1" t="s">
        <v>1922</v>
      </c>
      <c r="L75" s="1" t="s">
        <v>1922</v>
      </c>
    </row>
    <row r="76" spans="1:12">
      <c r="A76" s="1" t="s">
        <v>100</v>
      </c>
      <c r="C76" s="1" t="s">
        <v>1922</v>
      </c>
      <c r="D76" s="1" t="s">
        <v>1922</v>
      </c>
      <c r="E76" s="1" t="s">
        <v>1922</v>
      </c>
      <c r="F76" s="1" t="s">
        <v>1922</v>
      </c>
      <c r="G76" s="1" t="s">
        <v>1922</v>
      </c>
      <c r="H76" s="1" t="s">
        <v>1922</v>
      </c>
      <c r="I76" s="1" t="s">
        <v>1922</v>
      </c>
      <c r="J76" s="1" t="s">
        <v>1922</v>
      </c>
      <c r="K76" s="1" t="s">
        <v>1922</v>
      </c>
      <c r="L76" s="1" t="s">
        <v>1922</v>
      </c>
    </row>
    <row r="77" spans="1:12">
      <c r="A77" s="1" t="s">
        <v>407</v>
      </c>
      <c r="C77" s="1" t="s">
        <v>1922</v>
      </c>
      <c r="D77" s="1" t="s">
        <v>1922</v>
      </c>
      <c r="E77" s="1" t="s">
        <v>1922</v>
      </c>
      <c r="F77" s="1" t="s">
        <v>1922</v>
      </c>
      <c r="G77" s="1" t="s">
        <v>1922</v>
      </c>
      <c r="H77" s="1" t="s">
        <v>1922</v>
      </c>
      <c r="I77" s="1" t="s">
        <v>1922</v>
      </c>
      <c r="J77" s="1" t="s">
        <v>1922</v>
      </c>
      <c r="K77" s="1" t="s">
        <v>1922</v>
      </c>
      <c r="L77" s="1" t="s">
        <v>1922</v>
      </c>
    </row>
    <row r="78" spans="1:12">
      <c r="A78" s="1" t="s">
        <v>381</v>
      </c>
      <c r="C78" s="1" t="s">
        <v>1922</v>
      </c>
      <c r="D78" s="1" t="s">
        <v>1922</v>
      </c>
      <c r="E78" s="1" t="s">
        <v>1922</v>
      </c>
      <c r="F78" s="1" t="s">
        <v>1922</v>
      </c>
      <c r="G78" s="1" t="s">
        <v>1922</v>
      </c>
      <c r="H78" s="1" t="s">
        <v>1922</v>
      </c>
      <c r="I78" s="1" t="s">
        <v>1922</v>
      </c>
      <c r="J78" s="1" t="s">
        <v>1922</v>
      </c>
      <c r="K78" s="1" t="s">
        <v>1922</v>
      </c>
      <c r="L78" s="1" t="s">
        <v>1922</v>
      </c>
    </row>
    <row r="79" spans="1:12">
      <c r="A79" s="1" t="s">
        <v>2073</v>
      </c>
      <c r="C79" s="1" t="s">
        <v>1922</v>
      </c>
      <c r="D79" s="1" t="s">
        <v>1922</v>
      </c>
      <c r="E79" s="1" t="s">
        <v>1922</v>
      </c>
      <c r="F79" s="1" t="s">
        <v>1922</v>
      </c>
      <c r="G79" s="1" t="s">
        <v>1922</v>
      </c>
      <c r="H79" s="1" t="s">
        <v>1922</v>
      </c>
      <c r="I79" s="1" t="s">
        <v>1922</v>
      </c>
      <c r="J79" s="1" t="s">
        <v>1922</v>
      </c>
      <c r="K79" s="1" t="s">
        <v>1922</v>
      </c>
      <c r="L79" s="1" t="s">
        <v>1922</v>
      </c>
    </row>
    <row r="80" spans="1:12">
      <c r="A80" s="1" t="s">
        <v>413</v>
      </c>
      <c r="C80" s="1" t="s">
        <v>1922</v>
      </c>
      <c r="D80" s="1" t="s">
        <v>1922</v>
      </c>
      <c r="E80" s="1" t="s">
        <v>1922</v>
      </c>
      <c r="F80" s="1" t="s">
        <v>1922</v>
      </c>
      <c r="G80" s="1" t="s">
        <v>1922</v>
      </c>
      <c r="H80" s="1" t="s">
        <v>1922</v>
      </c>
      <c r="I80" s="1" t="s">
        <v>1922</v>
      </c>
      <c r="J80" s="1" t="s">
        <v>1922</v>
      </c>
      <c r="K80" s="1" t="s">
        <v>1922</v>
      </c>
      <c r="L80" s="1" t="s">
        <v>1922</v>
      </c>
    </row>
    <row r="81" spans="1:12">
      <c r="A81" s="1" t="s">
        <v>2073</v>
      </c>
      <c r="C81" s="1" t="s">
        <v>2146</v>
      </c>
      <c r="D81" s="1" t="s">
        <v>1922</v>
      </c>
      <c r="E81" s="1" t="s">
        <v>1922</v>
      </c>
      <c r="F81" s="1" t="s">
        <v>1922</v>
      </c>
      <c r="G81" s="1" t="s">
        <v>1922</v>
      </c>
      <c r="H81" s="1" t="s">
        <v>1922</v>
      </c>
      <c r="I81" s="1" t="s">
        <v>1922</v>
      </c>
      <c r="J81" s="1" t="s">
        <v>1922</v>
      </c>
      <c r="K81" s="1" t="s">
        <v>1922</v>
      </c>
      <c r="L81" s="1" t="s">
        <v>1922</v>
      </c>
    </row>
    <row r="82" spans="1:12">
      <c r="A82" s="1" t="s">
        <v>387</v>
      </c>
      <c r="C82" s="1" t="s">
        <v>1922</v>
      </c>
      <c r="D82" s="1" t="s">
        <v>1922</v>
      </c>
      <c r="E82" s="1" t="s">
        <v>1922</v>
      </c>
      <c r="F82" s="1" t="s">
        <v>1922</v>
      </c>
      <c r="G82" s="1" t="s">
        <v>1922</v>
      </c>
      <c r="H82" s="1" t="s">
        <v>1922</v>
      </c>
      <c r="I82" s="1" t="s">
        <v>1922</v>
      </c>
      <c r="J82" s="1" t="s">
        <v>1922</v>
      </c>
      <c r="K82" s="1" t="s">
        <v>1922</v>
      </c>
      <c r="L82" s="1" t="s">
        <v>1922</v>
      </c>
    </row>
    <row r="83" spans="1:12">
      <c r="A83" s="1" t="s">
        <v>409</v>
      </c>
      <c r="C83" s="1" t="s">
        <v>1922</v>
      </c>
      <c r="D83" s="1" t="s">
        <v>1922</v>
      </c>
      <c r="E83" s="1" t="s">
        <v>1922</v>
      </c>
      <c r="F83" s="1" t="s">
        <v>1922</v>
      </c>
      <c r="G83" s="1" t="s">
        <v>1922</v>
      </c>
      <c r="H83" s="1" t="s">
        <v>1922</v>
      </c>
      <c r="I83" s="1" t="s">
        <v>1922</v>
      </c>
      <c r="J83" s="1" t="s">
        <v>1922</v>
      </c>
      <c r="K83" s="1" t="s">
        <v>1922</v>
      </c>
      <c r="L83" s="1" t="s">
        <v>1922</v>
      </c>
    </row>
    <row r="84" spans="1:12">
      <c r="A84" s="1" t="s">
        <v>381</v>
      </c>
      <c r="C84" s="1" t="s">
        <v>1922</v>
      </c>
      <c r="D84" s="1" t="s">
        <v>1922</v>
      </c>
      <c r="E84" s="1" t="s">
        <v>1922</v>
      </c>
      <c r="F84" s="1" t="s">
        <v>1922</v>
      </c>
      <c r="G84" s="1" t="s">
        <v>1922</v>
      </c>
      <c r="H84" s="1" t="s">
        <v>1922</v>
      </c>
      <c r="I84" s="1" t="s">
        <v>1922</v>
      </c>
      <c r="J84" s="1" t="s">
        <v>1922</v>
      </c>
      <c r="K84" s="1" t="s">
        <v>1922</v>
      </c>
      <c r="L84" s="1" t="s">
        <v>1922</v>
      </c>
    </row>
    <row r="85" spans="1:12">
      <c r="A85" s="1" t="s">
        <v>2193</v>
      </c>
      <c r="C85" s="1" t="s">
        <v>1922</v>
      </c>
      <c r="D85" s="1" t="s">
        <v>1922</v>
      </c>
      <c r="E85" s="1" t="s">
        <v>1922</v>
      </c>
      <c r="F85" s="1" t="s">
        <v>1922</v>
      </c>
      <c r="G85" s="1" t="s">
        <v>1922</v>
      </c>
      <c r="H85" s="1" t="s">
        <v>1922</v>
      </c>
      <c r="I85" s="1" t="s">
        <v>1922</v>
      </c>
      <c r="J85" s="1" t="s">
        <v>1922</v>
      </c>
      <c r="K85" s="1" t="s">
        <v>1922</v>
      </c>
      <c r="L85" s="1" t="s">
        <v>1922</v>
      </c>
    </row>
    <row r="86" spans="1:12">
      <c r="A86" s="1" t="s">
        <v>1893</v>
      </c>
      <c r="C86" s="1" t="s">
        <v>1922</v>
      </c>
      <c r="D86" s="1" t="s">
        <v>1922</v>
      </c>
      <c r="E86" s="1" t="s">
        <v>1922</v>
      </c>
      <c r="F86" s="1" t="s">
        <v>1922</v>
      </c>
      <c r="G86" s="1" t="s">
        <v>1922</v>
      </c>
      <c r="H86" s="1" t="s">
        <v>1922</v>
      </c>
      <c r="I86" s="1" t="s">
        <v>1922</v>
      </c>
      <c r="J86" s="1" t="s">
        <v>1922</v>
      </c>
      <c r="K86" s="1" t="s">
        <v>1922</v>
      </c>
      <c r="L86" s="1" t="s">
        <v>1922</v>
      </c>
    </row>
    <row r="87" spans="1:12">
      <c r="A87" s="1" t="s">
        <v>1982</v>
      </c>
      <c r="C87" s="1" t="s">
        <v>1922</v>
      </c>
      <c r="D87" s="1" t="s">
        <v>1922</v>
      </c>
      <c r="E87" s="1" t="s">
        <v>1922</v>
      </c>
      <c r="F87" s="1" t="s">
        <v>1922</v>
      </c>
      <c r="G87" s="1" t="s">
        <v>1922</v>
      </c>
      <c r="H87" s="1" t="s">
        <v>1922</v>
      </c>
      <c r="I87" s="1" t="s">
        <v>1922</v>
      </c>
      <c r="J87" s="1" t="s">
        <v>1922</v>
      </c>
      <c r="K87" s="1" t="s">
        <v>1922</v>
      </c>
      <c r="L87" s="1" t="s">
        <v>1922</v>
      </c>
    </row>
    <row r="88" spans="1:12">
      <c r="A88" s="1" t="s">
        <v>1982</v>
      </c>
      <c r="C88" s="1" t="s">
        <v>1922</v>
      </c>
      <c r="D88" s="1" t="s">
        <v>1922</v>
      </c>
      <c r="E88" s="1" t="s">
        <v>1922</v>
      </c>
      <c r="F88" s="1" t="s">
        <v>1922</v>
      </c>
      <c r="G88" s="1" t="s">
        <v>1922</v>
      </c>
      <c r="H88" s="1" t="s">
        <v>1922</v>
      </c>
      <c r="I88" s="1" t="s">
        <v>1922</v>
      </c>
      <c r="J88" s="1" t="s">
        <v>1922</v>
      </c>
      <c r="K88" s="1" t="s">
        <v>1922</v>
      </c>
      <c r="L88" s="1" t="s">
        <v>1922</v>
      </c>
    </row>
    <row r="89" spans="1:12">
      <c r="A89" s="1" t="s">
        <v>1982</v>
      </c>
      <c r="C89" s="1" t="s">
        <v>1922</v>
      </c>
      <c r="D89" s="1" t="s">
        <v>1922</v>
      </c>
      <c r="E89" s="1" t="s">
        <v>1922</v>
      </c>
      <c r="F89" s="1" t="s">
        <v>1922</v>
      </c>
      <c r="G89" s="1" t="s">
        <v>1922</v>
      </c>
      <c r="H89" s="1" t="s">
        <v>1922</v>
      </c>
      <c r="I89" s="1" t="s">
        <v>1922</v>
      </c>
      <c r="J89" s="1" t="s">
        <v>1922</v>
      </c>
      <c r="K89" s="1" t="s">
        <v>1922</v>
      </c>
      <c r="L89" s="1" t="s">
        <v>1922</v>
      </c>
    </row>
    <row r="90" spans="1:12">
      <c r="A90" s="1" t="s">
        <v>1982</v>
      </c>
      <c r="C90" s="1" t="s">
        <v>1922</v>
      </c>
      <c r="D90" s="1" t="s">
        <v>1922</v>
      </c>
      <c r="E90" s="1" t="s">
        <v>1922</v>
      </c>
      <c r="F90" s="1" t="s">
        <v>1922</v>
      </c>
      <c r="G90" s="1" t="s">
        <v>1922</v>
      </c>
      <c r="H90" s="1" t="s">
        <v>1922</v>
      </c>
      <c r="I90" s="1" t="s">
        <v>1922</v>
      </c>
      <c r="J90" s="1" t="s">
        <v>1922</v>
      </c>
      <c r="K90" s="1" t="s">
        <v>1922</v>
      </c>
      <c r="L90" s="1" t="s">
        <v>1922</v>
      </c>
    </row>
    <row r="91" spans="1:12">
      <c r="A91" s="1" t="s">
        <v>1960</v>
      </c>
      <c r="C91" s="1" t="s">
        <v>1922</v>
      </c>
      <c r="D91" s="1" t="s">
        <v>1922</v>
      </c>
      <c r="E91" s="1" t="s">
        <v>1922</v>
      </c>
      <c r="F91" s="1" t="s">
        <v>1922</v>
      </c>
      <c r="G91" s="1" t="s">
        <v>1922</v>
      </c>
      <c r="H91" s="1" t="s">
        <v>1922</v>
      </c>
      <c r="I91" s="1" t="s">
        <v>1922</v>
      </c>
      <c r="J91" s="1" t="s">
        <v>1922</v>
      </c>
      <c r="K91" s="1" t="s">
        <v>1922</v>
      </c>
      <c r="L91" s="1" t="s">
        <v>1922</v>
      </c>
    </row>
    <row r="92" spans="1:12">
      <c r="A92" s="1" t="s">
        <v>1982</v>
      </c>
      <c r="C92" s="1" t="s">
        <v>1922</v>
      </c>
      <c r="D92" s="1" t="s">
        <v>1922</v>
      </c>
      <c r="E92" s="1" t="s">
        <v>1922</v>
      </c>
      <c r="F92" s="1" t="s">
        <v>1922</v>
      </c>
      <c r="G92" s="1" t="s">
        <v>1922</v>
      </c>
      <c r="H92" s="1" t="s">
        <v>1922</v>
      </c>
      <c r="I92" s="1" t="s">
        <v>1922</v>
      </c>
      <c r="J92" s="1" t="s">
        <v>1922</v>
      </c>
      <c r="K92" s="1" t="s">
        <v>1922</v>
      </c>
      <c r="L92" s="1" t="s">
        <v>1922</v>
      </c>
    </row>
    <row r="93" spans="1:12">
      <c r="A93" s="1" t="s">
        <v>399</v>
      </c>
      <c r="C93" s="1" t="s">
        <v>1922</v>
      </c>
      <c r="D93" s="1" t="s">
        <v>1922</v>
      </c>
      <c r="E93" s="1" t="s">
        <v>1922</v>
      </c>
      <c r="F93" s="1" t="s">
        <v>1922</v>
      </c>
      <c r="G93" s="1" t="s">
        <v>1922</v>
      </c>
      <c r="H93" s="1" t="s">
        <v>1922</v>
      </c>
      <c r="I93" s="1" t="s">
        <v>1922</v>
      </c>
      <c r="J93" s="1" t="s">
        <v>1922</v>
      </c>
      <c r="K93" s="1" t="s">
        <v>1922</v>
      </c>
      <c r="L93" s="1" t="s">
        <v>1922</v>
      </c>
    </row>
    <row r="94" spans="1:12">
      <c r="A94" s="1" t="s">
        <v>1982</v>
      </c>
      <c r="C94" s="1" t="s">
        <v>1922</v>
      </c>
      <c r="D94" s="1" t="s">
        <v>1922</v>
      </c>
      <c r="E94" s="1" t="s">
        <v>1922</v>
      </c>
      <c r="F94" s="1" t="s">
        <v>1922</v>
      </c>
      <c r="G94" s="1" t="s">
        <v>1922</v>
      </c>
      <c r="H94" s="1" t="s">
        <v>1922</v>
      </c>
      <c r="I94" s="1" t="s">
        <v>1922</v>
      </c>
      <c r="J94" s="1" t="s">
        <v>1922</v>
      </c>
      <c r="K94" s="1" t="s">
        <v>1922</v>
      </c>
      <c r="L94" s="1" t="s">
        <v>1922</v>
      </c>
    </row>
    <row r="95" spans="1:12">
      <c r="A95" s="1" t="s">
        <v>62</v>
      </c>
      <c r="C95" s="1" t="s">
        <v>1922</v>
      </c>
      <c r="D95" s="1" t="s">
        <v>1922</v>
      </c>
      <c r="E95" s="1" t="s">
        <v>1922</v>
      </c>
      <c r="F95" s="1" t="s">
        <v>1922</v>
      </c>
      <c r="G95" s="1" t="s">
        <v>1922</v>
      </c>
      <c r="H95" s="1" t="s">
        <v>1922</v>
      </c>
      <c r="I95" s="1" t="s">
        <v>1922</v>
      </c>
      <c r="J95" s="1" t="s">
        <v>1922</v>
      </c>
      <c r="K95" s="1" t="s">
        <v>1922</v>
      </c>
      <c r="L95" s="1" t="s">
        <v>1922</v>
      </c>
    </row>
    <row r="96" spans="1:12">
      <c r="A96" s="1" t="s">
        <v>1465</v>
      </c>
      <c r="C96" s="1" t="s">
        <v>1922</v>
      </c>
      <c r="D96" s="1" t="s">
        <v>1922</v>
      </c>
      <c r="E96" s="1" t="s">
        <v>1922</v>
      </c>
      <c r="F96" s="1" t="s">
        <v>1922</v>
      </c>
      <c r="G96" s="1" t="s">
        <v>1922</v>
      </c>
      <c r="H96" s="1" t="s">
        <v>1922</v>
      </c>
      <c r="I96" s="1" t="s">
        <v>1922</v>
      </c>
      <c r="J96" s="1" t="s">
        <v>1922</v>
      </c>
      <c r="K96" s="1" t="s">
        <v>1922</v>
      </c>
      <c r="L96" s="1" t="s">
        <v>1922</v>
      </c>
    </row>
    <row r="97" spans="1:12">
      <c r="A97" s="1" t="s">
        <v>1465</v>
      </c>
      <c r="C97" s="1" t="s">
        <v>1922</v>
      </c>
      <c r="D97" s="1" t="s">
        <v>1922</v>
      </c>
      <c r="E97" s="1" t="s">
        <v>1922</v>
      </c>
      <c r="F97" s="1" t="s">
        <v>1922</v>
      </c>
      <c r="G97" s="1" t="s">
        <v>1922</v>
      </c>
      <c r="H97" s="1" t="s">
        <v>1922</v>
      </c>
      <c r="I97" s="1" t="s">
        <v>1922</v>
      </c>
      <c r="J97" s="1" t="s">
        <v>1922</v>
      </c>
      <c r="K97" s="1" t="s">
        <v>1922</v>
      </c>
      <c r="L97" s="1" t="s">
        <v>1922</v>
      </c>
    </row>
    <row r="98" spans="1:12">
      <c r="A98" s="1" t="s">
        <v>1465</v>
      </c>
      <c r="C98" s="1" t="s">
        <v>1922</v>
      </c>
      <c r="D98" s="1" t="s">
        <v>1922</v>
      </c>
      <c r="E98" s="1" t="s">
        <v>1922</v>
      </c>
      <c r="F98" s="1" t="s">
        <v>1922</v>
      </c>
      <c r="G98" s="1" t="s">
        <v>1922</v>
      </c>
      <c r="H98" s="1" t="s">
        <v>1922</v>
      </c>
      <c r="I98" s="1" t="s">
        <v>1922</v>
      </c>
      <c r="J98" s="1" t="s">
        <v>1922</v>
      </c>
      <c r="K98" s="1" t="s">
        <v>1922</v>
      </c>
      <c r="L98" s="1" t="s">
        <v>1922</v>
      </c>
    </row>
    <row r="99" spans="1:12">
      <c r="A99" s="1" t="s">
        <v>381</v>
      </c>
      <c r="C99" s="1" t="s">
        <v>1922</v>
      </c>
      <c r="D99" s="1" t="s">
        <v>1922</v>
      </c>
      <c r="E99" s="1" t="s">
        <v>1922</v>
      </c>
      <c r="F99" s="1" t="s">
        <v>1922</v>
      </c>
      <c r="G99" s="1" t="s">
        <v>1922</v>
      </c>
      <c r="H99" s="1" t="s">
        <v>1922</v>
      </c>
      <c r="I99" s="1" t="s">
        <v>1922</v>
      </c>
      <c r="J99" s="1" t="s">
        <v>1922</v>
      </c>
      <c r="K99" s="1" t="s">
        <v>1922</v>
      </c>
      <c r="L99" s="1" t="s">
        <v>1922</v>
      </c>
    </row>
    <row r="100" spans="1:12">
      <c r="A100" s="1" t="s">
        <v>2073</v>
      </c>
      <c r="C100" s="1" t="s">
        <v>1922</v>
      </c>
      <c r="D100" s="1" t="s">
        <v>1922</v>
      </c>
      <c r="E100" s="1" t="s">
        <v>1922</v>
      </c>
      <c r="F100" s="1" t="s">
        <v>1922</v>
      </c>
      <c r="G100" s="1" t="s">
        <v>1922</v>
      </c>
      <c r="H100" s="1" t="s">
        <v>1922</v>
      </c>
      <c r="I100" s="1" t="s">
        <v>1922</v>
      </c>
      <c r="J100" s="1" t="s">
        <v>1922</v>
      </c>
      <c r="K100" s="1" t="s">
        <v>1922</v>
      </c>
      <c r="L100" s="1" t="s">
        <v>1922</v>
      </c>
    </row>
    <row r="101" spans="1:12">
      <c r="A101" s="1" t="s">
        <v>2252</v>
      </c>
      <c r="C101" s="1" t="s">
        <v>1922</v>
      </c>
      <c r="D101" s="1" t="s">
        <v>1922</v>
      </c>
      <c r="E101" s="1" t="s">
        <v>1922</v>
      </c>
      <c r="F101" s="1" t="s">
        <v>1922</v>
      </c>
      <c r="G101" s="1" t="s">
        <v>1922</v>
      </c>
      <c r="H101" s="1" t="s">
        <v>1922</v>
      </c>
      <c r="I101" s="1" t="s">
        <v>1922</v>
      </c>
      <c r="J101" s="1" t="s">
        <v>1922</v>
      </c>
      <c r="K101" s="1" t="s">
        <v>1922</v>
      </c>
      <c r="L101" s="1" t="s">
        <v>1922</v>
      </c>
    </row>
    <row r="102" spans="1:12">
      <c r="A102" s="1" t="s">
        <v>2252</v>
      </c>
      <c r="C102" s="1" t="s">
        <v>1922</v>
      </c>
      <c r="D102" s="1" t="s">
        <v>1922</v>
      </c>
      <c r="E102" s="1" t="s">
        <v>1922</v>
      </c>
      <c r="F102" s="1" t="s">
        <v>1922</v>
      </c>
      <c r="G102" s="1" t="s">
        <v>1922</v>
      </c>
      <c r="H102" s="1" t="s">
        <v>1922</v>
      </c>
      <c r="I102" s="1" t="s">
        <v>1922</v>
      </c>
      <c r="J102" s="1" t="s">
        <v>1922</v>
      </c>
      <c r="K102" s="1" t="s">
        <v>1922</v>
      </c>
      <c r="L102" s="1" t="s">
        <v>1922</v>
      </c>
    </row>
    <row r="103" spans="1:12">
      <c r="A103" s="1" t="s">
        <v>402</v>
      </c>
      <c r="C103" s="1" t="s">
        <v>1922</v>
      </c>
      <c r="D103" s="1" t="s">
        <v>1922</v>
      </c>
      <c r="E103" s="1" t="s">
        <v>1922</v>
      </c>
      <c r="F103" s="1" t="s">
        <v>1922</v>
      </c>
      <c r="G103" s="1" t="s">
        <v>1922</v>
      </c>
      <c r="H103" s="1" t="s">
        <v>1922</v>
      </c>
      <c r="I103" s="1" t="s">
        <v>1922</v>
      </c>
      <c r="J103" s="1" t="s">
        <v>1922</v>
      </c>
      <c r="K103" s="1" t="s">
        <v>1922</v>
      </c>
      <c r="L103" s="1" t="s">
        <v>1922</v>
      </c>
    </row>
    <row r="104" spans="1:12">
      <c r="A104" s="1" t="s">
        <v>402</v>
      </c>
      <c r="C104" s="1" t="s">
        <v>1922</v>
      </c>
      <c r="D104" s="1" t="s">
        <v>1922</v>
      </c>
      <c r="E104" s="1" t="s">
        <v>1922</v>
      </c>
      <c r="F104" s="1" t="s">
        <v>1922</v>
      </c>
      <c r="G104" s="1" t="s">
        <v>1922</v>
      </c>
      <c r="H104" s="1" t="s">
        <v>1922</v>
      </c>
      <c r="I104" s="1" t="s">
        <v>1922</v>
      </c>
      <c r="J104" s="1" t="s">
        <v>1922</v>
      </c>
      <c r="K104" s="1" t="s">
        <v>1922</v>
      </c>
      <c r="L104" s="1" t="s">
        <v>1922</v>
      </c>
    </row>
    <row r="105" spans="1:12">
      <c r="A105" s="1" t="s">
        <v>402</v>
      </c>
      <c r="C105" s="1" t="s">
        <v>1922</v>
      </c>
      <c r="D105" s="1" t="s">
        <v>1922</v>
      </c>
      <c r="E105" s="1" t="s">
        <v>1922</v>
      </c>
      <c r="F105" s="1" t="s">
        <v>1922</v>
      </c>
      <c r="G105" s="1" t="s">
        <v>1922</v>
      </c>
      <c r="H105" s="1" t="s">
        <v>1922</v>
      </c>
      <c r="I105" s="1" t="s">
        <v>1922</v>
      </c>
      <c r="J105" s="1" t="s">
        <v>1922</v>
      </c>
      <c r="K105" s="1" t="s">
        <v>1922</v>
      </c>
      <c r="L105" s="1" t="s">
        <v>1922</v>
      </c>
    </row>
    <row r="106" spans="1:12">
      <c r="A106" s="1" t="s">
        <v>402</v>
      </c>
      <c r="C106" s="1" t="s">
        <v>1922</v>
      </c>
      <c r="D106" s="1" t="s">
        <v>1922</v>
      </c>
      <c r="E106" s="1" t="s">
        <v>1922</v>
      </c>
      <c r="F106" s="1" t="s">
        <v>1922</v>
      </c>
      <c r="G106" s="1" t="s">
        <v>1922</v>
      </c>
      <c r="H106" s="1" t="s">
        <v>1922</v>
      </c>
      <c r="I106" s="1" t="s">
        <v>1922</v>
      </c>
      <c r="J106" s="1" t="s">
        <v>1922</v>
      </c>
      <c r="K106" s="1" t="s">
        <v>1922</v>
      </c>
      <c r="L106" s="1" t="s">
        <v>1922</v>
      </c>
    </row>
    <row r="107" spans="1:12">
      <c r="A107" s="1" t="s">
        <v>409</v>
      </c>
      <c r="C107" s="1" t="s">
        <v>1922</v>
      </c>
      <c r="D107" s="1" t="s">
        <v>1922</v>
      </c>
      <c r="E107" s="1" t="s">
        <v>1922</v>
      </c>
      <c r="F107" s="1" t="s">
        <v>1922</v>
      </c>
      <c r="G107" s="1" t="s">
        <v>1922</v>
      </c>
      <c r="H107" s="1" t="s">
        <v>1922</v>
      </c>
      <c r="I107" s="1" t="s">
        <v>1922</v>
      </c>
      <c r="J107" s="1" t="s">
        <v>1922</v>
      </c>
      <c r="K107" s="1" t="s">
        <v>1922</v>
      </c>
      <c r="L107" s="1" t="s">
        <v>1922</v>
      </c>
    </row>
    <row r="108" spans="1:12">
      <c r="A108" s="1" t="s">
        <v>409</v>
      </c>
      <c r="C108" s="1" t="s">
        <v>1922</v>
      </c>
      <c r="D108" s="1" t="s">
        <v>1922</v>
      </c>
      <c r="E108" s="1" t="s">
        <v>1922</v>
      </c>
      <c r="F108" s="1" t="s">
        <v>1922</v>
      </c>
      <c r="G108" s="1" t="s">
        <v>1922</v>
      </c>
      <c r="H108" s="1" t="s">
        <v>1922</v>
      </c>
      <c r="I108" s="1" t="s">
        <v>1922</v>
      </c>
      <c r="J108" s="1" t="s">
        <v>1922</v>
      </c>
      <c r="K108" s="1" t="s">
        <v>1922</v>
      </c>
      <c r="L108" s="1" t="s">
        <v>1922</v>
      </c>
    </row>
    <row r="109" spans="1:12">
      <c r="A109" s="1" t="s">
        <v>409</v>
      </c>
      <c r="C109" s="1" t="s">
        <v>1922</v>
      </c>
      <c r="D109" s="1" t="s">
        <v>1922</v>
      </c>
      <c r="E109" s="1" t="s">
        <v>1922</v>
      </c>
      <c r="F109" s="1" t="s">
        <v>1922</v>
      </c>
      <c r="G109" s="1" t="s">
        <v>1922</v>
      </c>
      <c r="H109" s="1" t="s">
        <v>1922</v>
      </c>
      <c r="I109" s="1" t="s">
        <v>1922</v>
      </c>
      <c r="J109" s="1" t="s">
        <v>1922</v>
      </c>
      <c r="K109" s="1" t="s">
        <v>1922</v>
      </c>
      <c r="L109" s="1" t="s">
        <v>1922</v>
      </c>
    </row>
    <row r="110" spans="1:12">
      <c r="A110" s="1" t="s">
        <v>409</v>
      </c>
      <c r="C110" s="1" t="s">
        <v>1922</v>
      </c>
      <c r="D110" s="1" t="s">
        <v>1922</v>
      </c>
      <c r="E110" s="1" t="s">
        <v>1922</v>
      </c>
      <c r="F110" s="1" t="s">
        <v>1922</v>
      </c>
      <c r="G110" s="1" t="s">
        <v>1922</v>
      </c>
      <c r="H110" s="1" t="s">
        <v>1922</v>
      </c>
      <c r="I110" s="1" t="s">
        <v>1922</v>
      </c>
      <c r="J110" s="1" t="s">
        <v>1922</v>
      </c>
      <c r="K110" s="1" t="s">
        <v>1922</v>
      </c>
      <c r="L110" s="1" t="s">
        <v>1922</v>
      </c>
    </row>
    <row r="111" spans="1:12">
      <c r="A111" s="1" t="s">
        <v>409</v>
      </c>
      <c r="C111" s="1" t="s">
        <v>1922</v>
      </c>
      <c r="D111" s="1" t="s">
        <v>1922</v>
      </c>
      <c r="E111" s="1" t="s">
        <v>1922</v>
      </c>
      <c r="F111" s="1" t="s">
        <v>1922</v>
      </c>
      <c r="G111" s="1" t="s">
        <v>1922</v>
      </c>
      <c r="H111" s="1" t="s">
        <v>1922</v>
      </c>
      <c r="I111" s="1" t="s">
        <v>1922</v>
      </c>
      <c r="J111" s="1" t="s">
        <v>1922</v>
      </c>
      <c r="K111" s="1" t="s">
        <v>1922</v>
      </c>
      <c r="L111" s="1" t="s">
        <v>1922</v>
      </c>
    </row>
    <row r="112" spans="1:12">
      <c r="A112" s="1" t="s">
        <v>100</v>
      </c>
      <c r="E112" s="1" t="s">
        <v>1922</v>
      </c>
      <c r="F112" s="1" t="s">
        <v>1922</v>
      </c>
      <c r="G112" s="1" t="s">
        <v>1922</v>
      </c>
      <c r="H112" s="1" t="s">
        <v>1922</v>
      </c>
      <c r="I112" s="1" t="s">
        <v>1922</v>
      </c>
      <c r="J112" s="1" t="s">
        <v>1922</v>
      </c>
      <c r="K112" s="1" t="s">
        <v>1922</v>
      </c>
      <c r="L112" s="1" t="s">
        <v>1922</v>
      </c>
    </row>
    <row r="113" spans="1:12">
      <c r="A113" s="1" t="s">
        <v>2062</v>
      </c>
      <c r="C113" s="1" t="s">
        <v>1922</v>
      </c>
      <c r="D113" s="1" t="s">
        <v>1922</v>
      </c>
      <c r="E113" s="1" t="s">
        <v>1922</v>
      </c>
      <c r="F113" s="1" t="s">
        <v>1922</v>
      </c>
      <c r="G113" s="1" t="s">
        <v>1922</v>
      </c>
      <c r="H113" s="1" t="s">
        <v>1922</v>
      </c>
      <c r="I113" s="1" t="s">
        <v>1922</v>
      </c>
      <c r="J113" s="1" t="s">
        <v>1922</v>
      </c>
      <c r="K113" s="1" t="s">
        <v>1922</v>
      </c>
      <c r="L113" s="1" t="s">
        <v>1922</v>
      </c>
    </row>
    <row r="114" spans="1:12">
      <c r="A114" s="1" t="s">
        <v>390</v>
      </c>
      <c r="C114" s="1" t="s">
        <v>1922</v>
      </c>
      <c r="D114" s="1" t="s">
        <v>1922</v>
      </c>
      <c r="E114" s="1" t="s">
        <v>1922</v>
      </c>
      <c r="F114" s="1" t="s">
        <v>1922</v>
      </c>
      <c r="G114" s="1" t="s">
        <v>1922</v>
      </c>
      <c r="H114" s="1" t="s">
        <v>1922</v>
      </c>
      <c r="I114" s="1" t="s">
        <v>1922</v>
      </c>
      <c r="J114" s="1" t="s">
        <v>1922</v>
      </c>
      <c r="K114" s="1" t="s">
        <v>1922</v>
      </c>
      <c r="L114" s="1" t="s">
        <v>1922</v>
      </c>
    </row>
    <row r="115" spans="1:12">
      <c r="A115" s="1" t="s">
        <v>381</v>
      </c>
      <c r="C115" s="1" t="s">
        <v>1922</v>
      </c>
      <c r="D115" s="1" t="s">
        <v>1922</v>
      </c>
      <c r="E115" s="1" t="s">
        <v>1922</v>
      </c>
      <c r="F115" s="1" t="s">
        <v>1922</v>
      </c>
      <c r="G115" s="1" t="s">
        <v>1922</v>
      </c>
      <c r="H115" s="1" t="s">
        <v>1922</v>
      </c>
      <c r="I115" s="1" t="s">
        <v>1922</v>
      </c>
      <c r="J115" s="1" t="s">
        <v>1922</v>
      </c>
      <c r="K115" s="1" t="s">
        <v>1922</v>
      </c>
      <c r="L115" s="1" t="s">
        <v>1922</v>
      </c>
    </row>
    <row r="116" spans="1:12">
      <c r="A116" s="1" t="s">
        <v>1939</v>
      </c>
      <c r="C116" s="1" t="s">
        <v>1922</v>
      </c>
      <c r="D116" s="1" t="s">
        <v>1922</v>
      </c>
      <c r="E116" s="1" t="s">
        <v>1922</v>
      </c>
      <c r="F116" s="1" t="s">
        <v>1922</v>
      </c>
      <c r="G116" s="1" t="s">
        <v>1922</v>
      </c>
      <c r="H116" s="1" t="s">
        <v>1922</v>
      </c>
      <c r="I116" s="1" t="s">
        <v>1922</v>
      </c>
      <c r="J116" s="1" t="s">
        <v>1922</v>
      </c>
      <c r="K116" s="1" t="s">
        <v>1922</v>
      </c>
      <c r="L116" s="1" t="s">
        <v>1922</v>
      </c>
    </row>
    <row r="117" spans="1:12">
      <c r="A117" s="1" t="s">
        <v>1888</v>
      </c>
      <c r="D117" s="1" t="s">
        <v>1922</v>
      </c>
      <c r="E117" s="1" t="s">
        <v>1922</v>
      </c>
      <c r="F117" s="1" t="s">
        <v>1922</v>
      </c>
      <c r="G117" s="1" t="s">
        <v>1922</v>
      </c>
      <c r="H117" s="1" t="s">
        <v>1922</v>
      </c>
      <c r="I117" s="1" t="s">
        <v>1922</v>
      </c>
      <c r="J117" s="1" t="s">
        <v>1922</v>
      </c>
      <c r="K117" s="1" t="s">
        <v>1922</v>
      </c>
      <c r="L117" s="1" t="s">
        <v>1922</v>
      </c>
    </row>
    <row r="118" spans="1:12">
      <c r="A118" s="1" t="s">
        <v>2073</v>
      </c>
      <c r="C118" s="1" t="s">
        <v>1922</v>
      </c>
      <c r="D118" s="1" t="s">
        <v>1922</v>
      </c>
      <c r="E118" s="1" t="s">
        <v>1922</v>
      </c>
      <c r="F118" s="1" t="s">
        <v>1922</v>
      </c>
      <c r="G118" s="1" t="s">
        <v>1922</v>
      </c>
      <c r="H118" s="1" t="s">
        <v>1922</v>
      </c>
      <c r="I118" s="1" t="s">
        <v>1922</v>
      </c>
      <c r="J118" s="1" t="s">
        <v>1922</v>
      </c>
      <c r="K118" s="1" t="s">
        <v>1922</v>
      </c>
      <c r="L118" s="1" t="s">
        <v>1922</v>
      </c>
    </row>
    <row r="119" spans="1:12">
      <c r="A119" s="1" t="s">
        <v>409</v>
      </c>
      <c r="C119" s="1" t="s">
        <v>1922</v>
      </c>
      <c r="D119" s="1" t="s">
        <v>1922</v>
      </c>
      <c r="E119" s="1" t="s">
        <v>1922</v>
      </c>
      <c r="F119" s="1" t="s">
        <v>1922</v>
      </c>
      <c r="G119" s="1" t="s">
        <v>1922</v>
      </c>
      <c r="H119" s="1" t="s">
        <v>1922</v>
      </c>
      <c r="I119" s="1" t="s">
        <v>1922</v>
      </c>
      <c r="J119" s="1" t="s">
        <v>1922</v>
      </c>
      <c r="K119" s="1" t="s">
        <v>1922</v>
      </c>
      <c r="L119" s="1" t="s">
        <v>1922</v>
      </c>
    </row>
    <row r="120" spans="1:12">
      <c r="A120" s="1" t="s">
        <v>381</v>
      </c>
      <c r="C120" s="1" t="s">
        <v>1922</v>
      </c>
      <c r="D120" s="1" t="s">
        <v>1922</v>
      </c>
      <c r="E120" s="1" t="s">
        <v>1922</v>
      </c>
      <c r="F120" s="1" t="s">
        <v>1922</v>
      </c>
      <c r="G120" s="1" t="s">
        <v>1922</v>
      </c>
      <c r="H120" s="1" t="s">
        <v>1922</v>
      </c>
      <c r="I120" s="1" t="s">
        <v>1922</v>
      </c>
      <c r="J120" s="1" t="s">
        <v>1922</v>
      </c>
      <c r="K120" s="1" t="s">
        <v>1922</v>
      </c>
      <c r="L120" s="1" t="s">
        <v>1922</v>
      </c>
    </row>
    <row r="121" spans="1:12">
      <c r="A121" s="1" t="s">
        <v>409</v>
      </c>
      <c r="C121" s="1" t="s">
        <v>1922</v>
      </c>
      <c r="D121" s="1" t="s">
        <v>1922</v>
      </c>
      <c r="E121" s="1" t="s">
        <v>1922</v>
      </c>
      <c r="F121" s="1" t="s">
        <v>1922</v>
      </c>
      <c r="G121" s="1" t="s">
        <v>1922</v>
      </c>
      <c r="H121" s="1" t="s">
        <v>1922</v>
      </c>
      <c r="I121" s="1" t="s">
        <v>1922</v>
      </c>
      <c r="J121" s="1" t="s">
        <v>1922</v>
      </c>
      <c r="K121" s="1" t="s">
        <v>1922</v>
      </c>
      <c r="L121" s="1" t="s">
        <v>1922</v>
      </c>
    </row>
    <row r="122" spans="1:12">
      <c r="A122" s="1" t="s">
        <v>96</v>
      </c>
      <c r="C122" s="1" t="s">
        <v>1922</v>
      </c>
      <c r="D122" s="1" t="s">
        <v>1922</v>
      </c>
      <c r="E122" s="1" t="s">
        <v>1922</v>
      </c>
      <c r="F122" s="1" t="s">
        <v>1922</v>
      </c>
      <c r="G122" s="1" t="s">
        <v>1922</v>
      </c>
      <c r="H122" s="1" t="s">
        <v>1922</v>
      </c>
      <c r="I122" s="1" t="s">
        <v>1922</v>
      </c>
      <c r="J122" s="1" t="s">
        <v>1922</v>
      </c>
      <c r="K122" s="1" t="s">
        <v>1922</v>
      </c>
      <c r="L122" s="1" t="s">
        <v>1922</v>
      </c>
    </row>
    <row r="123" spans="1:12">
      <c r="A123" s="1" t="s">
        <v>381</v>
      </c>
      <c r="C123" s="1" t="s">
        <v>1922</v>
      </c>
      <c r="D123" s="1" t="s">
        <v>1922</v>
      </c>
      <c r="E123" s="1" t="s">
        <v>1922</v>
      </c>
      <c r="F123" s="1" t="s">
        <v>1922</v>
      </c>
      <c r="G123" s="1" t="s">
        <v>1922</v>
      </c>
      <c r="H123" s="1" t="s">
        <v>1922</v>
      </c>
      <c r="I123" s="1" t="s">
        <v>1922</v>
      </c>
      <c r="J123" s="1" t="s">
        <v>1922</v>
      </c>
      <c r="K123" s="1" t="s">
        <v>1922</v>
      </c>
      <c r="L123" s="1" t="s">
        <v>1922</v>
      </c>
    </row>
    <row r="124" spans="1:12">
      <c r="A124" s="1" t="s">
        <v>1960</v>
      </c>
      <c r="C124" s="1" t="s">
        <v>1922</v>
      </c>
      <c r="D124" s="1" t="s">
        <v>1922</v>
      </c>
      <c r="E124" s="1" t="s">
        <v>1922</v>
      </c>
      <c r="F124" s="1" t="s">
        <v>1922</v>
      </c>
      <c r="G124" s="1" t="s">
        <v>1922</v>
      </c>
      <c r="H124" s="1" t="s">
        <v>1922</v>
      </c>
      <c r="I124" s="1" t="s">
        <v>1922</v>
      </c>
      <c r="J124" s="1" t="s">
        <v>1922</v>
      </c>
      <c r="K124" s="1" t="s">
        <v>1922</v>
      </c>
      <c r="L124" s="1" t="s">
        <v>1922</v>
      </c>
    </row>
    <row r="125" spans="1:12">
      <c r="A125" s="1" t="s">
        <v>390</v>
      </c>
      <c r="C125" s="1" t="s">
        <v>1922</v>
      </c>
      <c r="D125" s="1" t="s">
        <v>1922</v>
      </c>
      <c r="E125" s="1" t="s">
        <v>1922</v>
      </c>
      <c r="F125" s="1" t="s">
        <v>1922</v>
      </c>
      <c r="G125" s="1" t="s">
        <v>1922</v>
      </c>
      <c r="H125" s="1" t="s">
        <v>1922</v>
      </c>
      <c r="I125" s="1" t="s">
        <v>1922</v>
      </c>
      <c r="J125" s="1" t="s">
        <v>1922</v>
      </c>
      <c r="K125" s="1" t="s">
        <v>1922</v>
      </c>
      <c r="L125" s="1" t="s">
        <v>1922</v>
      </c>
    </row>
    <row r="126" spans="1:12">
      <c r="A126" s="1" t="s">
        <v>409</v>
      </c>
      <c r="C126" s="1" t="s">
        <v>1922</v>
      </c>
      <c r="D126" s="1" t="s">
        <v>1922</v>
      </c>
      <c r="E126" s="1" t="s">
        <v>1922</v>
      </c>
      <c r="F126" s="1" t="s">
        <v>1922</v>
      </c>
      <c r="G126" s="1" t="s">
        <v>1922</v>
      </c>
      <c r="H126" s="1" t="s">
        <v>1922</v>
      </c>
      <c r="I126" s="1" t="s">
        <v>1922</v>
      </c>
      <c r="J126" s="1" t="s">
        <v>1922</v>
      </c>
      <c r="K126" s="1" t="s">
        <v>1922</v>
      </c>
      <c r="L126" s="1" t="s">
        <v>1922</v>
      </c>
    </row>
    <row r="127" spans="1:12">
      <c r="A127" s="1" t="s">
        <v>1982</v>
      </c>
      <c r="C127" s="1" t="s">
        <v>1922</v>
      </c>
      <c r="D127" s="1" t="s">
        <v>1922</v>
      </c>
      <c r="E127" s="1" t="s">
        <v>1922</v>
      </c>
      <c r="F127" s="1" t="s">
        <v>1922</v>
      </c>
      <c r="G127" s="1" t="s">
        <v>1922</v>
      </c>
      <c r="H127" s="1" t="s">
        <v>1922</v>
      </c>
      <c r="I127" s="1" t="s">
        <v>1922</v>
      </c>
      <c r="J127" s="1" t="s">
        <v>1922</v>
      </c>
      <c r="K127" s="1" t="s">
        <v>1922</v>
      </c>
      <c r="L127" s="1" t="s">
        <v>1922</v>
      </c>
    </row>
    <row r="128" spans="1:12">
      <c r="A128" s="1" t="s">
        <v>409</v>
      </c>
      <c r="C128" s="1" t="s">
        <v>1922</v>
      </c>
      <c r="D128" s="1" t="s">
        <v>1922</v>
      </c>
      <c r="E128" s="1" t="s">
        <v>1922</v>
      </c>
      <c r="F128" s="1" t="s">
        <v>1922</v>
      </c>
      <c r="G128" s="1" t="s">
        <v>1922</v>
      </c>
      <c r="H128" s="1" t="s">
        <v>1922</v>
      </c>
      <c r="I128" s="1" t="s">
        <v>1922</v>
      </c>
      <c r="J128" s="1" t="s">
        <v>1922</v>
      </c>
      <c r="K128" s="1" t="s">
        <v>1922</v>
      </c>
      <c r="L128" s="1" t="s">
        <v>1922</v>
      </c>
    </row>
    <row r="129" spans="1:12">
      <c r="A129" s="1" t="s">
        <v>409</v>
      </c>
      <c r="C129" s="1" t="s">
        <v>1922</v>
      </c>
      <c r="D129" s="1" t="s">
        <v>1922</v>
      </c>
      <c r="E129" s="1" t="s">
        <v>1922</v>
      </c>
      <c r="F129" s="1" t="s">
        <v>1922</v>
      </c>
      <c r="G129" s="1" t="s">
        <v>1922</v>
      </c>
      <c r="H129" s="1" t="s">
        <v>1922</v>
      </c>
      <c r="I129" s="1" t="s">
        <v>1922</v>
      </c>
      <c r="J129" s="1" t="s">
        <v>1922</v>
      </c>
      <c r="K129" s="1" t="s">
        <v>1922</v>
      </c>
      <c r="L129" s="1" t="s">
        <v>1922</v>
      </c>
    </row>
    <row r="130" spans="1:12">
      <c r="A130" s="1" t="s">
        <v>409</v>
      </c>
      <c r="C130" s="1" t="s">
        <v>1922</v>
      </c>
      <c r="D130" s="1" t="s">
        <v>1922</v>
      </c>
      <c r="E130" s="1" t="s">
        <v>1922</v>
      </c>
      <c r="F130" s="1" t="s">
        <v>1922</v>
      </c>
      <c r="G130" s="1" t="s">
        <v>1922</v>
      </c>
      <c r="H130" s="1" t="s">
        <v>1922</v>
      </c>
      <c r="I130" s="1" t="s">
        <v>1922</v>
      </c>
      <c r="J130" s="1" t="s">
        <v>1922</v>
      </c>
      <c r="K130" s="1" t="s">
        <v>1922</v>
      </c>
      <c r="L130" s="1" t="s">
        <v>1922</v>
      </c>
    </row>
    <row r="131" spans="1:12">
      <c r="A131" s="1" t="s">
        <v>407</v>
      </c>
      <c r="C131" s="1" t="s">
        <v>1922</v>
      </c>
      <c r="D131" s="1" t="s">
        <v>1922</v>
      </c>
      <c r="E131" s="1" t="s">
        <v>1922</v>
      </c>
      <c r="F131" s="1" t="s">
        <v>1922</v>
      </c>
      <c r="G131" s="1" t="s">
        <v>1922</v>
      </c>
      <c r="H131" s="1" t="s">
        <v>1922</v>
      </c>
      <c r="I131" s="1" t="s">
        <v>1922</v>
      </c>
      <c r="J131" s="1" t="s">
        <v>1922</v>
      </c>
      <c r="K131" s="1" t="s">
        <v>1922</v>
      </c>
      <c r="L131" s="1" t="s">
        <v>1922</v>
      </c>
    </row>
    <row r="132" spans="1:12">
      <c r="A132" s="1" t="s">
        <v>407</v>
      </c>
      <c r="C132" s="1" t="s">
        <v>1922</v>
      </c>
      <c r="D132" s="1" t="s">
        <v>1922</v>
      </c>
      <c r="E132" s="1" t="s">
        <v>1922</v>
      </c>
      <c r="F132" s="1" t="s">
        <v>1922</v>
      </c>
      <c r="G132" s="1" t="s">
        <v>1922</v>
      </c>
      <c r="H132" s="1" t="s">
        <v>1922</v>
      </c>
      <c r="I132" s="1" t="s">
        <v>1922</v>
      </c>
      <c r="J132" s="1" t="s">
        <v>1922</v>
      </c>
      <c r="K132" s="1" t="s">
        <v>1922</v>
      </c>
      <c r="L132" s="1" t="s">
        <v>1922</v>
      </c>
    </row>
    <row r="133" spans="1:12">
      <c r="A133" s="1" t="s">
        <v>407</v>
      </c>
      <c r="C133" s="1" t="s">
        <v>1922</v>
      </c>
      <c r="D133" s="1" t="s">
        <v>1922</v>
      </c>
      <c r="E133" s="1" t="s">
        <v>1922</v>
      </c>
      <c r="F133" s="1" t="s">
        <v>1922</v>
      </c>
      <c r="G133" s="1" t="s">
        <v>1922</v>
      </c>
      <c r="H133" s="1" t="s">
        <v>1922</v>
      </c>
      <c r="I133" s="1" t="s">
        <v>1922</v>
      </c>
      <c r="J133" s="1" t="s">
        <v>1922</v>
      </c>
      <c r="K133" s="1" t="s">
        <v>1922</v>
      </c>
      <c r="L133" s="1" t="s">
        <v>1922</v>
      </c>
    </row>
    <row r="134" spans="1:12">
      <c r="A134" s="1" t="s">
        <v>407</v>
      </c>
      <c r="C134" s="1" t="s">
        <v>1922</v>
      </c>
      <c r="D134" s="1" t="s">
        <v>1922</v>
      </c>
      <c r="E134" s="1" t="s">
        <v>1922</v>
      </c>
      <c r="F134" s="1" t="s">
        <v>1922</v>
      </c>
      <c r="G134" s="1" t="s">
        <v>1922</v>
      </c>
      <c r="H134" s="1" t="s">
        <v>1922</v>
      </c>
      <c r="I134" s="1" t="s">
        <v>1922</v>
      </c>
      <c r="J134" s="1" t="s">
        <v>1922</v>
      </c>
      <c r="K134" s="1" t="s">
        <v>1922</v>
      </c>
      <c r="L134" s="1" t="s">
        <v>1922</v>
      </c>
    </row>
    <row r="135" spans="1:12">
      <c r="A135" s="1" t="s">
        <v>407</v>
      </c>
      <c r="C135" s="1" t="s">
        <v>1922</v>
      </c>
      <c r="D135" s="1" t="s">
        <v>1922</v>
      </c>
      <c r="E135" s="1" t="s">
        <v>1922</v>
      </c>
      <c r="F135" s="1" t="s">
        <v>1922</v>
      </c>
      <c r="G135" s="1" t="s">
        <v>1922</v>
      </c>
      <c r="H135" s="1" t="s">
        <v>1922</v>
      </c>
      <c r="I135" s="1" t="s">
        <v>1922</v>
      </c>
      <c r="J135" s="1" t="s">
        <v>1922</v>
      </c>
      <c r="K135" s="1" t="s">
        <v>1922</v>
      </c>
      <c r="L135" s="1" t="s">
        <v>1922</v>
      </c>
    </row>
    <row r="136" spans="1:12">
      <c r="A136" s="1" t="s">
        <v>1982</v>
      </c>
      <c r="C136" s="1" t="s">
        <v>1922</v>
      </c>
      <c r="D136" s="1" t="s">
        <v>1922</v>
      </c>
      <c r="E136" s="1" t="s">
        <v>1922</v>
      </c>
      <c r="F136" s="1" t="s">
        <v>1922</v>
      </c>
      <c r="G136" s="1" t="s">
        <v>1922</v>
      </c>
      <c r="H136" s="1" t="s">
        <v>1922</v>
      </c>
      <c r="I136" s="1" t="s">
        <v>1922</v>
      </c>
      <c r="J136" s="1" t="s">
        <v>1922</v>
      </c>
      <c r="K136" s="1" t="s">
        <v>1922</v>
      </c>
      <c r="L136" s="1" t="s">
        <v>1922</v>
      </c>
    </row>
    <row r="137" spans="1:12">
      <c r="A137" s="1" t="s">
        <v>1982</v>
      </c>
      <c r="C137" s="1" t="s">
        <v>1922</v>
      </c>
      <c r="D137" s="1" t="s">
        <v>1922</v>
      </c>
      <c r="E137" s="1" t="s">
        <v>1922</v>
      </c>
      <c r="F137" s="1" t="s">
        <v>1922</v>
      </c>
      <c r="G137" s="1" t="s">
        <v>1922</v>
      </c>
      <c r="H137" s="1" t="s">
        <v>1922</v>
      </c>
      <c r="I137" s="1" t="s">
        <v>1922</v>
      </c>
      <c r="J137" s="1" t="s">
        <v>1922</v>
      </c>
      <c r="K137" s="1" t="s">
        <v>1922</v>
      </c>
      <c r="L137" s="1" t="s">
        <v>1922</v>
      </c>
    </row>
    <row r="138" spans="1:12">
      <c r="A138" s="1" t="s">
        <v>1982</v>
      </c>
      <c r="C138" s="1" t="s">
        <v>1922</v>
      </c>
      <c r="D138" s="1" t="s">
        <v>1922</v>
      </c>
      <c r="E138" s="1" t="s">
        <v>1922</v>
      </c>
      <c r="F138" s="1" t="s">
        <v>1922</v>
      </c>
      <c r="G138" s="1" t="s">
        <v>1922</v>
      </c>
      <c r="H138" s="1" t="s">
        <v>1922</v>
      </c>
      <c r="I138" s="1" t="s">
        <v>1922</v>
      </c>
      <c r="J138" s="1" t="s">
        <v>1922</v>
      </c>
      <c r="K138" s="1" t="s">
        <v>1922</v>
      </c>
      <c r="L138" s="1" t="s">
        <v>1922</v>
      </c>
    </row>
    <row r="139" spans="1:12">
      <c r="A139" s="1" t="s">
        <v>1982</v>
      </c>
      <c r="C139" s="1" t="s">
        <v>1922</v>
      </c>
      <c r="D139" s="1" t="s">
        <v>1922</v>
      </c>
      <c r="E139" s="1" t="s">
        <v>1922</v>
      </c>
      <c r="F139" s="1" t="s">
        <v>1922</v>
      </c>
      <c r="G139" s="1" t="s">
        <v>1922</v>
      </c>
      <c r="H139" s="1" t="s">
        <v>1922</v>
      </c>
      <c r="I139" s="1" t="s">
        <v>1922</v>
      </c>
      <c r="J139" s="1" t="s">
        <v>1922</v>
      </c>
      <c r="K139" s="1" t="s">
        <v>1922</v>
      </c>
      <c r="L139" s="1" t="s">
        <v>1922</v>
      </c>
    </row>
    <row r="140" spans="1:12">
      <c r="A140" s="1" t="s">
        <v>1893</v>
      </c>
      <c r="C140" s="1" t="s">
        <v>1922</v>
      </c>
      <c r="D140" s="1" t="s">
        <v>1922</v>
      </c>
      <c r="E140" s="1" t="s">
        <v>1922</v>
      </c>
      <c r="F140" s="1" t="s">
        <v>1922</v>
      </c>
      <c r="G140" s="1" t="s">
        <v>1922</v>
      </c>
      <c r="H140" s="1" t="s">
        <v>1922</v>
      </c>
      <c r="I140" s="1" t="s">
        <v>1922</v>
      </c>
      <c r="J140" s="1" t="s">
        <v>1922</v>
      </c>
      <c r="K140" s="1" t="s">
        <v>1922</v>
      </c>
      <c r="L140" s="1" t="s">
        <v>1922</v>
      </c>
    </row>
    <row r="141" spans="1:12">
      <c r="A141" s="1" t="s">
        <v>1893</v>
      </c>
      <c r="C141" s="1" t="s">
        <v>1922</v>
      </c>
      <c r="D141" s="1" t="s">
        <v>1922</v>
      </c>
      <c r="E141" s="1" t="s">
        <v>1922</v>
      </c>
      <c r="F141" s="1" t="s">
        <v>1922</v>
      </c>
      <c r="G141" s="1" t="s">
        <v>1922</v>
      </c>
      <c r="H141" s="1" t="s">
        <v>1922</v>
      </c>
      <c r="I141" s="1" t="s">
        <v>1922</v>
      </c>
      <c r="J141" s="1" t="s">
        <v>1922</v>
      </c>
      <c r="K141" s="1" t="s">
        <v>1922</v>
      </c>
      <c r="L141" s="1" t="s">
        <v>1922</v>
      </c>
    </row>
    <row r="142" spans="1:12">
      <c r="A142" s="1" t="s">
        <v>2073</v>
      </c>
      <c r="C142" s="1" t="s">
        <v>1922</v>
      </c>
      <c r="D142" s="1" t="s">
        <v>1922</v>
      </c>
      <c r="E142" s="1" t="s">
        <v>1922</v>
      </c>
      <c r="F142" s="1" t="s">
        <v>1922</v>
      </c>
      <c r="G142" s="1" t="s">
        <v>1922</v>
      </c>
      <c r="H142" s="1" t="s">
        <v>1922</v>
      </c>
      <c r="I142" s="1" t="s">
        <v>1922</v>
      </c>
      <c r="J142" s="1" t="s">
        <v>1922</v>
      </c>
      <c r="K142" s="1" t="s">
        <v>1922</v>
      </c>
      <c r="L142" s="1" t="s">
        <v>1922</v>
      </c>
    </row>
    <row r="143" spans="1:12">
      <c r="A143" s="1" t="s">
        <v>2073</v>
      </c>
      <c r="D143" s="1" t="s">
        <v>1922</v>
      </c>
      <c r="E143" s="1" t="s">
        <v>1922</v>
      </c>
      <c r="F143" s="1" t="s">
        <v>1922</v>
      </c>
      <c r="G143" s="1" t="s">
        <v>1922</v>
      </c>
      <c r="H143" s="1" t="s">
        <v>1922</v>
      </c>
      <c r="I143" s="1" t="s">
        <v>1922</v>
      </c>
      <c r="J143" s="1" t="s">
        <v>1922</v>
      </c>
      <c r="K143" s="1" t="s">
        <v>1922</v>
      </c>
      <c r="L143" s="1" t="s">
        <v>1922</v>
      </c>
    </row>
    <row r="144" spans="1:12">
      <c r="A144" s="1" t="s">
        <v>100</v>
      </c>
      <c r="C144" s="1" t="s">
        <v>1922</v>
      </c>
      <c r="D144" s="1" t="s">
        <v>1922</v>
      </c>
      <c r="E144" s="1" t="s">
        <v>1922</v>
      </c>
      <c r="F144" s="1" t="s">
        <v>1922</v>
      </c>
      <c r="G144" s="1" t="s">
        <v>1922</v>
      </c>
      <c r="H144" s="1" t="s">
        <v>1922</v>
      </c>
      <c r="I144" s="1" t="s">
        <v>1922</v>
      </c>
      <c r="J144" s="1" t="s">
        <v>1922</v>
      </c>
      <c r="K144" s="1" t="s">
        <v>1922</v>
      </c>
      <c r="L144" s="1" t="s">
        <v>1922</v>
      </c>
    </row>
    <row r="145" spans="1:12">
      <c r="A145" s="1" t="s">
        <v>396</v>
      </c>
      <c r="C145" s="1" t="s">
        <v>1922</v>
      </c>
      <c r="D145" s="1" t="s">
        <v>1922</v>
      </c>
      <c r="E145" s="1" t="s">
        <v>1922</v>
      </c>
      <c r="F145" s="1" t="s">
        <v>1922</v>
      </c>
      <c r="G145" s="1" t="s">
        <v>1922</v>
      </c>
      <c r="H145" s="1" t="s">
        <v>1922</v>
      </c>
      <c r="I145" s="1" t="s">
        <v>1922</v>
      </c>
      <c r="J145" s="1" t="s">
        <v>1922</v>
      </c>
      <c r="K145" s="1" t="s">
        <v>1922</v>
      </c>
      <c r="L145" s="1" t="s">
        <v>1922</v>
      </c>
    </row>
    <row r="146" spans="1:12">
      <c r="A146" s="1" t="s">
        <v>1893</v>
      </c>
      <c r="C146" s="1" t="s">
        <v>1922</v>
      </c>
      <c r="D146" s="1" t="s">
        <v>1922</v>
      </c>
      <c r="E146" s="1" t="s">
        <v>1922</v>
      </c>
      <c r="F146" s="1" t="s">
        <v>1922</v>
      </c>
      <c r="G146" s="1" t="s">
        <v>1922</v>
      </c>
      <c r="H146" s="1" t="s">
        <v>1922</v>
      </c>
      <c r="I146" s="1" t="s">
        <v>1922</v>
      </c>
      <c r="J146" s="1" t="s">
        <v>1922</v>
      </c>
      <c r="K146" s="1" t="s">
        <v>1922</v>
      </c>
      <c r="L146" s="1" t="s">
        <v>1922</v>
      </c>
    </row>
    <row r="147" spans="1:12">
      <c r="A147" s="1" t="s">
        <v>381</v>
      </c>
      <c r="C147" s="1" t="s">
        <v>1922</v>
      </c>
      <c r="D147" s="1" t="s">
        <v>1922</v>
      </c>
      <c r="E147" s="1" t="s">
        <v>1922</v>
      </c>
      <c r="F147" s="1" t="s">
        <v>1922</v>
      </c>
      <c r="G147" s="1" t="s">
        <v>1922</v>
      </c>
      <c r="H147" s="1" t="s">
        <v>1922</v>
      </c>
      <c r="I147" s="1" t="s">
        <v>1922</v>
      </c>
      <c r="J147" s="1" t="s">
        <v>1922</v>
      </c>
      <c r="K147" s="1" t="s">
        <v>1922</v>
      </c>
      <c r="L147" s="1" t="s">
        <v>1922</v>
      </c>
    </row>
    <row r="148" spans="1:12">
      <c r="A148" s="1" t="s">
        <v>381</v>
      </c>
      <c r="C148" s="1" t="s">
        <v>1922</v>
      </c>
      <c r="D148" s="1" t="s">
        <v>1922</v>
      </c>
      <c r="E148" s="1" t="s">
        <v>1922</v>
      </c>
      <c r="F148" s="1" t="s">
        <v>1922</v>
      </c>
      <c r="G148" s="1" t="s">
        <v>1922</v>
      </c>
      <c r="H148" s="1" t="s">
        <v>1922</v>
      </c>
      <c r="I148" s="1" t="s">
        <v>1922</v>
      </c>
      <c r="J148" s="1" t="s">
        <v>1922</v>
      </c>
      <c r="K148" s="1" t="s">
        <v>1922</v>
      </c>
      <c r="L148" s="1" t="s">
        <v>1922</v>
      </c>
    </row>
    <row r="149" spans="1:12">
      <c r="A149" s="1" t="s">
        <v>2193</v>
      </c>
      <c r="C149" s="1" t="s">
        <v>1922</v>
      </c>
      <c r="D149" s="1" t="s">
        <v>1922</v>
      </c>
      <c r="E149" s="1" t="s">
        <v>1922</v>
      </c>
      <c r="F149" s="1" t="s">
        <v>1922</v>
      </c>
      <c r="G149" s="1" t="s">
        <v>1922</v>
      </c>
      <c r="H149" s="1" t="s">
        <v>1922</v>
      </c>
      <c r="I149" s="1" t="s">
        <v>1922</v>
      </c>
      <c r="J149" s="1" t="s">
        <v>1922</v>
      </c>
      <c r="K149" s="1" t="s">
        <v>1922</v>
      </c>
      <c r="L149" s="1" t="s">
        <v>1922</v>
      </c>
    </row>
    <row r="150" spans="1:12">
      <c r="A150" s="1" t="s">
        <v>2396</v>
      </c>
      <c r="C150" s="1" t="s">
        <v>1922</v>
      </c>
      <c r="D150" s="1" t="s">
        <v>1922</v>
      </c>
      <c r="E150" s="1" t="s">
        <v>1922</v>
      </c>
      <c r="F150" s="1" t="s">
        <v>1922</v>
      </c>
      <c r="G150" s="1" t="s">
        <v>1922</v>
      </c>
      <c r="H150" s="1" t="s">
        <v>1922</v>
      </c>
      <c r="I150" s="1" t="s">
        <v>1922</v>
      </c>
      <c r="J150" s="1" t="s">
        <v>1922</v>
      </c>
      <c r="K150" s="1" t="s">
        <v>1922</v>
      </c>
      <c r="L150" s="1" t="s">
        <v>1922</v>
      </c>
    </row>
    <row r="151" spans="1:12">
      <c r="A151" s="1" t="s">
        <v>100</v>
      </c>
      <c r="C151" s="1" t="s">
        <v>1922</v>
      </c>
      <c r="D151" s="1" t="s">
        <v>1922</v>
      </c>
      <c r="E151" s="1" t="s">
        <v>1922</v>
      </c>
      <c r="F151" s="1" t="s">
        <v>1922</v>
      </c>
      <c r="G151" s="1" t="s">
        <v>1922</v>
      </c>
      <c r="H151" s="1" t="s">
        <v>1922</v>
      </c>
      <c r="I151" s="1" t="s">
        <v>1922</v>
      </c>
      <c r="J151" s="1" t="s">
        <v>1922</v>
      </c>
      <c r="K151" s="1" t="s">
        <v>1922</v>
      </c>
      <c r="L151" s="1" t="s">
        <v>1922</v>
      </c>
    </row>
    <row r="152" spans="1:12">
      <c r="A152" s="1" t="s">
        <v>2032</v>
      </c>
      <c r="C152" s="1" t="s">
        <v>1922</v>
      </c>
      <c r="D152" s="1" t="s">
        <v>1922</v>
      </c>
      <c r="E152" s="1" t="s">
        <v>1922</v>
      </c>
      <c r="F152" s="1" t="s">
        <v>1922</v>
      </c>
      <c r="G152" s="1" t="s">
        <v>1922</v>
      </c>
      <c r="H152" s="1" t="s">
        <v>1922</v>
      </c>
      <c r="I152" s="1" t="s">
        <v>1922</v>
      </c>
      <c r="J152" s="1" t="s">
        <v>1922</v>
      </c>
      <c r="K152" s="1" t="s">
        <v>1922</v>
      </c>
      <c r="L152" s="1" t="s">
        <v>1922</v>
      </c>
    </row>
    <row r="153" spans="1:12">
      <c r="A153" s="1" t="s">
        <v>1893</v>
      </c>
      <c r="C153" s="1" t="s">
        <v>1922</v>
      </c>
      <c r="D153" s="1" t="s">
        <v>1922</v>
      </c>
      <c r="E153" s="1" t="s">
        <v>1922</v>
      </c>
      <c r="F153" s="1" t="s">
        <v>1922</v>
      </c>
      <c r="G153" s="1" t="s">
        <v>1922</v>
      </c>
      <c r="H153" s="1" t="s">
        <v>1922</v>
      </c>
      <c r="I153" s="1" t="s">
        <v>1922</v>
      </c>
      <c r="J153" s="1" t="s">
        <v>1922</v>
      </c>
      <c r="K153" s="1" t="s">
        <v>1922</v>
      </c>
      <c r="L153" s="1" t="s">
        <v>1922</v>
      </c>
    </row>
    <row r="154" spans="1:12">
      <c r="A154" s="1" t="s">
        <v>1982</v>
      </c>
      <c r="C154" s="1" t="s">
        <v>1922</v>
      </c>
      <c r="D154" s="1" t="s">
        <v>1922</v>
      </c>
      <c r="E154" s="1" t="s">
        <v>1922</v>
      </c>
      <c r="F154" s="1" t="s">
        <v>1922</v>
      </c>
      <c r="G154" s="1" t="s">
        <v>1922</v>
      </c>
      <c r="H154" s="1" t="s">
        <v>1922</v>
      </c>
      <c r="I154" s="1" t="s">
        <v>1922</v>
      </c>
      <c r="J154" s="1" t="s">
        <v>1922</v>
      </c>
      <c r="K154" s="1" t="s">
        <v>1922</v>
      </c>
      <c r="L154" s="1" t="s">
        <v>1922</v>
      </c>
    </row>
    <row r="155" spans="1:12">
      <c r="A155" s="1" t="s">
        <v>1893</v>
      </c>
      <c r="C155" s="1" t="s">
        <v>1922</v>
      </c>
      <c r="D155" s="1" t="s">
        <v>1922</v>
      </c>
      <c r="E155" s="1" t="s">
        <v>1922</v>
      </c>
      <c r="F155" s="1" t="s">
        <v>1922</v>
      </c>
      <c r="G155" s="1" t="s">
        <v>1922</v>
      </c>
      <c r="H155" s="1" t="s">
        <v>1922</v>
      </c>
      <c r="I155" s="1" t="s">
        <v>1922</v>
      </c>
      <c r="J155" s="1" t="s">
        <v>1922</v>
      </c>
      <c r="K155" s="1" t="s">
        <v>1922</v>
      </c>
      <c r="L155" s="1" t="s">
        <v>1922</v>
      </c>
    </row>
    <row r="156" spans="1:12">
      <c r="A156" s="1" t="s">
        <v>2252</v>
      </c>
      <c r="C156" s="1" t="s">
        <v>1922</v>
      </c>
      <c r="D156" s="1" t="s">
        <v>1922</v>
      </c>
      <c r="E156" s="1" t="s">
        <v>1922</v>
      </c>
      <c r="F156" s="1" t="s">
        <v>1922</v>
      </c>
      <c r="G156" s="1" t="s">
        <v>1922</v>
      </c>
      <c r="H156" s="1" t="s">
        <v>1922</v>
      </c>
      <c r="I156" s="1" t="s">
        <v>1922</v>
      </c>
      <c r="J156" s="1" t="s">
        <v>1922</v>
      </c>
      <c r="K156" s="1" t="s">
        <v>1922</v>
      </c>
      <c r="L156" s="1" t="s">
        <v>1922</v>
      </c>
    </row>
    <row r="157" spans="1:12">
      <c r="A157" s="1" t="s">
        <v>2252</v>
      </c>
      <c r="C157" s="1" t="s">
        <v>1922</v>
      </c>
      <c r="D157" s="1" t="s">
        <v>1922</v>
      </c>
      <c r="E157" s="1" t="s">
        <v>1922</v>
      </c>
      <c r="F157" s="1" t="s">
        <v>1922</v>
      </c>
      <c r="G157" s="1" t="s">
        <v>1922</v>
      </c>
      <c r="H157" s="1" t="s">
        <v>1922</v>
      </c>
      <c r="I157" s="1" t="s">
        <v>1922</v>
      </c>
      <c r="J157" s="1" t="s">
        <v>1922</v>
      </c>
      <c r="K157" s="1" t="s">
        <v>1922</v>
      </c>
      <c r="L157" s="1" t="s">
        <v>1922</v>
      </c>
    </row>
    <row r="158" spans="1:12">
      <c r="A158" s="1" t="s">
        <v>407</v>
      </c>
      <c r="C158" s="1" t="s">
        <v>1922</v>
      </c>
      <c r="D158" s="1" t="s">
        <v>1922</v>
      </c>
      <c r="E158" s="1" t="s">
        <v>1922</v>
      </c>
      <c r="F158" s="1" t="s">
        <v>1922</v>
      </c>
      <c r="G158" s="1" t="s">
        <v>1922</v>
      </c>
      <c r="H158" s="1" t="s">
        <v>1922</v>
      </c>
      <c r="I158" s="1" t="s">
        <v>1922</v>
      </c>
      <c r="J158" s="1" t="s">
        <v>1922</v>
      </c>
      <c r="K158" s="1" t="s">
        <v>1922</v>
      </c>
      <c r="L158" s="1" t="s">
        <v>1922</v>
      </c>
    </row>
    <row r="159" spans="1:12">
      <c r="A159" s="1" t="s">
        <v>2073</v>
      </c>
      <c r="C159" s="1" t="s">
        <v>1922</v>
      </c>
      <c r="D159" s="1" t="s">
        <v>1922</v>
      </c>
      <c r="E159" s="1" t="s">
        <v>1922</v>
      </c>
      <c r="F159" s="1" t="s">
        <v>1922</v>
      </c>
      <c r="G159" s="1" t="s">
        <v>1922</v>
      </c>
      <c r="H159" s="1" t="s">
        <v>1922</v>
      </c>
      <c r="I159" s="1" t="s">
        <v>1922</v>
      </c>
      <c r="J159" s="1" t="s">
        <v>1922</v>
      </c>
      <c r="K159" s="1" t="s">
        <v>1922</v>
      </c>
      <c r="L159" s="1" t="s">
        <v>1922</v>
      </c>
    </row>
    <row r="160" spans="1:12">
      <c r="A160" s="1" t="s">
        <v>1970</v>
      </c>
      <c r="C160" s="1" t="s">
        <v>1922</v>
      </c>
      <c r="D160" s="1" t="s">
        <v>1922</v>
      </c>
      <c r="E160" s="1" t="s">
        <v>1922</v>
      </c>
      <c r="F160" s="1" t="s">
        <v>1922</v>
      </c>
      <c r="G160" s="1" t="s">
        <v>1922</v>
      </c>
      <c r="H160" s="1" t="s">
        <v>1922</v>
      </c>
      <c r="I160" s="1" t="s">
        <v>1922</v>
      </c>
      <c r="J160" s="1" t="s">
        <v>1922</v>
      </c>
      <c r="K160" s="1" t="s">
        <v>1922</v>
      </c>
      <c r="L160" s="1" t="s">
        <v>1922</v>
      </c>
    </row>
    <row r="161" spans="1:12">
      <c r="A161" s="1" t="s">
        <v>409</v>
      </c>
      <c r="C161" s="1" t="s">
        <v>1922</v>
      </c>
      <c r="D161" s="1" t="s">
        <v>1922</v>
      </c>
      <c r="E161" s="1" t="s">
        <v>1922</v>
      </c>
      <c r="F161" s="1" t="s">
        <v>1922</v>
      </c>
      <c r="G161" s="1" t="s">
        <v>1922</v>
      </c>
      <c r="H161" s="1" t="s">
        <v>1922</v>
      </c>
      <c r="I161" s="1" t="s">
        <v>1922</v>
      </c>
      <c r="J161" s="1" t="s">
        <v>1922</v>
      </c>
      <c r="K161" s="1" t="s">
        <v>1922</v>
      </c>
      <c r="L161" s="1" t="s">
        <v>1922</v>
      </c>
    </row>
    <row r="162" spans="1:12">
      <c r="A162" s="1" t="s">
        <v>1970</v>
      </c>
      <c r="C162" s="1" t="s">
        <v>1922</v>
      </c>
      <c r="D162" s="1" t="s">
        <v>1922</v>
      </c>
      <c r="E162" s="1" t="s">
        <v>1922</v>
      </c>
      <c r="F162" s="1" t="s">
        <v>1922</v>
      </c>
      <c r="G162" s="1" t="s">
        <v>1922</v>
      </c>
      <c r="H162" s="1" t="s">
        <v>1922</v>
      </c>
      <c r="I162" s="1" t="s">
        <v>1922</v>
      </c>
      <c r="J162" s="1" t="s">
        <v>1922</v>
      </c>
      <c r="K162" s="1" t="s">
        <v>1922</v>
      </c>
      <c r="L162" s="1" t="s">
        <v>1922</v>
      </c>
    </row>
    <row r="163" spans="1:12">
      <c r="A163" s="1" t="s">
        <v>402</v>
      </c>
      <c r="C163" s="1" t="s">
        <v>1922</v>
      </c>
      <c r="D163" s="1" t="s">
        <v>1922</v>
      </c>
      <c r="E163" s="1" t="s">
        <v>1922</v>
      </c>
      <c r="F163" s="1" t="s">
        <v>1922</v>
      </c>
      <c r="G163" s="1" t="s">
        <v>1922</v>
      </c>
      <c r="H163" s="1" t="s">
        <v>1922</v>
      </c>
      <c r="I163" s="1" t="s">
        <v>1922</v>
      </c>
      <c r="J163" s="1" t="s">
        <v>1922</v>
      </c>
      <c r="K163" s="1" t="s">
        <v>1922</v>
      </c>
      <c r="L163" s="1" t="s">
        <v>1922</v>
      </c>
    </row>
    <row r="164" spans="1:12">
      <c r="A164" s="1" t="s">
        <v>409</v>
      </c>
      <c r="C164" s="1" t="s">
        <v>1922</v>
      </c>
      <c r="D164" s="1" t="s">
        <v>1922</v>
      </c>
      <c r="E164" s="1" t="s">
        <v>1922</v>
      </c>
      <c r="F164" s="1" t="s">
        <v>1922</v>
      </c>
      <c r="G164" s="1" t="s">
        <v>1922</v>
      </c>
      <c r="H164" s="1" t="s">
        <v>1922</v>
      </c>
      <c r="I164" s="1" t="s">
        <v>1922</v>
      </c>
      <c r="J164" s="1" t="s">
        <v>1922</v>
      </c>
      <c r="K164" s="1" t="s">
        <v>1922</v>
      </c>
      <c r="L164" s="1" t="s">
        <v>1922</v>
      </c>
    </row>
    <row r="165" spans="1:12">
      <c r="A165" s="1" t="s">
        <v>409</v>
      </c>
      <c r="C165" s="1" t="s">
        <v>1922</v>
      </c>
      <c r="D165" s="1" t="s">
        <v>1922</v>
      </c>
      <c r="E165" s="1" t="s">
        <v>1922</v>
      </c>
      <c r="F165" s="1" t="s">
        <v>1922</v>
      </c>
      <c r="G165" s="1" t="s">
        <v>1922</v>
      </c>
      <c r="H165" s="1" t="s">
        <v>1922</v>
      </c>
      <c r="I165" s="1" t="s">
        <v>1922</v>
      </c>
      <c r="J165" s="1" t="s">
        <v>1922</v>
      </c>
      <c r="K165" s="1" t="s">
        <v>1922</v>
      </c>
      <c r="L165" s="1" t="s">
        <v>1922</v>
      </c>
    </row>
    <row r="166" spans="1:12">
      <c r="A166" s="1" t="s">
        <v>409</v>
      </c>
      <c r="C166" s="1" t="s">
        <v>1922</v>
      </c>
      <c r="D166" s="1" t="s">
        <v>1922</v>
      </c>
      <c r="E166" s="1" t="s">
        <v>1922</v>
      </c>
      <c r="F166" s="1" t="s">
        <v>1922</v>
      </c>
      <c r="G166" s="1" t="s">
        <v>1922</v>
      </c>
      <c r="H166" s="1" t="s">
        <v>1922</v>
      </c>
      <c r="I166" s="1" t="s">
        <v>1922</v>
      </c>
      <c r="J166" s="1" t="s">
        <v>1922</v>
      </c>
      <c r="K166" s="1" t="s">
        <v>1922</v>
      </c>
      <c r="L166" s="1" t="s">
        <v>1922</v>
      </c>
    </row>
    <row r="167" spans="1:12">
      <c r="A167" s="1" t="s">
        <v>388</v>
      </c>
      <c r="C167" s="1" t="s">
        <v>1922</v>
      </c>
      <c r="D167" s="1" t="s">
        <v>1922</v>
      </c>
      <c r="E167" s="1" t="s">
        <v>1922</v>
      </c>
      <c r="F167" s="1" t="s">
        <v>1922</v>
      </c>
      <c r="G167" s="1" t="s">
        <v>1922</v>
      </c>
      <c r="H167" s="1" t="s">
        <v>1922</v>
      </c>
      <c r="I167" s="1" t="s">
        <v>1922</v>
      </c>
      <c r="J167" s="1" t="s">
        <v>1922</v>
      </c>
      <c r="K167" s="1" t="s">
        <v>1922</v>
      </c>
      <c r="L167" s="1" t="s">
        <v>1922</v>
      </c>
    </row>
    <row r="168" spans="1:12">
      <c r="A168" s="1" t="s">
        <v>409</v>
      </c>
      <c r="C168" s="1" t="s">
        <v>1922</v>
      </c>
      <c r="D168" s="1" t="s">
        <v>1922</v>
      </c>
      <c r="E168" s="1" t="s">
        <v>1922</v>
      </c>
      <c r="F168" s="1" t="s">
        <v>1922</v>
      </c>
      <c r="G168" s="1" t="s">
        <v>1922</v>
      </c>
      <c r="H168" s="1" t="s">
        <v>1922</v>
      </c>
      <c r="I168" s="1" t="s">
        <v>1922</v>
      </c>
      <c r="J168" s="1" t="s">
        <v>1922</v>
      </c>
      <c r="K168" s="1" t="s">
        <v>1922</v>
      </c>
      <c r="L168" s="1" t="s">
        <v>1922</v>
      </c>
    </row>
    <row r="169" spans="1:12">
      <c r="A169" s="1" t="s">
        <v>409</v>
      </c>
      <c r="C169" s="1" t="s">
        <v>1922</v>
      </c>
      <c r="D169" s="1" t="s">
        <v>1922</v>
      </c>
      <c r="E169" s="1" t="s">
        <v>1922</v>
      </c>
      <c r="F169" s="1" t="s">
        <v>1922</v>
      </c>
      <c r="G169" s="1" t="s">
        <v>1922</v>
      </c>
      <c r="H169" s="1" t="s">
        <v>1922</v>
      </c>
      <c r="I169" s="1" t="s">
        <v>1922</v>
      </c>
      <c r="J169" s="1" t="s">
        <v>1922</v>
      </c>
      <c r="K169" s="1" t="s">
        <v>1922</v>
      </c>
      <c r="L169" s="1" t="s">
        <v>1922</v>
      </c>
    </row>
    <row r="170" spans="1:12">
      <c r="A170" s="1" t="s">
        <v>409</v>
      </c>
      <c r="C170" s="1" t="s">
        <v>1922</v>
      </c>
      <c r="D170" s="1" t="s">
        <v>1922</v>
      </c>
      <c r="E170" s="1" t="s">
        <v>1922</v>
      </c>
      <c r="F170" s="1" t="s">
        <v>1922</v>
      </c>
      <c r="G170" s="1" t="s">
        <v>1922</v>
      </c>
      <c r="H170" s="1" t="s">
        <v>1922</v>
      </c>
      <c r="I170" s="1" t="s">
        <v>1922</v>
      </c>
      <c r="J170" s="1" t="s">
        <v>1922</v>
      </c>
      <c r="K170" s="1" t="s">
        <v>1922</v>
      </c>
      <c r="L170" s="1" t="s">
        <v>1922</v>
      </c>
    </row>
    <row r="171" spans="1:12">
      <c r="A171" s="1" t="s">
        <v>390</v>
      </c>
      <c r="C171" s="1" t="s">
        <v>1922</v>
      </c>
      <c r="D171" s="1" t="s">
        <v>1922</v>
      </c>
      <c r="E171" s="1" t="s">
        <v>1922</v>
      </c>
      <c r="F171" s="1" t="s">
        <v>1922</v>
      </c>
      <c r="G171" s="1" t="s">
        <v>1922</v>
      </c>
      <c r="H171" s="1" t="s">
        <v>1922</v>
      </c>
      <c r="I171" s="1" t="s">
        <v>1922</v>
      </c>
      <c r="J171" s="1" t="s">
        <v>1922</v>
      </c>
      <c r="K171" s="1" t="s">
        <v>1922</v>
      </c>
      <c r="L171" s="1" t="s">
        <v>1922</v>
      </c>
    </row>
    <row r="172" spans="1:12">
      <c r="A172" s="1" t="s">
        <v>390</v>
      </c>
      <c r="C172" s="1" t="s">
        <v>1922</v>
      </c>
      <c r="D172" s="1" t="s">
        <v>1922</v>
      </c>
      <c r="E172" s="1" t="s">
        <v>1922</v>
      </c>
      <c r="F172" s="1" t="s">
        <v>1922</v>
      </c>
      <c r="G172" s="1" t="s">
        <v>1922</v>
      </c>
      <c r="H172" s="1" t="s">
        <v>1922</v>
      </c>
      <c r="I172" s="1" t="s">
        <v>1922</v>
      </c>
      <c r="J172" s="1" t="s">
        <v>1922</v>
      </c>
      <c r="K172" s="1" t="s">
        <v>1922</v>
      </c>
      <c r="L172" s="1" t="s">
        <v>1922</v>
      </c>
    </row>
    <row r="173" spans="1:12">
      <c r="A173" s="1" t="s">
        <v>49</v>
      </c>
      <c r="C173" s="1" t="s">
        <v>1922</v>
      </c>
      <c r="D173" s="1" t="s">
        <v>1922</v>
      </c>
      <c r="E173" s="1" t="s">
        <v>1922</v>
      </c>
      <c r="F173" s="1" t="s">
        <v>1922</v>
      </c>
      <c r="G173" s="1" t="s">
        <v>1922</v>
      </c>
      <c r="H173" s="1" t="s">
        <v>1922</v>
      </c>
      <c r="I173" s="1" t="s">
        <v>1922</v>
      </c>
      <c r="J173" s="1" t="s">
        <v>1922</v>
      </c>
      <c r="K173" s="1" t="s">
        <v>1922</v>
      </c>
      <c r="L173" s="1" t="s">
        <v>1922</v>
      </c>
    </row>
    <row r="174" spans="1:12">
      <c r="A174" s="1" t="s">
        <v>390</v>
      </c>
      <c r="C174" s="1" t="s">
        <v>1922</v>
      </c>
      <c r="D174" s="1" t="s">
        <v>1922</v>
      </c>
      <c r="E174" s="1" t="s">
        <v>1922</v>
      </c>
      <c r="F174" s="1" t="s">
        <v>1922</v>
      </c>
      <c r="G174" s="1" t="s">
        <v>1922</v>
      </c>
      <c r="H174" s="1" t="s">
        <v>1922</v>
      </c>
      <c r="I174" s="1" t="s">
        <v>1922</v>
      </c>
      <c r="J174" s="1" t="s">
        <v>1922</v>
      </c>
      <c r="K174" s="1" t="s">
        <v>1922</v>
      </c>
      <c r="L174" s="1" t="s">
        <v>1922</v>
      </c>
    </row>
    <row r="175" spans="1:12">
      <c r="A175" s="1" t="s">
        <v>2073</v>
      </c>
      <c r="C175" s="1" t="s">
        <v>1922</v>
      </c>
      <c r="D175" s="1" t="s">
        <v>1922</v>
      </c>
      <c r="E175" s="1" t="s">
        <v>1922</v>
      </c>
      <c r="F175" s="1" t="s">
        <v>1922</v>
      </c>
      <c r="G175" s="1" t="s">
        <v>1922</v>
      </c>
      <c r="H175" s="1" t="s">
        <v>1922</v>
      </c>
      <c r="I175" s="1" t="s">
        <v>1922</v>
      </c>
      <c r="J175" s="1" t="s">
        <v>1922</v>
      </c>
      <c r="K175" s="1" t="s">
        <v>1922</v>
      </c>
      <c r="L175" s="1" t="s">
        <v>1922</v>
      </c>
    </row>
    <row r="176" spans="1:12">
      <c r="A176" s="1" t="s">
        <v>396</v>
      </c>
      <c r="C176" s="1" t="s">
        <v>1922</v>
      </c>
      <c r="D176" s="1" t="s">
        <v>1922</v>
      </c>
      <c r="E176" s="1" t="s">
        <v>1922</v>
      </c>
      <c r="F176" s="1" t="s">
        <v>1922</v>
      </c>
      <c r="G176" s="1" t="s">
        <v>1922</v>
      </c>
      <c r="H176" s="1" t="s">
        <v>1922</v>
      </c>
      <c r="I176" s="1" t="s">
        <v>1922</v>
      </c>
      <c r="J176" s="1" t="s">
        <v>1922</v>
      </c>
      <c r="K176" s="1" t="s">
        <v>1922</v>
      </c>
      <c r="L176" s="1" t="s">
        <v>1922</v>
      </c>
    </row>
    <row r="177" spans="1:12">
      <c r="A177" s="1" t="s">
        <v>1951</v>
      </c>
      <c r="C177" s="1" t="s">
        <v>1922</v>
      </c>
      <c r="D177" s="1" t="s">
        <v>1922</v>
      </c>
      <c r="E177" s="1" t="s">
        <v>1922</v>
      </c>
      <c r="F177" s="1" t="s">
        <v>1922</v>
      </c>
      <c r="G177" s="1" t="s">
        <v>1922</v>
      </c>
      <c r="H177" s="1" t="s">
        <v>1922</v>
      </c>
      <c r="I177" s="1" t="s">
        <v>1922</v>
      </c>
      <c r="J177" s="1" t="s">
        <v>1922</v>
      </c>
      <c r="K177" s="1" t="s">
        <v>1922</v>
      </c>
      <c r="L177" s="1" t="s">
        <v>1922</v>
      </c>
    </row>
    <row r="178" spans="1:12">
      <c r="A178" s="1" t="s">
        <v>1951</v>
      </c>
      <c r="D178" s="1" t="s">
        <v>1922</v>
      </c>
      <c r="E178" s="1" t="s">
        <v>1922</v>
      </c>
      <c r="F178" s="1" t="s">
        <v>1922</v>
      </c>
      <c r="G178" s="1" t="s">
        <v>1922</v>
      </c>
      <c r="H178" s="1" t="s">
        <v>1922</v>
      </c>
      <c r="I178" s="1" t="s">
        <v>1922</v>
      </c>
      <c r="J178" s="1" t="s">
        <v>1922</v>
      </c>
      <c r="K178" s="1" t="s">
        <v>1922</v>
      </c>
      <c r="L178" s="1" t="s">
        <v>1922</v>
      </c>
    </row>
    <row r="179" spans="1:12">
      <c r="A179" s="1" t="s">
        <v>399</v>
      </c>
      <c r="C179" s="1" t="s">
        <v>1922</v>
      </c>
      <c r="D179" s="1" t="s">
        <v>1922</v>
      </c>
      <c r="E179" s="1" t="s">
        <v>1922</v>
      </c>
      <c r="F179" s="1" t="s">
        <v>1922</v>
      </c>
      <c r="G179" s="1" t="s">
        <v>1922</v>
      </c>
      <c r="H179" s="1" t="s">
        <v>1922</v>
      </c>
      <c r="I179" s="1" t="s">
        <v>1922</v>
      </c>
      <c r="J179" s="1" t="s">
        <v>1922</v>
      </c>
      <c r="K179" s="1" t="s">
        <v>1922</v>
      </c>
      <c r="L179" s="1" t="s">
        <v>1922</v>
      </c>
    </row>
    <row r="180" spans="1:12">
      <c r="A180" s="1" t="s">
        <v>2396</v>
      </c>
      <c r="C180" s="1" t="s">
        <v>1922</v>
      </c>
      <c r="D180" s="1" t="s">
        <v>1922</v>
      </c>
      <c r="E180" s="1" t="s">
        <v>1922</v>
      </c>
      <c r="F180" s="1" t="s">
        <v>1922</v>
      </c>
      <c r="G180" s="1" t="s">
        <v>1922</v>
      </c>
      <c r="H180" s="1" t="s">
        <v>1922</v>
      </c>
      <c r="I180" s="1" t="s">
        <v>1922</v>
      </c>
      <c r="J180" s="1" t="s">
        <v>1922</v>
      </c>
      <c r="K180" s="1" t="s">
        <v>1922</v>
      </c>
      <c r="L180" s="1" t="s">
        <v>1922</v>
      </c>
    </row>
    <row r="181" spans="1:12">
      <c r="A181" s="1" t="s">
        <v>2396</v>
      </c>
      <c r="C181" s="1" t="s">
        <v>1922</v>
      </c>
      <c r="D181" s="1" t="s">
        <v>1922</v>
      </c>
      <c r="E181" s="1" t="s">
        <v>1922</v>
      </c>
      <c r="F181" s="1" t="s">
        <v>1922</v>
      </c>
      <c r="G181" s="1" t="s">
        <v>1922</v>
      </c>
      <c r="H181" s="1" t="s">
        <v>1922</v>
      </c>
      <c r="I181" s="1" t="s">
        <v>1922</v>
      </c>
      <c r="J181" s="1" t="s">
        <v>1922</v>
      </c>
      <c r="K181" s="1" t="s">
        <v>1922</v>
      </c>
      <c r="L181" s="1" t="s">
        <v>1922</v>
      </c>
    </row>
    <row r="182" spans="1:12">
      <c r="A182" s="1" t="s">
        <v>96</v>
      </c>
      <c r="C182" s="1" t="s">
        <v>1922</v>
      </c>
      <c r="D182" s="1" t="s">
        <v>1922</v>
      </c>
      <c r="E182" s="1" t="s">
        <v>1922</v>
      </c>
      <c r="F182" s="1" t="s">
        <v>1922</v>
      </c>
      <c r="G182" s="1" t="s">
        <v>1922</v>
      </c>
      <c r="H182" s="1" t="s">
        <v>1922</v>
      </c>
      <c r="I182" s="1" t="s">
        <v>1922</v>
      </c>
      <c r="J182" s="1" t="s">
        <v>1922</v>
      </c>
      <c r="K182" s="1" t="s">
        <v>1922</v>
      </c>
      <c r="L182" s="1" t="s">
        <v>1922</v>
      </c>
    </row>
    <row r="183" spans="1:12">
      <c r="A183" s="1" t="s">
        <v>664</v>
      </c>
      <c r="C183" s="1" t="s">
        <v>1922</v>
      </c>
      <c r="D183" s="1" t="s">
        <v>1922</v>
      </c>
      <c r="E183" s="1" t="s">
        <v>1922</v>
      </c>
      <c r="F183" s="1" t="s">
        <v>1922</v>
      </c>
      <c r="G183" s="1" t="s">
        <v>1922</v>
      </c>
      <c r="H183" s="1" t="s">
        <v>1922</v>
      </c>
      <c r="I183" s="1" t="s">
        <v>1922</v>
      </c>
      <c r="J183" s="1" t="s">
        <v>1922</v>
      </c>
      <c r="K183" s="1" t="s">
        <v>1922</v>
      </c>
      <c r="L183" s="1" t="s">
        <v>1922</v>
      </c>
    </row>
    <row r="184" spans="1:12">
      <c r="A184" s="1" t="s">
        <v>96</v>
      </c>
      <c r="C184" s="1" t="s">
        <v>1922</v>
      </c>
      <c r="D184" s="1" t="s">
        <v>1922</v>
      </c>
      <c r="E184" s="1" t="s">
        <v>1922</v>
      </c>
      <c r="F184" s="1" t="s">
        <v>1922</v>
      </c>
      <c r="G184" s="1" t="s">
        <v>1922</v>
      </c>
      <c r="H184" s="1" t="s">
        <v>1922</v>
      </c>
      <c r="I184" s="1" t="s">
        <v>1922</v>
      </c>
      <c r="J184" s="1" t="s">
        <v>1922</v>
      </c>
      <c r="K184" s="1" t="s">
        <v>1922</v>
      </c>
      <c r="L184" s="1" t="s">
        <v>1922</v>
      </c>
    </row>
    <row r="185" spans="1:12">
      <c r="A185" s="1" t="s">
        <v>2073</v>
      </c>
    </row>
    <row r="186" spans="1:12">
      <c r="A186" s="1" t="s">
        <v>381</v>
      </c>
      <c r="C186" s="1" t="s">
        <v>1922</v>
      </c>
      <c r="D186" s="1" t="s">
        <v>1922</v>
      </c>
      <c r="E186" s="1" t="s">
        <v>1922</v>
      </c>
      <c r="F186" s="1" t="s">
        <v>1922</v>
      </c>
      <c r="G186" s="1" t="s">
        <v>1922</v>
      </c>
      <c r="H186" s="1" t="s">
        <v>1922</v>
      </c>
      <c r="I186" s="1" t="s">
        <v>1922</v>
      </c>
      <c r="J186" s="1" t="s">
        <v>1922</v>
      </c>
      <c r="K186" s="1" t="s">
        <v>1922</v>
      </c>
      <c r="L186" s="1" t="s">
        <v>1922</v>
      </c>
    </row>
    <row r="187" spans="1:12">
      <c r="A187" s="1" t="s">
        <v>409</v>
      </c>
      <c r="C187" s="1" t="s">
        <v>1922</v>
      </c>
      <c r="D187" s="1" t="s">
        <v>1922</v>
      </c>
      <c r="E187" s="1" t="s">
        <v>1922</v>
      </c>
      <c r="F187" s="1" t="s">
        <v>1922</v>
      </c>
      <c r="G187" s="1" t="s">
        <v>1922</v>
      </c>
      <c r="H187" s="1" t="s">
        <v>1922</v>
      </c>
      <c r="I187" s="1" t="s">
        <v>1922</v>
      </c>
      <c r="J187" s="1" t="s">
        <v>1922</v>
      </c>
      <c r="K187" s="1" t="s">
        <v>1922</v>
      </c>
      <c r="L187" s="1" t="s">
        <v>1922</v>
      </c>
    </row>
    <row r="188" spans="1:12">
      <c r="A188" s="1" t="s">
        <v>100</v>
      </c>
      <c r="C188" s="1" t="s">
        <v>1922</v>
      </c>
      <c r="D188" s="1" t="s">
        <v>1922</v>
      </c>
      <c r="E188" s="1" t="s">
        <v>1922</v>
      </c>
      <c r="F188" s="1" t="s">
        <v>1922</v>
      </c>
      <c r="G188" s="1" t="s">
        <v>1922</v>
      </c>
      <c r="H188" s="1" t="s">
        <v>1922</v>
      </c>
      <c r="I188" s="1" t="s">
        <v>1922</v>
      </c>
      <c r="J188" s="1" t="s">
        <v>1922</v>
      </c>
      <c r="K188" s="1" t="s">
        <v>1922</v>
      </c>
      <c r="L188" s="1" t="s">
        <v>1922</v>
      </c>
    </row>
    <row r="189" spans="1:12">
      <c r="A189" s="1" t="s">
        <v>100</v>
      </c>
      <c r="C189" s="1" t="s">
        <v>1922</v>
      </c>
      <c r="D189" s="1" t="s">
        <v>1922</v>
      </c>
      <c r="E189" s="1" t="s">
        <v>1922</v>
      </c>
      <c r="F189" s="1" t="s">
        <v>1922</v>
      </c>
      <c r="G189" s="1" t="s">
        <v>1922</v>
      </c>
      <c r="H189" s="1" t="s">
        <v>1922</v>
      </c>
      <c r="I189" s="1" t="s">
        <v>1922</v>
      </c>
      <c r="J189" s="1" t="s">
        <v>1922</v>
      </c>
      <c r="K189" s="1" t="s">
        <v>1922</v>
      </c>
      <c r="L189" s="1" t="s">
        <v>1922</v>
      </c>
    </row>
    <row r="190" spans="1:12">
      <c r="A190" s="1" t="s">
        <v>381</v>
      </c>
      <c r="C190" s="1" t="s">
        <v>1922</v>
      </c>
      <c r="D190" s="1" t="s">
        <v>1922</v>
      </c>
      <c r="E190" s="1" t="s">
        <v>1922</v>
      </c>
      <c r="F190" s="1" t="s">
        <v>1922</v>
      </c>
      <c r="G190" s="1" t="s">
        <v>1922</v>
      </c>
      <c r="H190" s="1" t="s">
        <v>1922</v>
      </c>
      <c r="I190" s="1" t="s">
        <v>1922</v>
      </c>
      <c r="J190" s="1" t="s">
        <v>1922</v>
      </c>
      <c r="K190" s="1" t="s">
        <v>1922</v>
      </c>
      <c r="L190" s="1" t="s">
        <v>1922</v>
      </c>
    </row>
    <row r="191" spans="1:12">
      <c r="A191" s="1" t="s">
        <v>2073</v>
      </c>
      <c r="C191" s="1" t="s">
        <v>1922</v>
      </c>
      <c r="D191" s="1" t="s">
        <v>1922</v>
      </c>
      <c r="E191" s="1" t="s">
        <v>1922</v>
      </c>
      <c r="F191" s="1" t="s">
        <v>1922</v>
      </c>
      <c r="G191" s="1" t="s">
        <v>1922</v>
      </c>
      <c r="H191" s="1" t="s">
        <v>1922</v>
      </c>
      <c r="I191" s="1" t="s">
        <v>1922</v>
      </c>
      <c r="J191" s="1" t="s">
        <v>1922</v>
      </c>
      <c r="K191" s="1" t="s">
        <v>1922</v>
      </c>
      <c r="L191" s="1" t="s">
        <v>1922</v>
      </c>
    </row>
    <row r="192" spans="1:12">
      <c r="A192" s="1" t="s">
        <v>1970</v>
      </c>
      <c r="C192" s="1" t="s">
        <v>1922</v>
      </c>
      <c r="D192" s="1" t="s">
        <v>1922</v>
      </c>
      <c r="E192" s="1" t="s">
        <v>1922</v>
      </c>
      <c r="F192" s="1" t="s">
        <v>1922</v>
      </c>
      <c r="G192" s="1" t="s">
        <v>1922</v>
      </c>
      <c r="H192" s="1" t="s">
        <v>1922</v>
      </c>
      <c r="I192" s="1" t="s">
        <v>1922</v>
      </c>
      <c r="J192" s="1" t="s">
        <v>1922</v>
      </c>
      <c r="K192" s="1" t="s">
        <v>1922</v>
      </c>
      <c r="L192" s="1" t="s">
        <v>1922</v>
      </c>
    </row>
    <row r="193" spans="1:12">
      <c r="A193" s="1" t="s">
        <v>407</v>
      </c>
      <c r="C193" s="1" t="s">
        <v>1922</v>
      </c>
      <c r="D193" s="1" t="s">
        <v>1922</v>
      </c>
      <c r="E193" s="1" t="s">
        <v>1922</v>
      </c>
      <c r="F193" s="1" t="s">
        <v>1922</v>
      </c>
      <c r="G193" s="1" t="s">
        <v>1922</v>
      </c>
      <c r="H193" s="1" t="s">
        <v>1922</v>
      </c>
      <c r="I193" s="1" t="s">
        <v>1922</v>
      </c>
      <c r="J193" s="1" t="s">
        <v>1922</v>
      </c>
      <c r="K193" s="1" t="s">
        <v>1922</v>
      </c>
      <c r="L193" s="1" t="s">
        <v>1922</v>
      </c>
    </row>
    <row r="194" spans="1:12">
      <c r="A194" s="1" t="s">
        <v>388</v>
      </c>
      <c r="C194" s="1" t="s">
        <v>1922</v>
      </c>
      <c r="D194" s="1" t="s">
        <v>1922</v>
      </c>
      <c r="E194" s="1" t="s">
        <v>1922</v>
      </c>
      <c r="F194" s="1" t="s">
        <v>1922</v>
      </c>
      <c r="G194" s="1" t="s">
        <v>1922</v>
      </c>
      <c r="H194" s="1" t="s">
        <v>1922</v>
      </c>
      <c r="I194" s="1" t="s">
        <v>1922</v>
      </c>
      <c r="J194" s="1" t="s">
        <v>1922</v>
      </c>
      <c r="K194" s="1" t="s">
        <v>1922</v>
      </c>
      <c r="L194" s="1" t="s">
        <v>1922</v>
      </c>
    </row>
    <row r="195" spans="1:12">
      <c r="A195" s="1" t="s">
        <v>1930</v>
      </c>
      <c r="C195" s="1" t="s">
        <v>1922</v>
      </c>
      <c r="D195" s="1" t="s">
        <v>1922</v>
      </c>
      <c r="E195" s="1" t="s">
        <v>1922</v>
      </c>
      <c r="F195" s="1" t="s">
        <v>1922</v>
      </c>
      <c r="G195" s="1" t="s">
        <v>1922</v>
      </c>
      <c r="H195" s="1" t="s">
        <v>1922</v>
      </c>
      <c r="I195" s="1" t="s">
        <v>1922</v>
      </c>
      <c r="J195" s="1" t="s">
        <v>1922</v>
      </c>
      <c r="K195" s="1" t="s">
        <v>1922</v>
      </c>
      <c r="L195" s="1" t="s">
        <v>1922</v>
      </c>
    </row>
    <row r="196" spans="1:12">
      <c r="A196" s="1" t="s">
        <v>387</v>
      </c>
    </row>
    <row r="197" spans="1:12">
      <c r="A197" s="1" t="s">
        <v>1465</v>
      </c>
    </row>
    <row r="198" spans="1:12">
      <c r="A198" s="1" t="s">
        <v>2231</v>
      </c>
    </row>
    <row r="199" spans="1:12">
      <c r="A199" s="1" t="s">
        <v>1970</v>
      </c>
    </row>
    <row r="200" spans="1:12">
      <c r="A200" s="1" t="s">
        <v>1970</v>
      </c>
    </row>
    <row r="201" spans="1:12">
      <c r="A201" s="1" t="s">
        <v>2253</v>
      </c>
    </row>
    <row r="202" spans="1:12">
      <c r="A202" s="1" t="s">
        <v>2260</v>
      </c>
    </row>
    <row r="203" spans="1:12">
      <c r="A203" s="1" t="s">
        <v>1951</v>
      </c>
    </row>
    <row r="204" spans="1:12">
      <c r="A204" s="1" t="s">
        <v>2063</v>
      </c>
    </row>
    <row r="205" spans="1:12">
      <c r="A205" s="1" t="s">
        <v>409</v>
      </c>
    </row>
    <row r="206" spans="1:12">
      <c r="A206" s="1" t="s">
        <v>390</v>
      </c>
    </row>
    <row r="207" spans="1:12">
      <c r="A207" s="1" t="s">
        <v>1948</v>
      </c>
    </row>
    <row r="208" spans="1:12">
      <c r="A208" s="1" t="s">
        <v>62</v>
      </c>
    </row>
    <row r="209" spans="1:1">
      <c r="A209" s="1" t="s">
        <v>390</v>
      </c>
    </row>
    <row r="210" spans="1:1">
      <c r="A210" s="1" t="s">
        <v>2032</v>
      </c>
    </row>
    <row r="211" spans="1:1">
      <c r="A211" s="1" t="s">
        <v>1939</v>
      </c>
    </row>
    <row r="212" spans="1:1">
      <c r="A212" s="1" t="s">
        <v>30</v>
      </c>
    </row>
    <row r="213" spans="1:1">
      <c r="A213" s="1" t="s">
        <v>1985</v>
      </c>
    </row>
    <row r="214" spans="1:1">
      <c r="A214" s="1" t="s">
        <v>2170</v>
      </c>
    </row>
    <row r="215" spans="1:1">
      <c r="A215" s="1" t="s">
        <v>30</v>
      </c>
    </row>
    <row r="216" spans="1:1">
      <c r="A216" s="1" t="s">
        <v>2193</v>
      </c>
    </row>
    <row r="217" spans="1:1">
      <c r="A217" s="1" t="s">
        <v>386</v>
      </c>
    </row>
    <row r="218" spans="1:1">
      <c r="A218" s="1" t="s">
        <v>61</v>
      </c>
    </row>
    <row r="219" spans="1:1">
      <c r="A219" s="1" t="s">
        <v>396</v>
      </c>
    </row>
    <row r="220" spans="1:1">
      <c r="A220" s="1" t="s">
        <v>367</v>
      </c>
    </row>
    <row r="221" spans="1:1">
      <c r="A221" s="1" t="s">
        <v>2058</v>
      </c>
    </row>
    <row r="222" spans="1:1">
      <c r="A222" s="1" t="s">
        <v>91</v>
      </c>
    </row>
    <row r="223" spans="1:1">
      <c r="A223" s="1" t="s">
        <v>1922</v>
      </c>
    </row>
    <row r="224" spans="1:1">
      <c r="A224" s="1" t="s">
        <v>1888</v>
      </c>
    </row>
    <row r="225" spans="1:1">
      <c r="A225" s="1" t="s">
        <v>390</v>
      </c>
    </row>
    <row r="226" spans="1:1">
      <c r="A226" s="1" t="s">
        <v>30</v>
      </c>
    </row>
    <row r="227" spans="1:1">
      <c r="A227" s="1" t="s">
        <v>2253</v>
      </c>
    </row>
    <row r="228" spans="1:1">
      <c r="A228" s="1" t="s">
        <v>61</v>
      </c>
    </row>
    <row r="229" spans="1:1">
      <c r="A229" s="1" t="s">
        <v>2058</v>
      </c>
    </row>
    <row r="230" spans="1:1">
      <c r="A230" s="1" t="s">
        <v>1975</v>
      </c>
    </row>
    <row r="231" spans="1:1">
      <c r="A231" s="1" t="s">
        <v>1930</v>
      </c>
    </row>
    <row r="232" spans="1:1">
      <c r="A232" s="1" t="s">
        <v>2059</v>
      </c>
    </row>
    <row r="233" spans="1:1">
      <c r="A233" s="1" t="s">
        <v>381</v>
      </c>
    </row>
    <row r="234" spans="1:1">
      <c r="A234" s="1" t="s">
        <v>96</v>
      </c>
    </row>
    <row r="235" spans="1:1">
      <c r="A235" s="1" t="s">
        <v>2032</v>
      </c>
    </row>
    <row r="236" spans="1:1">
      <c r="A236" s="1" t="s">
        <v>2032</v>
      </c>
    </row>
    <row r="237" spans="1:1">
      <c r="A237" s="1" t="s">
        <v>2064</v>
      </c>
    </row>
    <row r="238" spans="1:1">
      <c r="A238" s="1" t="s">
        <v>1939</v>
      </c>
    </row>
    <row r="239" spans="1:1">
      <c r="A239" s="1" t="s">
        <v>2111</v>
      </c>
    </row>
    <row r="240" spans="1:1">
      <c r="A240" s="1" t="s">
        <v>2099</v>
      </c>
    </row>
    <row r="241" spans="1:1">
      <c r="A241" s="1" t="s">
        <v>2170</v>
      </c>
    </row>
    <row r="242" spans="1:1">
      <c r="A242" s="1" t="s">
        <v>1548</v>
      </c>
    </row>
    <row r="243" spans="1:1">
      <c r="A243" s="1" t="s">
        <v>99</v>
      </c>
    </row>
    <row r="244" spans="1:1">
      <c r="A244" s="1" t="s">
        <v>91</v>
      </c>
    </row>
    <row r="245" spans="1:1">
      <c r="A245" s="1" t="s">
        <v>61</v>
      </c>
    </row>
    <row r="246" spans="1:1">
      <c r="A246" s="1" t="s">
        <v>2058</v>
      </c>
    </row>
    <row r="247" spans="1:1">
      <c r="A247" s="1" t="s">
        <v>2058</v>
      </c>
    </row>
    <row r="248" spans="1:1">
      <c r="A248" s="1" t="s">
        <v>1921</v>
      </c>
    </row>
    <row r="249" spans="1:1">
      <c r="A249" s="1" t="s">
        <v>1465</v>
      </c>
    </row>
    <row r="250" spans="1:1">
      <c r="A250" s="1" t="s">
        <v>1927</v>
      </c>
    </row>
    <row r="251" spans="1:1">
      <c r="A251" s="1" t="s">
        <v>1930</v>
      </c>
    </row>
    <row r="252" spans="1:1">
      <c r="A252" s="1" t="s">
        <v>1922</v>
      </c>
    </row>
    <row r="253" spans="1:1">
      <c r="A253" s="1" t="s">
        <v>1922</v>
      </c>
    </row>
    <row r="254" spans="1:1">
      <c r="A254" s="1" t="s">
        <v>1922</v>
      </c>
    </row>
    <row r="255" spans="1:1">
      <c r="A255" s="1" t="s">
        <v>1922</v>
      </c>
    </row>
    <row r="256" spans="1:1">
      <c r="A256" s="1" t="s">
        <v>1888</v>
      </c>
    </row>
    <row r="257" spans="1:1">
      <c r="A257" s="1" t="s">
        <v>1961</v>
      </c>
    </row>
    <row r="258" spans="1:1">
      <c r="A258" s="1" t="s">
        <v>77</v>
      </c>
    </row>
    <row r="259" spans="1:1">
      <c r="A259" s="1" t="s">
        <v>1964</v>
      </c>
    </row>
    <row r="260" spans="1:1">
      <c r="A260" s="1" t="s">
        <v>23</v>
      </c>
    </row>
    <row r="261" spans="1:1">
      <c r="A261" s="1" t="s">
        <v>23</v>
      </c>
    </row>
    <row r="262" spans="1:1">
      <c r="A262" s="1" t="s">
        <v>1976</v>
      </c>
    </row>
    <row r="263" spans="1:1">
      <c r="A263" s="1" t="s">
        <v>1982</v>
      </c>
    </row>
    <row r="264" spans="1:1">
      <c r="A264" s="1" t="s">
        <v>1985</v>
      </c>
    </row>
    <row r="265" spans="1:1">
      <c r="A265" s="1" t="s">
        <v>1985</v>
      </c>
    </row>
    <row r="266" spans="1:1">
      <c r="A266" s="1" t="s">
        <v>1985</v>
      </c>
    </row>
    <row r="267" spans="1:1">
      <c r="A267" s="1" t="s">
        <v>1985</v>
      </c>
    </row>
    <row r="268" spans="1:1">
      <c r="A268" s="1" t="s">
        <v>1985</v>
      </c>
    </row>
    <row r="269" spans="1:1">
      <c r="A269" s="1" t="s">
        <v>99</v>
      </c>
    </row>
    <row r="270" spans="1:1">
      <c r="A270" s="1" t="s">
        <v>99</v>
      </c>
    </row>
    <row r="271" spans="1:1">
      <c r="A271" s="1" t="s">
        <v>99</v>
      </c>
    </row>
    <row r="272" spans="1:1">
      <c r="A272" s="1" t="s">
        <v>1888</v>
      </c>
    </row>
    <row r="273" spans="1:1">
      <c r="A273" s="1" t="s">
        <v>1888</v>
      </c>
    </row>
    <row r="274" spans="1:1">
      <c r="A274" s="1" t="s">
        <v>1952</v>
      </c>
    </row>
    <row r="275" spans="1:1">
      <c r="A275" s="1" t="s">
        <v>1888</v>
      </c>
    </row>
    <row r="276" spans="1:1">
      <c r="A276" s="1" t="s">
        <v>1888</v>
      </c>
    </row>
    <row r="277" spans="1:1">
      <c r="A277" s="1" t="s">
        <v>77</v>
      </c>
    </row>
    <row r="278" spans="1:1">
      <c r="A278" s="1" t="s">
        <v>1922</v>
      </c>
    </row>
    <row r="279" spans="1:1">
      <c r="A279" s="1" t="s">
        <v>476</v>
      </c>
    </row>
    <row r="280" spans="1:1">
      <c r="A280" s="1" t="s">
        <v>1964</v>
      </c>
    </row>
    <row r="281" spans="1:1">
      <c r="A281" s="1" t="s">
        <v>1922</v>
      </c>
    </row>
    <row r="282" spans="1:1">
      <c r="A282" s="1" t="s">
        <v>1964</v>
      </c>
    </row>
    <row r="283" spans="1:1">
      <c r="A283" s="1" t="s">
        <v>1922</v>
      </c>
    </row>
    <row r="284" spans="1:1">
      <c r="A284" s="1" t="s">
        <v>1964</v>
      </c>
    </row>
    <row r="285" spans="1:1">
      <c r="A285" s="1" t="s">
        <v>398</v>
      </c>
    </row>
    <row r="286" spans="1:1">
      <c r="A286" s="1" t="s">
        <v>367</v>
      </c>
    </row>
    <row r="287" spans="1:1">
      <c r="A287" s="1" t="s">
        <v>1922</v>
      </c>
    </row>
    <row r="288" spans="1:1">
      <c r="A288" s="1" t="s">
        <v>1922</v>
      </c>
    </row>
    <row r="289" spans="1:1">
      <c r="A289" s="1" t="s">
        <v>1961</v>
      </c>
    </row>
    <row r="290" spans="1:1">
      <c r="A290" s="1" t="s">
        <v>2058</v>
      </c>
    </row>
    <row r="291" spans="1:1">
      <c r="A291" s="1" t="s">
        <v>2062</v>
      </c>
    </row>
    <row r="292" spans="1:1">
      <c r="A292" s="1" t="s">
        <v>2062</v>
      </c>
    </row>
    <row r="293" spans="1:1">
      <c r="A293" s="1" t="s">
        <v>61</v>
      </c>
    </row>
    <row r="294" spans="1:1">
      <c r="A294" s="1" t="s">
        <v>2077</v>
      </c>
    </row>
    <row r="295" spans="1:1">
      <c r="A295" s="1" t="s">
        <v>1985</v>
      </c>
    </row>
    <row r="296" spans="1:1">
      <c r="A296" s="1" t="s">
        <v>1939</v>
      </c>
    </row>
    <row r="297" spans="1:1">
      <c r="A297" s="1" t="s">
        <v>49</v>
      </c>
    </row>
    <row r="298" spans="1:1">
      <c r="A298" s="1" t="s">
        <v>49</v>
      </c>
    </row>
    <row r="299" spans="1:1">
      <c r="A299" s="1" t="s">
        <v>1922</v>
      </c>
    </row>
    <row r="300" spans="1:1">
      <c r="A300" s="1" t="s">
        <v>1930</v>
      </c>
    </row>
    <row r="301" spans="1:1">
      <c r="A301" s="1" t="s">
        <v>1922</v>
      </c>
    </row>
    <row r="302" spans="1:1">
      <c r="A302" s="1" t="s">
        <v>62</v>
      </c>
    </row>
    <row r="303" spans="1:1">
      <c r="A303" s="1" t="s">
        <v>71</v>
      </c>
    </row>
    <row r="304" spans="1:1">
      <c r="A304" s="1" t="s">
        <v>1922</v>
      </c>
    </row>
    <row r="305" spans="1:1">
      <c r="A305" s="1" t="s">
        <v>664</v>
      </c>
    </row>
    <row r="306" spans="1:1">
      <c r="A306" s="1" t="s">
        <v>1922</v>
      </c>
    </row>
    <row r="307" spans="1:1">
      <c r="A307" s="1" t="s">
        <v>664</v>
      </c>
    </row>
    <row r="308" spans="1:1">
      <c r="A308" s="1" t="s">
        <v>1930</v>
      </c>
    </row>
    <row r="309" spans="1:1">
      <c r="A309" s="1" t="s">
        <v>664</v>
      </c>
    </row>
    <row r="310" spans="1:1">
      <c r="A310" s="1" t="s">
        <v>29</v>
      </c>
    </row>
    <row r="311" spans="1:1">
      <c r="A311" s="1" t="s">
        <v>2132</v>
      </c>
    </row>
    <row r="312" spans="1:1">
      <c r="A312" s="1" t="s">
        <v>398</v>
      </c>
    </row>
    <row r="313" spans="1:1">
      <c r="A313" s="1" t="s">
        <v>71</v>
      </c>
    </row>
    <row r="314" spans="1:1">
      <c r="A314" s="1" t="s">
        <v>29</v>
      </c>
    </row>
    <row r="315" spans="1:1">
      <c r="A315" s="1" t="s">
        <v>29</v>
      </c>
    </row>
    <row r="316" spans="1:1">
      <c r="A316" s="1" t="s">
        <v>90</v>
      </c>
    </row>
    <row r="317" spans="1:1">
      <c r="A317" s="1" t="s">
        <v>377</v>
      </c>
    </row>
    <row r="318" spans="1:1">
      <c r="A318" s="1" t="s">
        <v>406</v>
      </c>
    </row>
    <row r="319" spans="1:1">
      <c r="A319" s="1" t="s">
        <v>91</v>
      </c>
    </row>
    <row r="320" spans="1:1">
      <c r="A320" s="1" t="s">
        <v>91</v>
      </c>
    </row>
    <row r="321" spans="1:1">
      <c r="A321" s="1" t="s">
        <v>90</v>
      </c>
    </row>
    <row r="322" spans="1:1">
      <c r="A322" s="1" t="s">
        <v>2165</v>
      </c>
    </row>
    <row r="323" spans="1:1">
      <c r="A323" s="1" t="s">
        <v>99</v>
      </c>
    </row>
    <row r="324" spans="1:1">
      <c r="A324" s="1" t="s">
        <v>2170</v>
      </c>
    </row>
    <row r="325" spans="1:1">
      <c r="A325" s="1" t="s">
        <v>90</v>
      </c>
    </row>
    <row r="326" spans="1:1">
      <c r="A326" s="1" t="s">
        <v>61</v>
      </c>
    </row>
    <row r="327" spans="1:1">
      <c r="A327" s="1" t="s">
        <v>29</v>
      </c>
    </row>
    <row r="328" spans="1:1">
      <c r="A328" s="1" t="s">
        <v>396</v>
      </c>
    </row>
    <row r="329" spans="1:1">
      <c r="A329" s="1" t="s">
        <v>1922</v>
      </c>
    </row>
    <row r="330" spans="1:1">
      <c r="A330" s="1" t="s">
        <v>1964</v>
      </c>
    </row>
    <row r="331" spans="1:1">
      <c r="A331" s="1" t="s">
        <v>90</v>
      </c>
    </row>
    <row r="332" spans="1:1">
      <c r="A332" s="1" t="s">
        <v>2058</v>
      </c>
    </row>
    <row r="333" spans="1:1">
      <c r="A333" s="1" t="s">
        <v>2058</v>
      </c>
    </row>
    <row r="334" spans="1:1">
      <c r="A334" s="1" t="s">
        <v>30</v>
      </c>
    </row>
    <row r="335" spans="1:1">
      <c r="A335" s="1" t="s">
        <v>30</v>
      </c>
    </row>
    <row r="336" spans="1:1">
      <c r="A336" s="1" t="s">
        <v>30</v>
      </c>
    </row>
    <row r="337" spans="1:1">
      <c r="A337" s="1" t="s">
        <v>30</v>
      </c>
    </row>
    <row r="338" spans="1:1">
      <c r="A338" s="1" t="s">
        <v>1961</v>
      </c>
    </row>
    <row r="339" spans="1:1">
      <c r="A339" s="1" t="s">
        <v>30</v>
      </c>
    </row>
    <row r="340" spans="1:1">
      <c r="A340" s="1" t="s">
        <v>387</v>
      </c>
    </row>
    <row r="341" spans="1:1">
      <c r="A341" s="1" t="s">
        <v>30</v>
      </c>
    </row>
    <row r="342" spans="1:1">
      <c r="A342" s="1" t="s">
        <v>1465</v>
      </c>
    </row>
    <row r="343" spans="1:1">
      <c r="A343" s="1" t="s">
        <v>2231</v>
      </c>
    </row>
    <row r="344" spans="1:1">
      <c r="A344" s="1" t="s">
        <v>2231</v>
      </c>
    </row>
    <row r="345" spans="1:1">
      <c r="A345" s="1" t="s">
        <v>2231</v>
      </c>
    </row>
    <row r="346" spans="1:1">
      <c r="A346" s="1" t="s">
        <v>1970</v>
      </c>
    </row>
    <row r="347" spans="1:1">
      <c r="A347" s="1" t="s">
        <v>1970</v>
      </c>
    </row>
    <row r="348" spans="1:1">
      <c r="A348" s="1" t="s">
        <v>2253</v>
      </c>
    </row>
    <row r="349" spans="1:1">
      <c r="A349" s="1" t="s">
        <v>2253</v>
      </c>
    </row>
    <row r="350" spans="1:1">
      <c r="A350" s="1" t="s">
        <v>2260</v>
      </c>
    </row>
    <row r="351" spans="1:1">
      <c r="A351" s="1" t="s">
        <v>2260</v>
      </c>
    </row>
    <row r="352" spans="1:1">
      <c r="A352" s="1" t="s">
        <v>2260</v>
      </c>
    </row>
    <row r="353" spans="1:1">
      <c r="A353" s="1" t="s">
        <v>2260</v>
      </c>
    </row>
    <row r="354" spans="1:1">
      <c r="A354" s="1" t="s">
        <v>1985</v>
      </c>
    </row>
    <row r="355" spans="1:1">
      <c r="A355" s="1" t="s">
        <v>1985</v>
      </c>
    </row>
    <row r="356" spans="1:1">
      <c r="A356" s="1" t="s">
        <v>1985</v>
      </c>
    </row>
    <row r="357" spans="1:1">
      <c r="A357" s="1" t="s">
        <v>1985</v>
      </c>
    </row>
    <row r="358" spans="1:1">
      <c r="A358" s="1" t="s">
        <v>1985</v>
      </c>
    </row>
    <row r="359" spans="1:1">
      <c r="A359" s="1" t="s">
        <v>1951</v>
      </c>
    </row>
    <row r="360" spans="1:1">
      <c r="A360" s="1" t="s">
        <v>2063</v>
      </c>
    </row>
    <row r="361" spans="1:1">
      <c r="A361" s="1" t="s">
        <v>409</v>
      </c>
    </row>
    <row r="362" spans="1:1">
      <c r="A362" s="1" t="s">
        <v>390</v>
      </c>
    </row>
    <row r="363" spans="1:1">
      <c r="A363" s="1" t="s">
        <v>1922</v>
      </c>
    </row>
    <row r="364" spans="1:1">
      <c r="A364" s="1" t="s">
        <v>1948</v>
      </c>
    </row>
    <row r="365" spans="1:1">
      <c r="A365" s="1" t="s">
        <v>62</v>
      </c>
    </row>
    <row r="366" spans="1:1">
      <c r="A366" s="1" t="s">
        <v>1964</v>
      </c>
    </row>
    <row r="367" spans="1:1">
      <c r="A367" s="1" t="s">
        <v>90</v>
      </c>
    </row>
    <row r="368" spans="1:1">
      <c r="A368" s="1" t="s">
        <v>1964</v>
      </c>
    </row>
    <row r="369" spans="1:1">
      <c r="A369" s="1" t="s">
        <v>390</v>
      </c>
    </row>
    <row r="370" spans="1:1">
      <c r="A370" s="1" t="s">
        <v>2032</v>
      </c>
    </row>
    <row r="371" spans="1:1">
      <c r="A371" s="1" t="s">
        <v>1939</v>
      </c>
    </row>
    <row r="372" spans="1:1">
      <c r="A372" s="1" t="s">
        <v>409</v>
      </c>
    </row>
    <row r="373" spans="1:1">
      <c r="A373" s="1" t="s">
        <v>1930</v>
      </c>
    </row>
    <row r="374" spans="1:1">
      <c r="A374" s="1" t="s">
        <v>30</v>
      </c>
    </row>
    <row r="375" spans="1:1">
      <c r="A375" s="1" t="s">
        <v>1985</v>
      </c>
    </row>
    <row r="376" spans="1:1">
      <c r="A376" s="1" t="s">
        <v>1985</v>
      </c>
    </row>
    <row r="377" spans="1:1">
      <c r="A377" s="1" t="s">
        <v>1985</v>
      </c>
    </row>
    <row r="378" spans="1:1">
      <c r="A378" s="1" t="s">
        <v>2170</v>
      </c>
    </row>
    <row r="379" spans="1:1">
      <c r="A379" s="1" t="s">
        <v>2170</v>
      </c>
    </row>
    <row r="380" spans="1:1">
      <c r="A380" s="1" t="s">
        <v>2170</v>
      </c>
    </row>
    <row r="381" spans="1:1">
      <c r="A381" s="1" t="s">
        <v>2170</v>
      </c>
    </row>
    <row r="382" spans="1:1">
      <c r="A382" s="1" t="s">
        <v>2170</v>
      </c>
    </row>
    <row r="383" spans="1:1">
      <c r="A383" s="1" t="s">
        <v>30</v>
      </c>
    </row>
    <row r="384" spans="1:1">
      <c r="A384" s="1" t="s">
        <v>30</v>
      </c>
    </row>
    <row r="385" spans="1:1">
      <c r="A385" s="1" t="s">
        <v>30</v>
      </c>
    </row>
    <row r="386" spans="1:1">
      <c r="A386" s="1" t="s">
        <v>30</v>
      </c>
    </row>
    <row r="387" spans="1:1">
      <c r="A387" s="1" t="s">
        <v>2193</v>
      </c>
    </row>
    <row r="388" spans="1:1">
      <c r="A388" s="1" t="s">
        <v>2058</v>
      </c>
    </row>
    <row r="389" spans="1:1">
      <c r="A389" s="1" t="s">
        <v>386</v>
      </c>
    </row>
    <row r="390" spans="1:1">
      <c r="A390" s="1" t="s">
        <v>61</v>
      </c>
    </row>
    <row r="391" spans="1:1">
      <c r="A391" s="1" t="s">
        <v>396</v>
      </c>
    </row>
    <row r="392" spans="1:1">
      <c r="A392" s="1" t="s">
        <v>367</v>
      </c>
    </row>
    <row r="393" spans="1:1">
      <c r="A393" s="1" t="s">
        <v>2058</v>
      </c>
    </row>
    <row r="394" spans="1:1">
      <c r="A394" s="1" t="s">
        <v>2058</v>
      </c>
    </row>
    <row r="395" spans="1:1">
      <c r="A395" s="1" t="s">
        <v>91</v>
      </c>
    </row>
    <row r="396" spans="1:1">
      <c r="A396" s="1" t="s">
        <v>2058</v>
      </c>
    </row>
    <row r="397" spans="1:1">
      <c r="A397" s="1" t="s">
        <v>1922</v>
      </c>
    </row>
    <row r="398" spans="1:1">
      <c r="A398" s="1" t="s">
        <v>1888</v>
      </c>
    </row>
    <row r="399" spans="1:1">
      <c r="A399" s="1" t="s">
        <v>390</v>
      </c>
    </row>
    <row r="400" spans="1:1">
      <c r="A400" s="1" t="s">
        <v>2193</v>
      </c>
    </row>
    <row r="401" spans="1:1">
      <c r="A401" s="1" t="s">
        <v>30</v>
      </c>
    </row>
    <row r="402" spans="1:1">
      <c r="A402" s="1" t="s">
        <v>2058</v>
      </c>
    </row>
    <row r="403" spans="1:1">
      <c r="A403" s="1" t="s">
        <v>2253</v>
      </c>
    </row>
    <row r="404" spans="1:1">
      <c r="A404" s="1" t="s">
        <v>2253</v>
      </c>
    </row>
    <row r="405" spans="1:1">
      <c r="A405" s="1" t="s">
        <v>2170</v>
      </c>
    </row>
    <row r="406" spans="1:1">
      <c r="A406" s="1" t="s">
        <v>61</v>
      </c>
    </row>
    <row r="407" spans="1:1">
      <c r="A407" s="1" t="s">
        <v>2058</v>
      </c>
    </row>
    <row r="408" spans="1:1">
      <c r="A408" s="1" t="s">
        <v>1985</v>
      </c>
    </row>
    <row r="409" spans="1:1">
      <c r="A409" s="1" t="s">
        <v>1975</v>
      </c>
    </row>
    <row r="410" spans="1:1">
      <c r="A410" s="1" t="s">
        <v>2260</v>
      </c>
    </row>
    <row r="411" spans="1:1">
      <c r="A411" s="1" t="s">
        <v>1985</v>
      </c>
    </row>
    <row r="412" spans="1:1">
      <c r="A412" s="1" t="s">
        <v>1985</v>
      </c>
    </row>
    <row r="413" spans="1:1">
      <c r="A413" s="1" t="s">
        <v>1985</v>
      </c>
    </row>
    <row r="414" spans="1:1">
      <c r="A414" s="1" t="s">
        <v>1930</v>
      </c>
    </row>
    <row r="415" spans="1:1">
      <c r="A415" s="1" t="s">
        <v>1985</v>
      </c>
    </row>
    <row r="416" spans="1:1">
      <c r="A416" s="1" t="s">
        <v>1985</v>
      </c>
    </row>
    <row r="417" spans="1:1">
      <c r="A417" s="1" t="s">
        <v>1985</v>
      </c>
    </row>
    <row r="418" spans="1:1">
      <c r="A418" s="1" t="s">
        <v>409</v>
      </c>
    </row>
    <row r="419" spans="1:1">
      <c r="A419" s="1" t="s">
        <v>409</v>
      </c>
    </row>
    <row r="420" spans="1:1">
      <c r="A420" s="1" t="s">
        <v>2059</v>
      </c>
    </row>
    <row r="421" spans="1:1">
      <c r="A421" s="1" t="s">
        <v>409</v>
      </c>
    </row>
    <row r="422" spans="1:1">
      <c r="A422" s="1" t="s">
        <v>381</v>
      </c>
    </row>
    <row r="423" spans="1:1">
      <c r="A423" s="1" t="s">
        <v>96</v>
      </c>
    </row>
    <row r="424" spans="1:1">
      <c r="A424" s="1" t="s">
        <v>2032</v>
      </c>
    </row>
    <row r="425" spans="1:1">
      <c r="A425" s="1" t="s">
        <v>2032</v>
      </c>
    </row>
    <row r="426" spans="1:1">
      <c r="A426" s="1" t="s">
        <v>2064</v>
      </c>
    </row>
    <row r="427" spans="1:1">
      <c r="A427" s="1" t="s">
        <v>1922</v>
      </c>
    </row>
    <row r="428" spans="1:1">
      <c r="A428" s="1" t="s">
        <v>1922</v>
      </c>
    </row>
    <row r="429" spans="1:1">
      <c r="A429" s="1" t="s">
        <v>1939</v>
      </c>
    </row>
    <row r="430" spans="1:1">
      <c r="A430" s="1" t="s">
        <v>2111</v>
      </c>
    </row>
    <row r="431" spans="1:1">
      <c r="A431" s="1" t="s">
        <v>2099</v>
      </c>
    </row>
    <row r="432" spans="1:1">
      <c r="A432" s="1" t="s">
        <v>2170</v>
      </c>
    </row>
    <row r="433" spans="1:1">
      <c r="A433" s="1" t="s">
        <v>90</v>
      </c>
    </row>
    <row r="434" spans="1:1">
      <c r="A434" s="1" t="s">
        <v>1985</v>
      </c>
    </row>
    <row r="435" spans="1:1">
      <c r="A435" s="1" t="s">
        <v>1548</v>
      </c>
    </row>
    <row r="436" spans="1:1">
      <c r="A436" s="1" t="s">
        <v>99</v>
      </c>
    </row>
    <row r="437" spans="1:1">
      <c r="A437" s="1" t="s">
        <v>91</v>
      </c>
    </row>
    <row r="438" spans="1:1">
      <c r="A438" s="1" t="s">
        <v>61</v>
      </c>
    </row>
    <row r="439" spans="1:1">
      <c r="A439" s="1" t="s">
        <v>2058</v>
      </c>
    </row>
    <row r="440" spans="1:1">
      <c r="A440" s="1" t="s">
        <v>2170</v>
      </c>
    </row>
    <row r="441" spans="1:1">
      <c r="A441" s="1" t="s">
        <v>2058</v>
      </c>
    </row>
    <row r="442" spans="1:1">
      <c r="A442" s="1" t="s">
        <v>1948</v>
      </c>
    </row>
    <row r="443" spans="1:1">
      <c r="A443" s="1" t="s">
        <v>1939</v>
      </c>
    </row>
    <row r="444" spans="1:1">
      <c r="A444" s="1" t="s">
        <v>1964</v>
      </c>
    </row>
    <row r="445" spans="1:1">
      <c r="A445" s="1" t="s">
        <v>1922</v>
      </c>
    </row>
    <row r="446" spans="1:1">
      <c r="A446" s="1" t="s">
        <v>1922</v>
      </c>
    </row>
    <row r="447" spans="1:1">
      <c r="A447" s="1" t="s">
        <v>1975</v>
      </c>
    </row>
    <row r="448" spans="1:1">
      <c r="A448" s="1" t="s">
        <v>1922</v>
      </c>
    </row>
    <row r="449" spans="1:1">
      <c r="A449" s="1" t="s">
        <v>1922</v>
      </c>
    </row>
    <row r="450" spans="1:1">
      <c r="A450" s="1" t="s">
        <v>1922</v>
      </c>
    </row>
    <row r="451" spans="1:1">
      <c r="A451" s="1" t="s">
        <v>1922</v>
      </c>
    </row>
    <row r="452" spans="1:1">
      <c r="A452" s="1" t="s">
        <v>1922</v>
      </c>
    </row>
    <row r="453" spans="1:1">
      <c r="A453" s="1" t="s">
        <v>1922</v>
      </c>
    </row>
    <row r="454" spans="1:1">
      <c r="A454" s="1" t="s">
        <v>1922</v>
      </c>
    </row>
    <row r="455" spans="1:1">
      <c r="A455" s="1" t="s">
        <v>1998</v>
      </c>
    </row>
    <row r="456" spans="1:1">
      <c r="A456" s="1" t="s">
        <v>2002</v>
      </c>
    </row>
    <row r="457" spans="1:1">
      <c r="A457" s="1" t="s">
        <v>1998</v>
      </c>
    </row>
    <row r="458" spans="1:1">
      <c r="A458" s="1" t="s">
        <v>1952</v>
      </c>
    </row>
    <row r="459" spans="1:1">
      <c r="A459" s="1" t="s">
        <v>1893</v>
      </c>
    </row>
    <row r="460" spans="1:1">
      <c r="A460" s="1" t="s">
        <v>351</v>
      </c>
    </row>
    <row r="461" spans="1:1">
      <c r="A461" s="1" t="s">
        <v>1952</v>
      </c>
    </row>
    <row r="462" spans="1:1">
      <c r="A462" s="1" t="s">
        <v>392</v>
      </c>
    </row>
    <row r="463" spans="1:1">
      <c r="A463" s="1" t="s">
        <v>1922</v>
      </c>
    </row>
    <row r="464" spans="1:1">
      <c r="A464" s="1" t="s">
        <v>1922</v>
      </c>
    </row>
    <row r="465" spans="1:1">
      <c r="A465" s="1" t="s">
        <v>90</v>
      </c>
    </row>
    <row r="466" spans="1:1">
      <c r="A466" s="1" t="s">
        <v>1922</v>
      </c>
    </row>
    <row r="467" spans="1:1">
      <c r="A467" s="1" t="s">
        <v>1922</v>
      </c>
    </row>
    <row r="468" spans="1:1">
      <c r="A468" s="1" t="s">
        <v>1922</v>
      </c>
    </row>
    <row r="469" spans="1:1">
      <c r="A469" s="1" t="s">
        <v>1922</v>
      </c>
    </row>
    <row r="470" spans="1:1">
      <c r="A470" s="1" t="s">
        <v>1922</v>
      </c>
    </row>
    <row r="471" spans="1:1">
      <c r="A471" s="1" t="s">
        <v>1952</v>
      </c>
    </row>
    <row r="472" spans="1:1">
      <c r="A472" s="1" t="s">
        <v>2044</v>
      </c>
    </row>
    <row r="473" spans="1:1">
      <c r="A473" s="1" t="s">
        <v>1922</v>
      </c>
    </row>
    <row r="474" spans="1:1">
      <c r="A474" s="1" t="s">
        <v>1922</v>
      </c>
    </row>
    <row r="475" spans="1:1">
      <c r="A475" s="1" t="s">
        <v>2053</v>
      </c>
    </row>
    <row r="476" spans="1:1">
      <c r="A476" s="1" t="s">
        <v>49</v>
      </c>
    </row>
    <row r="477" spans="1:1">
      <c r="A477" s="1" t="s">
        <v>2063</v>
      </c>
    </row>
    <row r="478" spans="1:1">
      <c r="A478" s="1" t="s">
        <v>2063</v>
      </c>
    </row>
    <row r="479" spans="1:1">
      <c r="A479" s="1" t="s">
        <v>2074</v>
      </c>
    </row>
    <row r="480" spans="1:1">
      <c r="A480" s="1" t="s">
        <v>61</v>
      </c>
    </row>
    <row r="481" spans="1:1">
      <c r="A481" s="1" t="s">
        <v>1964</v>
      </c>
    </row>
    <row r="482" spans="1:1">
      <c r="A482" s="1" t="s">
        <v>1922</v>
      </c>
    </row>
    <row r="483" spans="1:1">
      <c r="A483" s="1" t="s">
        <v>2059</v>
      </c>
    </row>
    <row r="484" spans="1:1">
      <c r="A484" s="1" t="s">
        <v>2059</v>
      </c>
    </row>
    <row r="485" spans="1:1">
      <c r="A485" s="1" t="s">
        <v>1922</v>
      </c>
    </row>
    <row r="486" spans="1:1">
      <c r="A486" s="1" t="s">
        <v>1922</v>
      </c>
    </row>
    <row r="487" spans="1:1">
      <c r="A487" s="1" t="s">
        <v>1922</v>
      </c>
    </row>
    <row r="488" spans="1:1">
      <c r="A488" s="1" t="s">
        <v>2098</v>
      </c>
    </row>
    <row r="489" spans="1:1">
      <c r="A489" s="1" t="s">
        <v>96</v>
      </c>
    </row>
    <row r="490" spans="1:1">
      <c r="A490" s="1" t="s">
        <v>1922</v>
      </c>
    </row>
    <row r="491" spans="1:1">
      <c r="A491" s="1" t="s">
        <v>1952</v>
      </c>
    </row>
    <row r="492" spans="1:1">
      <c r="A492" s="1" t="s">
        <v>1922</v>
      </c>
    </row>
    <row r="493" spans="1:1">
      <c r="A493" s="1" t="s">
        <v>2111</v>
      </c>
    </row>
    <row r="494" spans="1:1">
      <c r="A494" s="1" t="s">
        <v>1922</v>
      </c>
    </row>
    <row r="495" spans="1:1">
      <c r="A495" s="1" t="s">
        <v>29</v>
      </c>
    </row>
    <row r="496" spans="1:1">
      <c r="A496" s="1" t="s">
        <v>2128</v>
      </c>
    </row>
    <row r="497" spans="1:1">
      <c r="A497" s="1" t="s">
        <v>29</v>
      </c>
    </row>
    <row r="498" spans="1:1">
      <c r="A498" s="1" t="s">
        <v>2128</v>
      </c>
    </row>
    <row r="499" spans="1:1">
      <c r="A499" s="1" t="s">
        <v>29</v>
      </c>
    </row>
    <row r="500" spans="1:1">
      <c r="A500" s="1" t="s">
        <v>2128</v>
      </c>
    </row>
    <row r="501" spans="1:1">
      <c r="A501" s="1" t="s">
        <v>2128</v>
      </c>
    </row>
    <row r="502" spans="1:1">
      <c r="A502" s="1" t="s">
        <v>2144</v>
      </c>
    </row>
    <row r="503" spans="1:1">
      <c r="A503" s="1" t="s">
        <v>1976</v>
      </c>
    </row>
    <row r="504" spans="1:1">
      <c r="A504" s="1" t="s">
        <v>2152</v>
      </c>
    </row>
    <row r="505" spans="1:1">
      <c r="A505" s="1" t="s">
        <v>377</v>
      </c>
    </row>
    <row r="506" spans="1:1">
      <c r="A506" s="1" t="s">
        <v>377</v>
      </c>
    </row>
    <row r="507" spans="1:1">
      <c r="A507" s="1" t="s">
        <v>2144</v>
      </c>
    </row>
    <row r="508" spans="1:1">
      <c r="A508" s="1" t="s">
        <v>2017</v>
      </c>
    </row>
    <row r="509" spans="1:1">
      <c r="A509" s="1" t="s">
        <v>2002</v>
      </c>
    </row>
    <row r="510" spans="1:1">
      <c r="A510" s="1" t="s">
        <v>2171</v>
      </c>
    </row>
    <row r="511" spans="1:1">
      <c r="A511" s="1" t="s">
        <v>2144</v>
      </c>
    </row>
    <row r="512" spans="1:1">
      <c r="A512" s="1" t="s">
        <v>2074</v>
      </c>
    </row>
    <row r="513" spans="1:1">
      <c r="A513" s="1" t="s">
        <v>2128</v>
      </c>
    </row>
    <row r="514" spans="1:1">
      <c r="A514" s="1" t="s">
        <v>2181</v>
      </c>
    </row>
    <row r="515" spans="1:1">
      <c r="A515" s="1" t="s">
        <v>1922</v>
      </c>
    </row>
    <row r="516" spans="1:1">
      <c r="A516" s="1" t="s">
        <v>1922</v>
      </c>
    </row>
    <row r="517" spans="1:1">
      <c r="A517" s="1" t="s">
        <v>1922</v>
      </c>
    </row>
    <row r="518" spans="1:1">
      <c r="A518" s="1" t="s">
        <v>49</v>
      </c>
    </row>
    <row r="519" spans="1:1">
      <c r="A519" s="1" t="s">
        <v>49</v>
      </c>
    </row>
    <row r="520" spans="1:1">
      <c r="A520" s="1" t="s">
        <v>1922</v>
      </c>
    </row>
    <row r="521" spans="1:1">
      <c r="A521" s="1" t="s">
        <v>2206</v>
      </c>
    </row>
    <row r="522" spans="1:1">
      <c r="A522" s="1" t="s">
        <v>2211</v>
      </c>
    </row>
    <row r="523" spans="1:1">
      <c r="A523" s="1" t="s">
        <v>2118</v>
      </c>
    </row>
    <row r="524" spans="1:1">
      <c r="A524" s="1" t="s">
        <v>2053</v>
      </c>
    </row>
    <row r="525" spans="1:1">
      <c r="A525" s="1" t="s">
        <v>1939</v>
      </c>
    </row>
    <row r="526" spans="1:1">
      <c r="A526" s="1" t="s">
        <v>2064</v>
      </c>
    </row>
    <row r="527" spans="1:1">
      <c r="A527" s="1" t="s">
        <v>2206</v>
      </c>
    </row>
    <row r="528" spans="1:1">
      <c r="A528" s="1" t="s">
        <v>2231</v>
      </c>
    </row>
    <row r="529" spans="1:1">
      <c r="A529" s="1" t="s">
        <v>1922</v>
      </c>
    </row>
    <row r="530" spans="1:1">
      <c r="A530" s="1" t="s">
        <v>1922</v>
      </c>
    </row>
    <row r="531" spans="1:1">
      <c r="A531" s="1" t="s">
        <v>1922</v>
      </c>
    </row>
    <row r="532" spans="1:1">
      <c r="A532" s="1" t="s">
        <v>23</v>
      </c>
    </row>
    <row r="533" spans="1:1">
      <c r="A533" s="1" t="s">
        <v>407</v>
      </c>
    </row>
    <row r="534" spans="1:1">
      <c r="A534" s="1" t="s">
        <v>2254</v>
      </c>
    </row>
    <row r="535" spans="1:1">
      <c r="A535" s="1" t="s">
        <v>2254</v>
      </c>
    </row>
    <row r="536" spans="1:1">
      <c r="A536" s="1" t="s">
        <v>2261</v>
      </c>
    </row>
    <row r="537" spans="1:1">
      <c r="A537" s="1" t="s">
        <v>2261</v>
      </c>
    </row>
    <row r="538" spans="1:1">
      <c r="A538" s="1" t="s">
        <v>2261</v>
      </c>
    </row>
    <row r="539" spans="1:1">
      <c r="A539" s="1" t="s">
        <v>2261</v>
      </c>
    </row>
    <row r="540" spans="1:1">
      <c r="A540" s="1" t="s">
        <v>1922</v>
      </c>
    </row>
    <row r="541" spans="1:1">
      <c r="A541" s="1" t="s">
        <v>1922</v>
      </c>
    </row>
    <row r="542" spans="1:1">
      <c r="A542" s="1" t="s">
        <v>1922</v>
      </c>
    </row>
    <row r="543" spans="1:1">
      <c r="A543" s="1" t="s">
        <v>1922</v>
      </c>
    </row>
    <row r="544" spans="1:1">
      <c r="A544" s="1" t="s">
        <v>1922</v>
      </c>
    </row>
    <row r="545" spans="1:1">
      <c r="A545" s="1" t="s">
        <v>2032</v>
      </c>
    </row>
    <row r="546" spans="1:1">
      <c r="A546" s="1" t="s">
        <v>1964</v>
      </c>
    </row>
    <row r="547" spans="1:1">
      <c r="A547" s="1" t="s">
        <v>1964</v>
      </c>
    </row>
    <row r="548" spans="1:1">
      <c r="A548" s="1" t="s">
        <v>1922</v>
      </c>
    </row>
    <row r="549" spans="1:1">
      <c r="A549" s="1" t="s">
        <v>1922</v>
      </c>
    </row>
    <row r="550" spans="1:1">
      <c r="A550" s="1" t="s">
        <v>1893</v>
      </c>
    </row>
    <row r="551" spans="1:1">
      <c r="A551" s="1" t="s">
        <v>1930</v>
      </c>
    </row>
    <row r="552" spans="1:1">
      <c r="A552" s="1" t="s">
        <v>1922</v>
      </c>
    </row>
    <row r="553" spans="1:1">
      <c r="A553" s="1" t="s">
        <v>1922</v>
      </c>
    </row>
    <row r="554" spans="1:1">
      <c r="A554" s="1" t="s">
        <v>1922</v>
      </c>
    </row>
    <row r="555" spans="1:1">
      <c r="A555" s="1" t="s">
        <v>1922</v>
      </c>
    </row>
    <row r="556" spans="1:1">
      <c r="A556" s="1" t="s">
        <v>91</v>
      </c>
    </row>
    <row r="557" spans="1:1">
      <c r="A557" s="1" t="s">
        <v>1922</v>
      </c>
    </row>
    <row r="558" spans="1:1">
      <c r="A558" s="1" t="s">
        <v>1964</v>
      </c>
    </row>
    <row r="559" spans="1:1">
      <c r="A559" s="1" t="s">
        <v>1922</v>
      </c>
    </row>
    <row r="560" spans="1:1">
      <c r="A560" s="1" t="s">
        <v>2325</v>
      </c>
    </row>
    <row r="561" spans="1:1">
      <c r="A561" s="1" t="s">
        <v>1927</v>
      </c>
    </row>
    <row r="562" spans="1:1">
      <c r="A562" s="1" t="s">
        <v>1927</v>
      </c>
    </row>
    <row r="563" spans="1:1">
      <c r="A563" s="1" t="s">
        <v>1927</v>
      </c>
    </row>
    <row r="564" spans="1:1">
      <c r="A564" s="1" t="s">
        <v>2171</v>
      </c>
    </row>
    <row r="565" spans="1:1">
      <c r="A565" s="1" t="s">
        <v>2171</v>
      </c>
    </row>
    <row r="566" spans="1:1">
      <c r="A566" s="1" t="s">
        <v>2171</v>
      </c>
    </row>
    <row r="567" spans="1:1">
      <c r="A567" s="1" t="s">
        <v>2171</v>
      </c>
    </row>
    <row r="568" spans="1:1">
      <c r="A568" s="1" t="s">
        <v>2171</v>
      </c>
    </row>
    <row r="569" spans="1:1">
      <c r="A569" s="1" t="s">
        <v>1922</v>
      </c>
    </row>
    <row r="570" spans="1:1">
      <c r="A570" s="1" t="s">
        <v>2206</v>
      </c>
    </row>
    <row r="571" spans="1:1">
      <c r="A571" s="1" t="s">
        <v>2355</v>
      </c>
    </row>
    <row r="572" spans="1:1">
      <c r="A572" s="1" t="s">
        <v>2206</v>
      </c>
    </row>
    <row r="573" spans="1:1">
      <c r="A573" s="1" t="s">
        <v>2058</v>
      </c>
    </row>
    <row r="574" spans="1:1">
      <c r="A574" s="1" t="s">
        <v>49</v>
      </c>
    </row>
    <row r="575" spans="1:1">
      <c r="A575" s="1" t="s">
        <v>2355</v>
      </c>
    </row>
    <row r="576" spans="1:1">
      <c r="A576" s="1" t="s">
        <v>2370</v>
      </c>
    </row>
    <row r="577" spans="1:1">
      <c r="A577" s="1" t="s">
        <v>1955</v>
      </c>
    </row>
    <row r="578" spans="1:1">
      <c r="A578" s="1" t="s">
        <v>2377</v>
      </c>
    </row>
    <row r="579" spans="1:1">
      <c r="A579" s="1" t="s">
        <v>49</v>
      </c>
    </row>
    <row r="580" spans="1:1">
      <c r="A580" s="1" t="s">
        <v>49</v>
      </c>
    </row>
    <row r="581" spans="1:1">
      <c r="A581" s="1" t="s">
        <v>2058</v>
      </c>
    </row>
    <row r="582" spans="1:1">
      <c r="A582" s="1" t="s">
        <v>49</v>
      </c>
    </row>
    <row r="583" spans="1:1">
      <c r="A583" s="1" t="s">
        <v>1922</v>
      </c>
    </row>
    <row r="584" spans="1:1">
      <c r="A584" s="1" t="s">
        <v>1952</v>
      </c>
    </row>
    <row r="585" spans="1:1">
      <c r="A585" s="1" t="s">
        <v>409</v>
      </c>
    </row>
    <row r="586" spans="1:1">
      <c r="A586" s="1" t="s">
        <v>2058</v>
      </c>
    </row>
    <row r="587" spans="1:1">
      <c r="A587" s="1" t="s">
        <v>49</v>
      </c>
    </row>
    <row r="588" spans="1:1">
      <c r="A588" s="1" t="s">
        <v>49</v>
      </c>
    </row>
    <row r="589" spans="1:1">
      <c r="A589" s="1" t="s">
        <v>2254</v>
      </c>
    </row>
    <row r="590" spans="1:1">
      <c r="A590" s="1" t="s">
        <v>2254</v>
      </c>
    </row>
    <row r="591" spans="1:1">
      <c r="A591" s="1" t="s">
        <v>2171</v>
      </c>
    </row>
    <row r="592" spans="1:1">
      <c r="A592" s="1" t="s">
        <v>2135</v>
      </c>
    </row>
    <row r="593" spans="1:1">
      <c r="A593" s="1" t="s">
        <v>2425</v>
      </c>
    </row>
    <row r="594" spans="1:1">
      <c r="A594" s="1" t="s">
        <v>1927</v>
      </c>
    </row>
    <row r="595" spans="1:1">
      <c r="A595" s="1" t="s">
        <v>1976</v>
      </c>
    </row>
    <row r="596" spans="1:1">
      <c r="A596" s="1" t="s">
        <v>2261</v>
      </c>
    </row>
    <row r="597" spans="1:1">
      <c r="A597" s="1" t="s">
        <v>1927</v>
      </c>
    </row>
    <row r="598" spans="1:1">
      <c r="A598" s="1" t="s">
        <v>1927</v>
      </c>
    </row>
    <row r="599" spans="1:1">
      <c r="A599" s="1" t="s">
        <v>1927</v>
      </c>
    </row>
    <row r="600" spans="1:1">
      <c r="A600" s="1" t="s">
        <v>1922</v>
      </c>
    </row>
    <row r="601" spans="1:1">
      <c r="A601" s="1" t="s">
        <v>1922</v>
      </c>
    </row>
    <row r="602" spans="1:1">
      <c r="A602" s="1" t="s">
        <v>1922</v>
      </c>
    </row>
    <row r="603" spans="1:1">
      <c r="A603" s="1" t="s">
        <v>1922</v>
      </c>
    </row>
    <row r="604" spans="1:1">
      <c r="A604" s="1" t="s">
        <v>1964</v>
      </c>
    </row>
    <row r="605" spans="1:1">
      <c r="A605" s="1" t="s">
        <v>1964</v>
      </c>
    </row>
    <row r="606" spans="1:1">
      <c r="A606" s="1" t="s">
        <v>1922</v>
      </c>
    </row>
    <row r="607" spans="1:1">
      <c r="A607" s="1" t="s">
        <v>1964</v>
      </c>
    </row>
    <row r="608" spans="1:1">
      <c r="A608" s="1" t="s">
        <v>2466</v>
      </c>
    </row>
    <row r="609" spans="1:1">
      <c r="A609" s="1" t="s">
        <v>2111</v>
      </c>
    </row>
    <row r="610" spans="1:1">
      <c r="A610" s="1" t="s">
        <v>386</v>
      </c>
    </row>
    <row r="611" spans="1:1">
      <c r="A611" s="1" t="s">
        <v>77</v>
      </c>
    </row>
    <row r="612" spans="1:1">
      <c r="A612" s="1" t="s">
        <v>2066</v>
      </c>
    </row>
    <row r="613" spans="1:1">
      <c r="A613" s="1" t="s">
        <v>1922</v>
      </c>
    </row>
    <row r="614" spans="1:1">
      <c r="A614" s="1" t="s">
        <v>1922</v>
      </c>
    </row>
    <row r="615" spans="1:1">
      <c r="A615" s="1" t="s">
        <v>1922</v>
      </c>
    </row>
    <row r="616" spans="1:1">
      <c r="A616" s="1" t="s">
        <v>1922</v>
      </c>
    </row>
    <row r="617" spans="1:1">
      <c r="A617" s="1" t="s">
        <v>2011</v>
      </c>
    </row>
    <row r="618" spans="1:1">
      <c r="A618" s="1" t="s">
        <v>391</v>
      </c>
    </row>
    <row r="619" spans="1:1">
      <c r="A619" s="1" t="s">
        <v>1922</v>
      </c>
    </row>
    <row r="620" spans="1:1">
      <c r="A620" s="1" t="s">
        <v>1922</v>
      </c>
    </row>
    <row r="621" spans="1:1">
      <c r="A621" s="1" t="s">
        <v>62</v>
      </c>
    </row>
    <row r="622" spans="1:1">
      <c r="A622" s="1" t="s">
        <v>1955</v>
      </c>
    </row>
    <row r="623" spans="1:1">
      <c r="A623" s="1" t="s">
        <v>377</v>
      </c>
    </row>
    <row r="624" spans="1:1">
      <c r="A624" s="1" t="s">
        <v>1922</v>
      </c>
    </row>
    <row r="625" spans="1:1">
      <c r="A625" s="1" t="s">
        <v>2181</v>
      </c>
    </row>
    <row r="626" spans="1:1">
      <c r="A626" s="1" t="s">
        <v>2171</v>
      </c>
    </row>
    <row r="627" spans="1:1">
      <c r="A627" s="1" t="s">
        <v>49</v>
      </c>
    </row>
    <row r="628" spans="1:1">
      <c r="A628" s="1" t="s">
        <v>1949</v>
      </c>
    </row>
    <row r="629" spans="1:1">
      <c r="A629" s="1" t="s">
        <v>1922</v>
      </c>
    </row>
    <row r="630" spans="1:1">
      <c r="A630" s="1" t="s">
        <v>1922</v>
      </c>
    </row>
    <row r="631" spans="1:1">
      <c r="A631" s="1" t="s">
        <v>1922</v>
      </c>
    </row>
    <row r="632" spans="1:1">
      <c r="A632" s="1" t="s">
        <v>1922</v>
      </c>
    </row>
    <row r="633" spans="1:1">
      <c r="A633" s="1" t="s">
        <v>1976</v>
      </c>
    </row>
    <row r="634" spans="1:1">
      <c r="A634" s="1" t="s">
        <v>1922</v>
      </c>
    </row>
    <row r="635" spans="1:1">
      <c r="A635" s="1" t="s">
        <v>1922</v>
      </c>
    </row>
    <row r="636" spans="1:1">
      <c r="A636" s="1" t="s">
        <v>1922</v>
      </c>
    </row>
    <row r="637" spans="1:1">
      <c r="A637" s="1" t="s">
        <v>1922</v>
      </c>
    </row>
    <row r="638" spans="1:1">
      <c r="A638" s="1" t="s">
        <v>1922</v>
      </c>
    </row>
    <row r="639" spans="1:1">
      <c r="A639" s="1" t="s">
        <v>1922</v>
      </c>
    </row>
    <row r="640" spans="1:1">
      <c r="A640" s="1" t="s">
        <v>1922</v>
      </c>
    </row>
    <row r="641" spans="1:1">
      <c r="A641" s="1" t="s">
        <v>1955</v>
      </c>
    </row>
    <row r="642" spans="1:1">
      <c r="A642" s="1" t="s">
        <v>1955</v>
      </c>
    </row>
    <row r="643" spans="1:1">
      <c r="A643" s="1" t="s">
        <v>1955</v>
      </c>
    </row>
    <row r="644" spans="1:1">
      <c r="A644" s="1" t="s">
        <v>351</v>
      </c>
    </row>
    <row r="645" spans="1:1">
      <c r="A645" s="1" t="s">
        <v>1952</v>
      </c>
    </row>
    <row r="646" spans="1:1">
      <c r="A646" s="1" t="s">
        <v>99</v>
      </c>
    </row>
    <row r="647" spans="1:1">
      <c r="A647" s="1" t="s">
        <v>351</v>
      </c>
    </row>
    <row r="648" spans="1:1">
      <c r="A648" s="1" t="s">
        <v>398</v>
      </c>
    </row>
    <row r="649" spans="1:1">
      <c r="A649" s="1" t="s">
        <v>1922</v>
      </c>
    </row>
    <row r="650" spans="1:1">
      <c r="A650" s="1" t="s">
        <v>1922</v>
      </c>
    </row>
    <row r="651" spans="1:1">
      <c r="A651" s="1" t="s">
        <v>2025</v>
      </c>
    </row>
    <row r="652" spans="1:1">
      <c r="A652" s="1" t="s">
        <v>1922</v>
      </c>
    </row>
    <row r="653" spans="1:1">
      <c r="A653" s="1" t="s">
        <v>1922</v>
      </c>
    </row>
    <row r="654" spans="1:1">
      <c r="A654" s="1" t="s">
        <v>1922</v>
      </c>
    </row>
    <row r="655" spans="1:1">
      <c r="A655" s="1" t="s">
        <v>1922</v>
      </c>
    </row>
    <row r="656" spans="1:1">
      <c r="A656" s="1" t="s">
        <v>1922</v>
      </c>
    </row>
    <row r="657" spans="1:1">
      <c r="A657" s="1" t="s">
        <v>351</v>
      </c>
    </row>
    <row r="658" spans="1:1">
      <c r="A658" s="1" t="s">
        <v>1922</v>
      </c>
    </row>
    <row r="659" spans="1:1">
      <c r="A659" s="1" t="s">
        <v>1922</v>
      </c>
    </row>
    <row r="660" spans="1:1">
      <c r="A660" s="1" t="s">
        <v>1922</v>
      </c>
    </row>
    <row r="661" spans="1:1">
      <c r="A661" s="1" t="s">
        <v>1922</v>
      </c>
    </row>
    <row r="662" spans="1:1">
      <c r="A662" s="1" t="s">
        <v>2059</v>
      </c>
    </row>
    <row r="663" spans="1:1">
      <c r="A663" s="1" t="s">
        <v>1964</v>
      </c>
    </row>
    <row r="664" spans="1:1">
      <c r="A664" s="1" t="s">
        <v>1964</v>
      </c>
    </row>
    <row r="665" spans="1:1">
      <c r="A665" s="1" t="s">
        <v>1922</v>
      </c>
    </row>
    <row r="666" spans="1:1">
      <c r="A666" s="1" t="s">
        <v>2074</v>
      </c>
    </row>
    <row r="667" spans="1:1">
      <c r="A667" s="1" t="s">
        <v>1922</v>
      </c>
    </row>
    <row r="668" spans="1:1">
      <c r="A668" s="1" t="s">
        <v>1922</v>
      </c>
    </row>
    <row r="669" spans="1:1">
      <c r="A669" s="1" t="s">
        <v>1922</v>
      </c>
    </row>
    <row r="670" spans="1:1">
      <c r="A670" s="1" t="s">
        <v>1922</v>
      </c>
    </row>
    <row r="671" spans="1:1">
      <c r="A671" s="1" t="s">
        <v>1922</v>
      </c>
    </row>
    <row r="672" spans="1:1">
      <c r="A672" s="1" t="s">
        <v>1922</v>
      </c>
    </row>
    <row r="673" spans="1:1">
      <c r="A673" s="1" t="s">
        <v>1922</v>
      </c>
    </row>
    <row r="674" spans="1:1">
      <c r="A674" s="1" t="s">
        <v>2099</v>
      </c>
    </row>
    <row r="675" spans="1:1">
      <c r="A675" s="1" t="s">
        <v>2103</v>
      </c>
    </row>
    <row r="676" spans="1:1">
      <c r="A676" s="1" t="s">
        <v>1922</v>
      </c>
    </row>
    <row r="677" spans="1:1">
      <c r="A677" s="1" t="s">
        <v>351</v>
      </c>
    </row>
    <row r="678" spans="1:1">
      <c r="A678" s="1" t="s">
        <v>1922</v>
      </c>
    </row>
    <row r="679" spans="1:1">
      <c r="A679" s="1" t="s">
        <v>2118</v>
      </c>
    </row>
    <row r="680" spans="1:1">
      <c r="A680" s="1" t="s">
        <v>1922</v>
      </c>
    </row>
    <row r="681" spans="1:1">
      <c r="A681" s="1" t="s">
        <v>2124</v>
      </c>
    </row>
    <row r="682" spans="1:1">
      <c r="A682" s="1" t="s">
        <v>2129</v>
      </c>
    </row>
    <row r="683" spans="1:1">
      <c r="A683" s="1" t="s">
        <v>2128</v>
      </c>
    </row>
    <row r="684" spans="1:1">
      <c r="A684" s="1" t="s">
        <v>2135</v>
      </c>
    </row>
    <row r="685" spans="1:1">
      <c r="A685" s="1" t="s">
        <v>2135</v>
      </c>
    </row>
    <row r="686" spans="1:1">
      <c r="A686" s="1" t="s">
        <v>2135</v>
      </c>
    </row>
    <row r="687" spans="1:1">
      <c r="A687" s="1" t="s">
        <v>2125</v>
      </c>
    </row>
    <row r="688" spans="1:1">
      <c r="A688" s="1" t="s">
        <v>2145</v>
      </c>
    </row>
    <row r="689" spans="1:1">
      <c r="A689" s="1" t="s">
        <v>2149</v>
      </c>
    </row>
    <row r="690" spans="1:1">
      <c r="A690" s="1" t="s">
        <v>2153</v>
      </c>
    </row>
    <row r="691" spans="1:1">
      <c r="A691" s="1" t="s">
        <v>90</v>
      </c>
    </row>
    <row r="692" spans="1:1">
      <c r="A692" s="1" t="s">
        <v>90</v>
      </c>
    </row>
    <row r="693" spans="1:1">
      <c r="A693" s="1" t="s">
        <v>1976</v>
      </c>
    </row>
    <row r="694" spans="1:1">
      <c r="A694" s="1" t="s">
        <v>1922</v>
      </c>
    </row>
    <row r="695" spans="1:1">
      <c r="A695" s="1" t="s">
        <v>1998</v>
      </c>
    </row>
    <row r="696" spans="1:1">
      <c r="A696" s="1" t="s">
        <v>2172</v>
      </c>
    </row>
    <row r="697" spans="1:1">
      <c r="A697" s="1" t="s">
        <v>2149</v>
      </c>
    </row>
    <row r="698" spans="1:1">
      <c r="A698" s="1" t="s">
        <v>1922</v>
      </c>
    </row>
    <row r="699" spans="1:1">
      <c r="A699" s="1" t="s">
        <v>1976</v>
      </c>
    </row>
    <row r="700" spans="1:1">
      <c r="A700" s="1" t="s">
        <v>2044</v>
      </c>
    </row>
    <row r="701" spans="1:1">
      <c r="A701" s="1" t="s">
        <v>1922</v>
      </c>
    </row>
    <row r="702" spans="1:1">
      <c r="A702" s="1" t="s">
        <v>1922</v>
      </c>
    </row>
    <row r="703" spans="1:1">
      <c r="A703" s="1" t="s">
        <v>1922</v>
      </c>
    </row>
    <row r="704" spans="1:1">
      <c r="A704" s="1" t="s">
        <v>2059</v>
      </c>
    </row>
    <row r="705" spans="1:1">
      <c r="A705" s="1" t="s">
        <v>2059</v>
      </c>
    </row>
    <row r="706" spans="1:1">
      <c r="A706" s="1" t="s">
        <v>1922</v>
      </c>
    </row>
    <row r="707" spans="1:1">
      <c r="A707" s="1" t="s">
        <v>1922</v>
      </c>
    </row>
    <row r="708" spans="1:1">
      <c r="A708" s="1" t="s">
        <v>2212</v>
      </c>
    </row>
    <row r="709" spans="1:1">
      <c r="A709" s="1" t="s">
        <v>2212</v>
      </c>
    </row>
    <row r="710" spans="1:1">
      <c r="A710" s="1" t="s">
        <v>1922</v>
      </c>
    </row>
    <row r="711" spans="1:1">
      <c r="A711" s="1" t="s">
        <v>1922</v>
      </c>
    </row>
    <row r="712" spans="1:1">
      <c r="A712" s="1" t="s">
        <v>1939</v>
      </c>
    </row>
    <row r="713" spans="1:1">
      <c r="A713" s="1" t="s">
        <v>1922</v>
      </c>
    </row>
    <row r="714" spans="1:1">
      <c r="A714" s="1" t="s">
        <v>1922</v>
      </c>
    </row>
    <row r="715" spans="1:1">
      <c r="A715" s="1" t="s">
        <v>1922</v>
      </c>
    </row>
    <row r="716" spans="1:1">
      <c r="A716" s="1" t="s">
        <v>1922</v>
      </c>
    </row>
    <row r="717" spans="1:1">
      <c r="A717" s="1" t="s">
        <v>1922</v>
      </c>
    </row>
    <row r="718" spans="1:1">
      <c r="A718" s="1" t="s">
        <v>1977</v>
      </c>
    </row>
    <row r="719" spans="1:1">
      <c r="A719" s="1" t="s">
        <v>2181</v>
      </c>
    </row>
    <row r="720" spans="1:1">
      <c r="A720" s="1" t="s">
        <v>1922</v>
      </c>
    </row>
    <row r="721" spans="1:1">
      <c r="A721" s="1" t="s">
        <v>1922</v>
      </c>
    </row>
    <row r="722" spans="1:1">
      <c r="A722" s="1" t="s">
        <v>1922</v>
      </c>
    </row>
    <row r="723" spans="1:1">
      <c r="A723" s="1" t="s">
        <v>1922</v>
      </c>
    </row>
    <row r="724" spans="1:1">
      <c r="A724" s="1" t="s">
        <v>1922</v>
      </c>
    </row>
    <row r="725" spans="1:1">
      <c r="A725" s="1" t="s">
        <v>1922</v>
      </c>
    </row>
    <row r="726" spans="1:1">
      <c r="A726" s="1" t="s">
        <v>1922</v>
      </c>
    </row>
    <row r="727" spans="1:1">
      <c r="A727" s="1" t="s">
        <v>1922</v>
      </c>
    </row>
    <row r="728" spans="1:1">
      <c r="A728" s="1" t="s">
        <v>1922</v>
      </c>
    </row>
    <row r="729" spans="1:1">
      <c r="A729" s="1" t="s">
        <v>1922</v>
      </c>
    </row>
    <row r="730" spans="1:1">
      <c r="A730" s="1" t="s">
        <v>1922</v>
      </c>
    </row>
    <row r="731" spans="1:1">
      <c r="A731" s="1" t="s">
        <v>409</v>
      </c>
    </row>
    <row r="732" spans="1:1">
      <c r="A732" s="1" t="s">
        <v>2064</v>
      </c>
    </row>
    <row r="733" spans="1:1">
      <c r="A733" s="1" t="s">
        <v>1922</v>
      </c>
    </row>
    <row r="734" spans="1:1">
      <c r="A734" s="1" t="s">
        <v>1922</v>
      </c>
    </row>
    <row r="735" spans="1:1">
      <c r="A735" s="1" t="s">
        <v>1922</v>
      </c>
    </row>
    <row r="736" spans="1:1">
      <c r="A736" s="1" t="s">
        <v>96</v>
      </c>
    </row>
    <row r="737" spans="1:1">
      <c r="A737" s="1" t="s">
        <v>1922</v>
      </c>
    </row>
    <row r="738" spans="1:1">
      <c r="A738" s="1" t="s">
        <v>1922</v>
      </c>
    </row>
    <row r="739" spans="1:1">
      <c r="A739" s="1" t="s">
        <v>1922</v>
      </c>
    </row>
    <row r="740" spans="1:1">
      <c r="A740" s="1" t="s">
        <v>1922</v>
      </c>
    </row>
    <row r="741" spans="1:1">
      <c r="A741" s="1" t="s">
        <v>1922</v>
      </c>
    </row>
    <row r="742" spans="1:1">
      <c r="A742" s="1" t="s">
        <v>390</v>
      </c>
    </row>
    <row r="743" spans="1:1">
      <c r="A743" s="1" t="s">
        <v>1922</v>
      </c>
    </row>
    <row r="744" spans="1:1">
      <c r="A744" s="1" t="s">
        <v>1922</v>
      </c>
    </row>
    <row r="745" spans="1:1">
      <c r="A745" s="1" t="s">
        <v>1922</v>
      </c>
    </row>
    <row r="746" spans="1:1">
      <c r="A746" s="1" t="s">
        <v>2211</v>
      </c>
    </row>
    <row r="747" spans="1:1">
      <c r="A747" s="1" t="s">
        <v>1922</v>
      </c>
    </row>
    <row r="748" spans="1:1">
      <c r="A748" s="1" t="s">
        <v>1922</v>
      </c>
    </row>
    <row r="749" spans="1:1">
      <c r="A749" s="1" t="s">
        <v>1922</v>
      </c>
    </row>
    <row r="750" spans="1:1">
      <c r="A750" s="1" t="s">
        <v>2118</v>
      </c>
    </row>
    <row r="751" spans="1:1">
      <c r="A751" s="1" t="s">
        <v>2172</v>
      </c>
    </row>
    <row r="752" spans="1:1">
      <c r="A752" s="1" t="s">
        <v>2172</v>
      </c>
    </row>
    <row r="753" spans="1:1">
      <c r="A753" s="1" t="s">
        <v>2172</v>
      </c>
    </row>
    <row r="754" spans="1:1">
      <c r="A754" s="1" t="s">
        <v>2172</v>
      </c>
    </row>
    <row r="755" spans="1:1">
      <c r="A755" s="1" t="s">
        <v>1922</v>
      </c>
    </row>
    <row r="756" spans="1:1">
      <c r="A756" s="1" t="s">
        <v>1922</v>
      </c>
    </row>
    <row r="757" spans="1:1">
      <c r="A757" s="1" t="s">
        <v>2026</v>
      </c>
    </row>
    <row r="758" spans="1:1">
      <c r="A758" s="1" t="s">
        <v>1922</v>
      </c>
    </row>
    <row r="759" spans="1:1">
      <c r="A759" s="1" t="s">
        <v>49</v>
      </c>
    </row>
    <row r="760" spans="1:1">
      <c r="A760" s="1" t="s">
        <v>2059</v>
      </c>
    </row>
    <row r="761" spans="1:1">
      <c r="A761" s="1" t="s">
        <v>1939</v>
      </c>
    </row>
    <row r="762" spans="1:1">
      <c r="A762" s="1" t="s">
        <v>2371</v>
      </c>
    </row>
    <row r="763" spans="1:1">
      <c r="A763" s="1" t="s">
        <v>2044</v>
      </c>
    </row>
    <row r="764" spans="1:1">
      <c r="A764" s="1" t="s">
        <v>2044</v>
      </c>
    </row>
    <row r="765" spans="1:1">
      <c r="A765" s="1" t="s">
        <v>2059</v>
      </c>
    </row>
    <row r="766" spans="1:1">
      <c r="A766" s="1" t="s">
        <v>2059</v>
      </c>
    </row>
    <row r="767" spans="1:1">
      <c r="A767" s="1" t="s">
        <v>377</v>
      </c>
    </row>
    <row r="768" spans="1:1">
      <c r="A768" s="1" t="s">
        <v>2059</v>
      </c>
    </row>
    <row r="769" spans="1:1">
      <c r="A769" s="1" t="s">
        <v>1922</v>
      </c>
    </row>
    <row r="770" spans="1:1">
      <c r="A770" s="1" t="s">
        <v>351</v>
      </c>
    </row>
    <row r="771" spans="1:1">
      <c r="A771" s="1" t="s">
        <v>1922</v>
      </c>
    </row>
    <row r="772" spans="1:1">
      <c r="A772" s="1" t="s">
        <v>49</v>
      </c>
    </row>
    <row r="773" spans="1:1">
      <c r="A773" s="1" t="s">
        <v>1922</v>
      </c>
    </row>
    <row r="774" spans="1:1">
      <c r="A774" s="1" t="s">
        <v>2059</v>
      </c>
    </row>
    <row r="775" spans="1:1">
      <c r="A775" s="1" t="s">
        <v>1922</v>
      </c>
    </row>
    <row r="776" spans="1:1">
      <c r="A776" s="1" t="s">
        <v>2118</v>
      </c>
    </row>
    <row r="777" spans="1:1">
      <c r="A777" s="1" t="s">
        <v>2172</v>
      </c>
    </row>
    <row r="778" spans="1:1">
      <c r="A778" s="1" t="s">
        <v>2074</v>
      </c>
    </row>
    <row r="779" spans="1:1">
      <c r="A779" s="1" t="s">
        <v>2146</v>
      </c>
    </row>
    <row r="780" spans="1:1">
      <c r="A780" s="1" t="s">
        <v>1922</v>
      </c>
    </row>
    <row r="781" spans="1:1">
      <c r="A781" s="1" t="s">
        <v>1999</v>
      </c>
    </row>
    <row r="782" spans="1:1">
      <c r="A782" s="1" t="s">
        <v>1922</v>
      </c>
    </row>
    <row r="783" spans="1:1">
      <c r="A783" s="1" t="s">
        <v>1922</v>
      </c>
    </row>
    <row r="784" spans="1:1">
      <c r="A784" s="1" t="s">
        <v>1922</v>
      </c>
    </row>
    <row r="785" spans="1:1">
      <c r="A785" s="1" t="s">
        <v>1922</v>
      </c>
    </row>
    <row r="786" spans="1:1">
      <c r="A786" s="1" t="s">
        <v>1922</v>
      </c>
    </row>
    <row r="787" spans="1:1">
      <c r="A787" s="1" t="s">
        <v>1922</v>
      </c>
    </row>
    <row r="788" spans="1:1">
      <c r="A788" s="1" t="s">
        <v>1922</v>
      </c>
    </row>
    <row r="789" spans="1:1">
      <c r="A789" s="1" t="s">
        <v>1922</v>
      </c>
    </row>
    <row r="790" spans="1:1">
      <c r="A790" s="1" t="s">
        <v>1922</v>
      </c>
    </row>
    <row r="791" spans="1:1">
      <c r="A791" s="1" t="s">
        <v>1922</v>
      </c>
    </row>
    <row r="792" spans="1:1">
      <c r="A792" s="1" t="s">
        <v>1922</v>
      </c>
    </row>
    <row r="793" spans="1:1">
      <c r="A793" s="1" t="s">
        <v>1922</v>
      </c>
    </row>
    <row r="794" spans="1:1">
      <c r="A794" s="1" t="s">
        <v>409</v>
      </c>
    </row>
    <row r="795" spans="1:1">
      <c r="A795" s="1" t="s">
        <v>2469</v>
      </c>
    </row>
    <row r="796" spans="1:1">
      <c r="A796" s="1" t="s">
        <v>77</v>
      </c>
    </row>
    <row r="797" spans="1:1">
      <c r="A797" s="1" t="s">
        <v>387</v>
      </c>
    </row>
    <row r="798" spans="1:1">
      <c r="A798" s="1" t="s">
        <v>2476</v>
      </c>
    </row>
    <row r="799" spans="1:1">
      <c r="A799" s="1" t="s">
        <v>1922</v>
      </c>
    </row>
    <row r="800" spans="1:1">
      <c r="A800" s="1" t="s">
        <v>1922</v>
      </c>
    </row>
    <row r="801" spans="1:1">
      <c r="A801" s="1" t="s">
        <v>1922</v>
      </c>
    </row>
    <row r="802" spans="1:1">
      <c r="A802" s="1" t="s">
        <v>1922</v>
      </c>
    </row>
    <row r="803" spans="1:1">
      <c r="A803" s="1" t="s">
        <v>2100</v>
      </c>
    </row>
    <row r="804" spans="1:1">
      <c r="A804" s="1" t="s">
        <v>2493</v>
      </c>
    </row>
    <row r="805" spans="1:1">
      <c r="A805" s="1" t="s">
        <v>1922</v>
      </c>
    </row>
    <row r="806" spans="1:1">
      <c r="A806" s="1" t="s">
        <v>1922</v>
      </c>
    </row>
    <row r="807" spans="1:1">
      <c r="A807" s="1" t="s">
        <v>2507</v>
      </c>
    </row>
    <row r="808" spans="1:1">
      <c r="A808" s="1" t="s">
        <v>1922</v>
      </c>
    </row>
    <row r="809" spans="1:1">
      <c r="A809" s="1" t="s">
        <v>90</v>
      </c>
    </row>
    <row r="810" spans="1:1">
      <c r="A810" s="1" t="s">
        <v>1922</v>
      </c>
    </row>
    <row r="811" spans="1:1">
      <c r="A811" s="1" t="s">
        <v>2146</v>
      </c>
    </row>
    <row r="812" spans="1:1">
      <c r="A812" s="1" t="s">
        <v>2172</v>
      </c>
    </row>
    <row r="813" spans="1:1">
      <c r="A813" s="1" t="s">
        <v>2059</v>
      </c>
    </row>
    <row r="814" spans="1:1">
      <c r="A814" s="1" t="s">
        <v>1950</v>
      </c>
    </row>
    <row r="815" spans="1:1">
      <c r="A815" s="1" t="s">
        <v>1922</v>
      </c>
    </row>
    <row r="816" spans="1:1">
      <c r="A816" s="1" t="s">
        <v>1922</v>
      </c>
    </row>
    <row r="817" spans="1:1">
      <c r="A817" s="1" t="s">
        <v>1922</v>
      </c>
    </row>
    <row r="818" spans="1:1">
      <c r="A818" s="1" t="s">
        <v>1922</v>
      </c>
    </row>
    <row r="819" spans="1:1">
      <c r="A819" s="1" t="s">
        <v>1977</v>
      </c>
    </row>
    <row r="820" spans="1:1">
      <c r="A820" s="1" t="s">
        <v>1922</v>
      </c>
    </row>
    <row r="821" spans="1:1">
      <c r="A821" s="1" t="s">
        <v>1922</v>
      </c>
    </row>
    <row r="822" spans="1:1">
      <c r="A822" s="1" t="s">
        <v>1922</v>
      </c>
    </row>
    <row r="823" spans="1:1">
      <c r="A823" s="1" t="s">
        <v>1922</v>
      </c>
    </row>
    <row r="824" spans="1:1">
      <c r="A824" s="1" t="s">
        <v>1922</v>
      </c>
    </row>
    <row r="825" spans="1:1">
      <c r="A825" s="1" t="s">
        <v>1922</v>
      </c>
    </row>
    <row r="826" spans="1:1">
      <c r="A826" s="1" t="s">
        <v>1922</v>
      </c>
    </row>
    <row r="827" spans="1:1">
      <c r="A827" s="1" t="s">
        <v>1999</v>
      </c>
    </row>
    <row r="828" spans="1:1">
      <c r="A828" s="1" t="s">
        <v>1922</v>
      </c>
    </row>
    <row r="829" spans="1:1">
      <c r="A829" s="1" t="s">
        <v>1922</v>
      </c>
    </row>
    <row r="830" spans="1:1">
      <c r="A830" s="1" t="s">
        <v>99</v>
      </c>
    </row>
    <row r="831" spans="1:1">
      <c r="A831" s="1" t="s">
        <v>351</v>
      </c>
    </row>
    <row r="832" spans="1:1">
      <c r="A832" s="1" t="s">
        <v>2002</v>
      </c>
    </row>
    <row r="833" spans="1:1">
      <c r="A833" s="1" t="s">
        <v>1939</v>
      </c>
    </row>
    <row r="834" spans="1:1">
      <c r="A834" s="1" t="s">
        <v>1952</v>
      </c>
    </row>
    <row r="835" spans="1:1">
      <c r="A835" s="1" t="s">
        <v>1922</v>
      </c>
    </row>
    <row r="836" spans="1:1">
      <c r="A836" s="1" t="s">
        <v>1922</v>
      </c>
    </row>
    <row r="837" spans="1:1">
      <c r="A837" s="1" t="s">
        <v>2026</v>
      </c>
    </row>
    <row r="838" spans="1:1">
      <c r="A838" s="1" t="s">
        <v>1922</v>
      </c>
    </row>
    <row r="839" spans="1:1">
      <c r="A839" s="1" t="s">
        <v>1922</v>
      </c>
    </row>
    <row r="840" spans="1:1">
      <c r="A840" s="1" t="s">
        <v>1922</v>
      </c>
    </row>
    <row r="841" spans="1:1">
      <c r="A841" s="1" t="s">
        <v>1922</v>
      </c>
    </row>
    <row r="842" spans="1:1">
      <c r="A842" s="1" t="s">
        <v>1922</v>
      </c>
    </row>
    <row r="843" spans="1:1">
      <c r="A843" s="1" t="s">
        <v>1922</v>
      </c>
    </row>
    <row r="844" spans="1:1">
      <c r="A844" s="1" t="s">
        <v>1922</v>
      </c>
    </row>
    <row r="845" spans="1:1">
      <c r="A845" s="1" t="s">
        <v>1922</v>
      </c>
    </row>
    <row r="846" spans="1:1">
      <c r="A846" s="1" t="s">
        <v>1922</v>
      </c>
    </row>
    <row r="847" spans="1:1">
      <c r="A847" s="1" t="s">
        <v>1922</v>
      </c>
    </row>
    <row r="848" spans="1:1">
      <c r="A848" s="1" t="s">
        <v>1922</v>
      </c>
    </row>
    <row r="849" spans="1:1">
      <c r="A849" s="1" t="s">
        <v>2064</v>
      </c>
    </row>
    <row r="850" spans="1:1">
      <c r="A850" s="1" t="s">
        <v>2064</v>
      </c>
    </row>
    <row r="851" spans="1:1">
      <c r="A851" s="1" t="s">
        <v>1922</v>
      </c>
    </row>
    <row r="852" spans="1:1">
      <c r="A852" s="1" t="s">
        <v>1922</v>
      </c>
    </row>
    <row r="853" spans="1:1">
      <c r="A853" s="1" t="s">
        <v>1922</v>
      </c>
    </row>
    <row r="854" spans="1:1">
      <c r="A854" s="1" t="s">
        <v>1922</v>
      </c>
    </row>
    <row r="855" spans="1:1">
      <c r="A855" s="1" t="s">
        <v>1922</v>
      </c>
    </row>
    <row r="856" spans="1:1">
      <c r="A856" s="1" t="s">
        <v>1922</v>
      </c>
    </row>
    <row r="857" spans="1:1">
      <c r="A857" s="1" t="s">
        <v>1922</v>
      </c>
    </row>
    <row r="858" spans="1:1">
      <c r="A858" s="1" t="s">
        <v>1922</v>
      </c>
    </row>
    <row r="859" spans="1:1">
      <c r="A859" s="1" t="s">
        <v>1922</v>
      </c>
    </row>
    <row r="860" spans="1:1">
      <c r="A860" s="1" t="s">
        <v>2100</v>
      </c>
    </row>
    <row r="861" spans="1:1">
      <c r="A861" s="1" t="s">
        <v>1922</v>
      </c>
    </row>
    <row r="862" spans="1:1">
      <c r="A862" s="1" t="s">
        <v>1922</v>
      </c>
    </row>
    <row r="863" spans="1:1">
      <c r="A863" s="1" t="s">
        <v>2111</v>
      </c>
    </row>
    <row r="864" spans="1:1">
      <c r="A864" s="1" t="s">
        <v>1922</v>
      </c>
    </row>
    <row r="865" spans="1:1">
      <c r="A865" s="1" t="s">
        <v>2119</v>
      </c>
    </row>
    <row r="866" spans="1:1">
      <c r="A866" s="1" t="s">
        <v>1922</v>
      </c>
    </row>
    <row r="867" spans="1:1">
      <c r="A867" s="1" t="s">
        <v>2125</v>
      </c>
    </row>
    <row r="868" spans="1:1">
      <c r="A868" s="1" t="s">
        <v>2125</v>
      </c>
    </row>
    <row r="869" spans="1:1">
      <c r="A869" s="1" t="s">
        <v>2129</v>
      </c>
    </row>
    <row r="870" spans="1:1">
      <c r="A870" s="1" t="s">
        <v>2125</v>
      </c>
    </row>
    <row r="871" spans="1:1">
      <c r="A871" s="1" t="s">
        <v>2125</v>
      </c>
    </row>
    <row r="872" spans="1:1">
      <c r="A872" s="1" t="s">
        <v>2125</v>
      </c>
    </row>
    <row r="873" spans="1:1">
      <c r="A873" s="1" t="s">
        <v>1922</v>
      </c>
    </row>
    <row r="874" spans="1:1">
      <c r="A874" s="1" t="s">
        <v>2146</v>
      </c>
    </row>
    <row r="875" spans="1:1">
      <c r="A875" s="1" t="s">
        <v>2145</v>
      </c>
    </row>
    <row r="876" spans="1:1">
      <c r="A876" s="1" t="s">
        <v>1939</v>
      </c>
    </row>
    <row r="877" spans="1:1">
      <c r="A877" s="1" t="s">
        <v>1976</v>
      </c>
    </row>
    <row r="878" spans="1:1">
      <c r="A878" s="1" t="s">
        <v>2149</v>
      </c>
    </row>
    <row r="879" spans="1:1">
      <c r="A879" s="1" t="s">
        <v>2160</v>
      </c>
    </row>
    <row r="880" spans="1:1">
      <c r="A880" s="1" t="s">
        <v>1922</v>
      </c>
    </row>
    <row r="881" spans="1:1">
      <c r="A881" s="1" t="s">
        <v>1955</v>
      </c>
    </row>
    <row r="882" spans="1:1">
      <c r="A882" s="1" t="s">
        <v>1922</v>
      </c>
    </row>
    <row r="883" spans="1:1">
      <c r="A883" s="1" t="s">
        <v>2145</v>
      </c>
    </row>
    <row r="884" spans="1:1">
      <c r="A884" s="1" t="s">
        <v>1922</v>
      </c>
    </row>
    <row r="885" spans="1:1">
      <c r="A885" s="1" t="s">
        <v>1999</v>
      </c>
    </row>
    <row r="886" spans="1:1">
      <c r="A886" s="1" t="s">
        <v>1922</v>
      </c>
    </row>
    <row r="887" spans="1:1">
      <c r="A887" s="1" t="s">
        <v>1922</v>
      </c>
    </row>
    <row r="888" spans="1:1">
      <c r="A888" s="1" t="s">
        <v>1922</v>
      </c>
    </row>
    <row r="889" spans="1:1">
      <c r="A889" s="1" t="s">
        <v>1922</v>
      </c>
    </row>
    <row r="890" spans="1:1">
      <c r="A890" s="1" t="s">
        <v>1922</v>
      </c>
    </row>
    <row r="891" spans="1:1">
      <c r="A891" s="1" t="s">
        <v>1922</v>
      </c>
    </row>
    <row r="892" spans="1:1">
      <c r="A892" s="1" t="s">
        <v>1922</v>
      </c>
    </row>
    <row r="893" spans="1:1">
      <c r="A893" s="1" t="s">
        <v>1922</v>
      </c>
    </row>
    <row r="894" spans="1:1">
      <c r="A894" s="1" t="s">
        <v>2206</v>
      </c>
    </row>
    <row r="895" spans="1:1">
      <c r="A895" s="1" t="s">
        <v>2206</v>
      </c>
    </row>
    <row r="896" spans="1:1">
      <c r="A896" s="1" t="s">
        <v>1922</v>
      </c>
    </row>
    <row r="897" spans="1:1">
      <c r="A897" s="1" t="s">
        <v>1922</v>
      </c>
    </row>
    <row r="898" spans="1:1">
      <c r="A898" s="1" t="s">
        <v>1922</v>
      </c>
    </row>
    <row r="899" spans="1:1">
      <c r="A899" s="1" t="s">
        <v>1922</v>
      </c>
    </row>
    <row r="900" spans="1:1">
      <c r="A900" s="1" t="s">
        <v>1922</v>
      </c>
    </row>
    <row r="901" spans="1:1">
      <c r="A901" s="1" t="s">
        <v>1922</v>
      </c>
    </row>
    <row r="902" spans="1:1">
      <c r="A902" s="1" t="s">
        <v>1922</v>
      </c>
    </row>
    <row r="903" spans="1:1">
      <c r="A903" s="1" t="s">
        <v>1922</v>
      </c>
    </row>
    <row r="904" spans="1:1">
      <c r="A904" s="1" t="s">
        <v>1922</v>
      </c>
    </row>
    <row r="905" spans="1:1">
      <c r="A905" s="1" t="s">
        <v>1977</v>
      </c>
    </row>
    <row r="906" spans="1:1">
      <c r="A906" s="1" t="s">
        <v>1922</v>
      </c>
    </row>
    <row r="907" spans="1:1">
      <c r="A907" s="1" t="s">
        <v>1922</v>
      </c>
    </row>
    <row r="908" spans="1:1">
      <c r="A908" s="1" t="s">
        <v>1922</v>
      </c>
    </row>
    <row r="909" spans="1:1">
      <c r="A909" s="1" t="s">
        <v>1922</v>
      </c>
    </row>
    <row r="910" spans="1:1">
      <c r="A910" s="1" t="s">
        <v>1922</v>
      </c>
    </row>
    <row r="911" spans="1:1">
      <c r="A911" s="1" t="s">
        <v>1922</v>
      </c>
    </row>
    <row r="912" spans="1:1">
      <c r="A912" s="1" t="s">
        <v>1922</v>
      </c>
    </row>
    <row r="913" spans="1:1">
      <c r="A913" s="1" t="s">
        <v>1922</v>
      </c>
    </row>
    <row r="914" spans="1:1">
      <c r="A914" s="1" t="s">
        <v>1922</v>
      </c>
    </row>
    <row r="915" spans="1:1">
      <c r="A915" s="1" t="s">
        <v>1922</v>
      </c>
    </row>
    <row r="916" spans="1:1">
      <c r="A916" s="1" t="s">
        <v>1922</v>
      </c>
    </row>
    <row r="917" spans="1:1">
      <c r="A917" s="1" t="s">
        <v>77</v>
      </c>
    </row>
    <row r="918" spans="1:1">
      <c r="A918" s="1" t="s">
        <v>2065</v>
      </c>
    </row>
    <row r="919" spans="1:1">
      <c r="A919" s="1" t="s">
        <v>1922</v>
      </c>
    </row>
    <row r="920" spans="1:1">
      <c r="A920" s="1" t="s">
        <v>1922</v>
      </c>
    </row>
    <row r="921" spans="1:1">
      <c r="A921" s="1" t="s">
        <v>1922</v>
      </c>
    </row>
    <row r="922" spans="1:1">
      <c r="A922" s="1" t="s">
        <v>2300</v>
      </c>
    </row>
    <row r="923" spans="1:1">
      <c r="A923" s="1" t="s">
        <v>1922</v>
      </c>
    </row>
    <row r="924" spans="1:1">
      <c r="A924" s="1" t="s">
        <v>1922</v>
      </c>
    </row>
    <row r="925" spans="1:1">
      <c r="A925" s="1" t="s">
        <v>1922</v>
      </c>
    </row>
    <row r="926" spans="1:1">
      <c r="A926" s="1" t="s">
        <v>1922</v>
      </c>
    </row>
    <row r="927" spans="1:1">
      <c r="A927" s="1" t="s">
        <v>1922</v>
      </c>
    </row>
    <row r="928" spans="1:1">
      <c r="A928" s="1" t="s">
        <v>1922</v>
      </c>
    </row>
    <row r="929" spans="1:1">
      <c r="A929" s="1" t="s">
        <v>1922</v>
      </c>
    </row>
    <row r="930" spans="1:1">
      <c r="A930" s="1" t="s">
        <v>1922</v>
      </c>
    </row>
    <row r="931" spans="1:1">
      <c r="A931" s="1" t="s">
        <v>1922</v>
      </c>
    </row>
    <row r="932" spans="1:1">
      <c r="A932" s="1" t="s">
        <v>2212</v>
      </c>
    </row>
    <row r="933" spans="1:1">
      <c r="A933" s="1" t="s">
        <v>1922</v>
      </c>
    </row>
    <row r="934" spans="1:1">
      <c r="A934" s="1" t="s">
        <v>1922</v>
      </c>
    </row>
    <row r="935" spans="1:1">
      <c r="A935" s="1" t="s">
        <v>1922</v>
      </c>
    </row>
    <row r="936" spans="1:1">
      <c r="A936" s="1" t="s">
        <v>2026</v>
      </c>
    </row>
    <row r="937" spans="1:1">
      <c r="A937" s="1" t="s">
        <v>1922</v>
      </c>
    </row>
    <row r="938" spans="1:1">
      <c r="A938" s="1" t="s">
        <v>1922</v>
      </c>
    </row>
    <row r="939" spans="1:1">
      <c r="A939" s="1" t="s">
        <v>1922</v>
      </c>
    </row>
    <row r="940" spans="1:1">
      <c r="A940" s="1" t="s">
        <v>1922</v>
      </c>
    </row>
    <row r="941" spans="1:1">
      <c r="A941" s="1" t="s">
        <v>1922</v>
      </c>
    </row>
    <row r="942" spans="1:1">
      <c r="A942" s="1" t="s">
        <v>1922</v>
      </c>
    </row>
    <row r="943" spans="1:1">
      <c r="A943" s="1" t="s">
        <v>2206</v>
      </c>
    </row>
    <row r="944" spans="1:1">
      <c r="A944" s="1" t="s">
        <v>1922</v>
      </c>
    </row>
    <row r="945" spans="1:1">
      <c r="A945" s="1" t="s">
        <v>2059</v>
      </c>
    </row>
    <row r="946" spans="1:1">
      <c r="A946" s="1" t="s">
        <v>1922</v>
      </c>
    </row>
    <row r="947" spans="1:1">
      <c r="A947" s="1" t="s">
        <v>2074</v>
      </c>
    </row>
    <row r="948" spans="1:1">
      <c r="A948" s="1" t="s">
        <v>1976</v>
      </c>
    </row>
    <row r="949" spans="1:1">
      <c r="A949" s="1" t="s">
        <v>1922</v>
      </c>
    </row>
    <row r="950" spans="1:1">
      <c r="A950" s="1" t="s">
        <v>1922</v>
      </c>
    </row>
    <row r="951" spans="1:1">
      <c r="A951" s="1" t="s">
        <v>1922</v>
      </c>
    </row>
    <row r="952" spans="1:1">
      <c r="A952" s="1" t="s">
        <v>1922</v>
      </c>
    </row>
    <row r="953" spans="1:1">
      <c r="A953" s="1" t="s">
        <v>2059</v>
      </c>
    </row>
    <row r="954" spans="1:1">
      <c r="A954" s="1" t="s">
        <v>1922</v>
      </c>
    </row>
    <row r="955" spans="1:1">
      <c r="A955" s="1" t="s">
        <v>1922</v>
      </c>
    </row>
    <row r="956" spans="1:1">
      <c r="A956" s="1" t="s">
        <v>2011</v>
      </c>
    </row>
    <row r="957" spans="1:1">
      <c r="A957" s="1" t="s">
        <v>1922</v>
      </c>
    </row>
    <row r="958" spans="1:1">
      <c r="A958" s="1" t="s">
        <v>2059</v>
      </c>
    </row>
    <row r="959" spans="1:1">
      <c r="A959" s="1" t="s">
        <v>1922</v>
      </c>
    </row>
    <row r="960" spans="1:1">
      <c r="A960" s="1" t="s">
        <v>1922</v>
      </c>
    </row>
    <row r="961" spans="1:1">
      <c r="A961" s="1" t="s">
        <v>1922</v>
      </c>
    </row>
    <row r="962" spans="1:1">
      <c r="A962" s="1" t="s">
        <v>2026</v>
      </c>
    </row>
    <row r="963" spans="1:1">
      <c r="A963" s="1" t="s">
        <v>1922</v>
      </c>
    </row>
    <row r="964" spans="1:1">
      <c r="A964" s="1" t="s">
        <v>1922</v>
      </c>
    </row>
    <row r="965" spans="1:1">
      <c r="A965" s="1" t="s">
        <v>1977</v>
      </c>
    </row>
    <row r="966" spans="1:1">
      <c r="A966" s="1" t="s">
        <v>1922</v>
      </c>
    </row>
    <row r="967" spans="1:1">
      <c r="A967" s="1" t="s">
        <v>1977</v>
      </c>
    </row>
    <row r="968" spans="1:1">
      <c r="A968" s="1" t="s">
        <v>1922</v>
      </c>
    </row>
    <row r="969" spans="1:1">
      <c r="A969" s="1" t="s">
        <v>1922</v>
      </c>
    </row>
    <row r="970" spans="1:1">
      <c r="A970" s="1" t="s">
        <v>1922</v>
      </c>
    </row>
    <row r="971" spans="1:1">
      <c r="A971" s="1" t="s">
        <v>1922</v>
      </c>
    </row>
    <row r="972" spans="1:1">
      <c r="A972" s="1" t="s">
        <v>1922</v>
      </c>
    </row>
    <row r="973" spans="1:1">
      <c r="A973" s="1" t="s">
        <v>1922</v>
      </c>
    </row>
    <row r="974" spans="1:1">
      <c r="A974" s="1" t="s">
        <v>1922</v>
      </c>
    </row>
    <row r="975" spans="1:1">
      <c r="A975" s="1" t="s">
        <v>1922</v>
      </c>
    </row>
    <row r="976" spans="1:1">
      <c r="A976" s="1" t="s">
        <v>1922</v>
      </c>
    </row>
    <row r="977" spans="1:1">
      <c r="A977" s="1" t="s">
        <v>1922</v>
      </c>
    </row>
    <row r="978" spans="1:1">
      <c r="A978" s="1" t="s">
        <v>1922</v>
      </c>
    </row>
    <row r="979" spans="1:1">
      <c r="A979" s="1" t="s">
        <v>1922</v>
      </c>
    </row>
    <row r="980" spans="1:1">
      <c r="A980" s="1" t="s">
        <v>1922</v>
      </c>
    </row>
    <row r="981" spans="1:1">
      <c r="A981" s="1" t="s">
        <v>2026</v>
      </c>
    </row>
    <row r="982" spans="1:1">
      <c r="A982" s="1" t="s">
        <v>387</v>
      </c>
    </row>
    <row r="983" spans="1:1">
      <c r="A983" s="1" t="s">
        <v>2017</v>
      </c>
    </row>
    <row r="984" spans="1:1">
      <c r="A984" s="1" t="s">
        <v>1922</v>
      </c>
    </row>
    <row r="985" spans="1:1">
      <c r="A985" s="1" t="s">
        <v>1922</v>
      </c>
    </row>
    <row r="986" spans="1:1">
      <c r="A986" s="1" t="s">
        <v>1922</v>
      </c>
    </row>
    <row r="987" spans="1:1">
      <c r="A987" s="1" t="s">
        <v>1922</v>
      </c>
    </row>
    <row r="988" spans="1:1">
      <c r="A988" s="1" t="s">
        <v>1922</v>
      </c>
    </row>
    <row r="989" spans="1:1">
      <c r="A989" s="1" t="s">
        <v>1922</v>
      </c>
    </row>
    <row r="990" spans="1:1">
      <c r="A990" s="1" t="s">
        <v>1955</v>
      </c>
    </row>
    <row r="991" spans="1:1">
      <c r="A991" s="1" t="s">
        <v>1922</v>
      </c>
    </row>
    <row r="992" spans="1:1">
      <c r="A992" s="1" t="s">
        <v>1922</v>
      </c>
    </row>
    <row r="993" spans="1:1">
      <c r="A993" s="1" t="s">
        <v>1922</v>
      </c>
    </row>
    <row r="994" spans="1:1">
      <c r="A994" s="1" t="s">
        <v>1922</v>
      </c>
    </row>
    <row r="995" spans="1:1">
      <c r="A995" s="1" t="s">
        <v>2145</v>
      </c>
    </row>
    <row r="996" spans="1:1">
      <c r="A996" s="1" t="s">
        <v>1922</v>
      </c>
    </row>
    <row r="997" spans="1:1">
      <c r="A997" s="1" t="s">
        <v>1977</v>
      </c>
    </row>
    <row r="998" spans="1:1">
      <c r="A998" s="1" t="s">
        <v>392</v>
      </c>
    </row>
    <row r="999" spans="1:1">
      <c r="A999" s="1" t="s">
        <v>398</v>
      </c>
    </row>
    <row r="1000" spans="1:1">
      <c r="A1000" s="1" t="s">
        <v>1951</v>
      </c>
    </row>
    <row r="1001" spans="1:1">
      <c r="A1001" s="1" t="s">
        <v>1952</v>
      </c>
    </row>
    <row r="1002" spans="1:1">
      <c r="A1002" s="1" t="s">
        <v>351</v>
      </c>
    </row>
    <row r="1003" spans="1:1">
      <c r="A1003" s="1" t="s">
        <v>1953</v>
      </c>
    </row>
    <row r="1004" spans="1:1">
      <c r="A1004" s="1" t="s">
        <v>1954</v>
      </c>
    </row>
    <row r="1005" spans="1:1">
      <c r="A1005" s="1" t="s">
        <v>1955</v>
      </c>
    </row>
    <row r="1006" spans="1:1">
      <c r="A1006" s="1" t="s">
        <v>1955</v>
      </c>
    </row>
    <row r="1007" spans="1:1">
      <c r="A1007" s="1" t="s">
        <v>1954</v>
      </c>
    </row>
    <row r="1008" spans="1:1">
      <c r="A1008" s="1" t="s">
        <v>1998</v>
      </c>
    </row>
    <row r="1009" spans="1:1">
      <c r="A1009" s="1" t="s">
        <v>99</v>
      </c>
    </row>
    <row r="1010" spans="1:1">
      <c r="A1010" s="1" t="s">
        <v>2011</v>
      </c>
    </row>
    <row r="1011" spans="1:1">
      <c r="A1011" s="1" t="s">
        <v>1922</v>
      </c>
    </row>
    <row r="1012" spans="1:1">
      <c r="A1012" s="1" t="s">
        <v>2017</v>
      </c>
    </row>
    <row r="1013" spans="1:1">
      <c r="A1013" s="1" t="s">
        <v>1922</v>
      </c>
    </row>
    <row r="1014" spans="1:1">
      <c r="A1014" s="1" t="s">
        <v>1922</v>
      </c>
    </row>
    <row r="1015" spans="1:1">
      <c r="A1015" s="1" t="s">
        <v>1939</v>
      </c>
    </row>
    <row r="1016" spans="1:1">
      <c r="A1016" s="1" t="s">
        <v>1922</v>
      </c>
    </row>
    <row r="1017" spans="1:1">
      <c r="A1017" s="1" t="s">
        <v>1922</v>
      </c>
    </row>
    <row r="1018" spans="1:1">
      <c r="A1018" s="1" t="s">
        <v>1922</v>
      </c>
    </row>
    <row r="1019" spans="1:1">
      <c r="A1019" s="1" t="s">
        <v>1922</v>
      </c>
    </row>
    <row r="1020" spans="1:1">
      <c r="A1020" s="1" t="s">
        <v>1922</v>
      </c>
    </row>
    <row r="1021" spans="1:1">
      <c r="A1021" s="1" t="s">
        <v>1922</v>
      </c>
    </row>
    <row r="1022" spans="1:1">
      <c r="A1022" s="1" t="s">
        <v>1922</v>
      </c>
    </row>
    <row r="1023" spans="1:1">
      <c r="A1023" s="1" t="s">
        <v>1922</v>
      </c>
    </row>
    <row r="1024" spans="1:1">
      <c r="A1024" s="1" t="s">
        <v>1922</v>
      </c>
    </row>
    <row r="1025" spans="1:1">
      <c r="A1025" s="1" t="s">
        <v>1922</v>
      </c>
    </row>
    <row r="1026" spans="1:1">
      <c r="A1026" s="1" t="s">
        <v>1922</v>
      </c>
    </row>
    <row r="1027" spans="1:1">
      <c r="A1027" s="1" t="s">
        <v>2065</v>
      </c>
    </row>
    <row r="1028" spans="1:1">
      <c r="A1028" s="1" t="s">
        <v>2066</v>
      </c>
    </row>
    <row r="1029" spans="1:1">
      <c r="A1029" s="1" t="s">
        <v>2067</v>
      </c>
    </row>
    <row r="1030" spans="1:1">
      <c r="A1030" s="1" t="s">
        <v>1939</v>
      </c>
    </row>
    <row r="1031" spans="1:1">
      <c r="A1031" s="1" t="s">
        <v>1922</v>
      </c>
    </row>
    <row r="1032" spans="1:1">
      <c r="A1032" s="1" t="s">
        <v>1922</v>
      </c>
    </row>
    <row r="1033" spans="1:1">
      <c r="A1033" s="1" t="s">
        <v>1922</v>
      </c>
    </row>
    <row r="1034" spans="1:1">
      <c r="A1034" s="1" t="s">
        <v>1922</v>
      </c>
    </row>
    <row r="1035" spans="1:1">
      <c r="A1035" s="1" t="s">
        <v>1922</v>
      </c>
    </row>
    <row r="1036" spans="1:1">
      <c r="A1036" s="1" t="s">
        <v>1922</v>
      </c>
    </row>
    <row r="1037" spans="1:1">
      <c r="A1037" s="1" t="s">
        <v>1922</v>
      </c>
    </row>
    <row r="1038" spans="1:1">
      <c r="A1038" s="1" t="s">
        <v>1922</v>
      </c>
    </row>
    <row r="1039" spans="1:1">
      <c r="A1039" s="1" t="s">
        <v>1922</v>
      </c>
    </row>
    <row r="1040" spans="1:1">
      <c r="A1040" s="1" t="s">
        <v>1922</v>
      </c>
    </row>
    <row r="1041" spans="1:1">
      <c r="A1041" s="1" t="s">
        <v>2011</v>
      </c>
    </row>
    <row r="1042" spans="1:1">
      <c r="A1042" s="1" t="s">
        <v>1922</v>
      </c>
    </row>
    <row r="1043" spans="1:1">
      <c r="A1043" s="1" t="s">
        <v>1939</v>
      </c>
    </row>
    <row r="1044" spans="1:1">
      <c r="A1044" s="1" t="s">
        <v>1922</v>
      </c>
    </row>
    <row r="1045" spans="1:1">
      <c r="A1045" s="1" t="s">
        <v>1922</v>
      </c>
    </row>
    <row r="1046" spans="1:1">
      <c r="A1046" s="1" t="s">
        <v>1922</v>
      </c>
    </row>
    <row r="1047" spans="1:1">
      <c r="A1047" s="1" t="s">
        <v>2125</v>
      </c>
    </row>
    <row r="1048" spans="1:1">
      <c r="A1048" s="1" t="s">
        <v>1922</v>
      </c>
    </row>
    <row r="1049" spans="1:1">
      <c r="A1049" s="1" t="s">
        <v>1922</v>
      </c>
    </row>
    <row r="1050" spans="1:1">
      <c r="A1050" s="1" t="s">
        <v>1922</v>
      </c>
    </row>
    <row r="1051" spans="1:1">
      <c r="A1051" s="1" t="s">
        <v>1922</v>
      </c>
    </row>
    <row r="1052" spans="1:1">
      <c r="A1052" s="1" t="s">
        <v>1922</v>
      </c>
    </row>
    <row r="1053" spans="1:1">
      <c r="A1053" s="1" t="s">
        <v>2146</v>
      </c>
    </row>
    <row r="1054" spans="1:1">
      <c r="A1054" s="1" t="s">
        <v>1922</v>
      </c>
    </row>
    <row r="1055" spans="1:1">
      <c r="A1055" s="1" t="s">
        <v>2149</v>
      </c>
    </row>
    <row r="1056" spans="1:1">
      <c r="A1056" s="1" t="s">
        <v>2145</v>
      </c>
    </row>
    <row r="1057" spans="1:1">
      <c r="A1057" s="1" t="s">
        <v>2145</v>
      </c>
    </row>
    <row r="1058" spans="1:1">
      <c r="A1058" s="1" t="s">
        <v>1922</v>
      </c>
    </row>
    <row r="1059" spans="1:1">
      <c r="A1059" s="1" t="s">
        <v>2129</v>
      </c>
    </row>
    <row r="1060" spans="1:1">
      <c r="A1060" s="1" t="s">
        <v>1922</v>
      </c>
    </row>
    <row r="1061" spans="1:1">
      <c r="A1061" s="1" t="s">
        <v>2146</v>
      </c>
    </row>
    <row r="1062" spans="1:1">
      <c r="A1062" s="1" t="s">
        <v>1922</v>
      </c>
    </row>
    <row r="1063" spans="1:1">
      <c r="A1063" s="1" t="s">
        <v>2125</v>
      </c>
    </row>
    <row r="1064" spans="1:1">
      <c r="A1064" s="1" t="s">
        <v>2145</v>
      </c>
    </row>
    <row r="1065" spans="1:1">
      <c r="A1065" s="1" t="s">
        <v>2146</v>
      </c>
    </row>
    <row r="1066" spans="1:1">
      <c r="A1066" s="1" t="s">
        <v>2146</v>
      </c>
    </row>
    <row r="1067" spans="1:1">
      <c r="A1067" s="1" t="s">
        <v>1922</v>
      </c>
    </row>
    <row r="1068" spans="1:1">
      <c r="A1068" s="1" t="s">
        <v>1922</v>
      </c>
    </row>
    <row r="1069" spans="1:1">
      <c r="A1069" s="1" t="s">
        <v>1922</v>
      </c>
    </row>
    <row r="1070" spans="1:1">
      <c r="A1070" s="1" t="s">
        <v>1922</v>
      </c>
    </row>
    <row r="1071" spans="1:1">
      <c r="A1071" s="1" t="s">
        <v>1922</v>
      </c>
    </row>
    <row r="1072" spans="1:1">
      <c r="A1072" s="1" t="s">
        <v>1922</v>
      </c>
    </row>
    <row r="1073" spans="1:1">
      <c r="A1073" s="1" t="s">
        <v>1922</v>
      </c>
    </row>
    <row r="1074" spans="1:1">
      <c r="A1074" s="1" t="s">
        <v>1922</v>
      </c>
    </row>
    <row r="1075" spans="1:1">
      <c r="A1075" s="1" t="s">
        <v>1922</v>
      </c>
    </row>
    <row r="1076" spans="1:1">
      <c r="A1076" s="1" t="s">
        <v>1922</v>
      </c>
    </row>
    <row r="1077" spans="1:1">
      <c r="A1077" s="1" t="s">
        <v>1922</v>
      </c>
    </row>
    <row r="1078" spans="1:1">
      <c r="A1078" s="1" t="s">
        <v>1922</v>
      </c>
    </row>
    <row r="1079" spans="1:1">
      <c r="A1079" s="1" t="s">
        <v>1922</v>
      </c>
    </row>
    <row r="1080" spans="1:1">
      <c r="A1080" s="1" t="s">
        <v>1922</v>
      </c>
    </row>
    <row r="1081" spans="1:1">
      <c r="A1081" s="1" t="s">
        <v>1922</v>
      </c>
    </row>
    <row r="1082" spans="1:1">
      <c r="A1082" s="1" t="s">
        <v>1922</v>
      </c>
    </row>
    <row r="1083" spans="1:1">
      <c r="A1083" s="1" t="s">
        <v>1922</v>
      </c>
    </row>
    <row r="1084" spans="1:1">
      <c r="A1084" s="1" t="s">
        <v>1922</v>
      </c>
    </row>
    <row r="1085" spans="1:1">
      <c r="A1085" s="1" t="s">
        <v>1922</v>
      </c>
    </row>
    <row r="1086" spans="1:1">
      <c r="A1086" s="1" t="s">
        <v>1922</v>
      </c>
    </row>
    <row r="1087" spans="1:1">
      <c r="A1087" s="1" t="s">
        <v>1922</v>
      </c>
    </row>
    <row r="1088" spans="1:1">
      <c r="A1088" s="1" t="s">
        <v>1922</v>
      </c>
    </row>
    <row r="1089" spans="1:1">
      <c r="A1089" s="1" t="s">
        <v>1922</v>
      </c>
    </row>
    <row r="1090" spans="1:1">
      <c r="A1090" s="1" t="s">
        <v>1922</v>
      </c>
    </row>
    <row r="1091" spans="1:1">
      <c r="A1091" s="1" t="s">
        <v>1922</v>
      </c>
    </row>
    <row r="1092" spans="1:1">
      <c r="A1092" s="1" t="s">
        <v>1922</v>
      </c>
    </row>
    <row r="1093" spans="1:1">
      <c r="A1093" s="1" t="s">
        <v>1922</v>
      </c>
    </row>
    <row r="1094" spans="1:1">
      <c r="A1094" s="1" t="s">
        <v>1922</v>
      </c>
    </row>
    <row r="1095" spans="1:1">
      <c r="A1095" s="1" t="s">
        <v>387</v>
      </c>
    </row>
    <row r="1096" spans="1:1">
      <c r="A1096" s="1" t="s">
        <v>2017</v>
      </c>
    </row>
    <row r="1097" spans="1:1">
      <c r="A1097" s="1" t="s">
        <v>2285</v>
      </c>
    </row>
    <row r="1098" spans="1:1">
      <c r="A1098" s="1" t="s">
        <v>1922</v>
      </c>
    </row>
    <row r="1099" spans="1:1">
      <c r="A1099" s="1" t="s">
        <v>1922</v>
      </c>
    </row>
    <row r="1100" spans="1:1">
      <c r="A1100" s="1" t="s">
        <v>1952</v>
      </c>
    </row>
    <row r="1101" spans="1:1">
      <c r="A1101" s="1" t="s">
        <v>351</v>
      </c>
    </row>
    <row r="1102" spans="1:1">
      <c r="A1102" s="1" t="s">
        <v>1922</v>
      </c>
    </row>
    <row r="1103" spans="1:1">
      <c r="A1103" s="1" t="s">
        <v>1922</v>
      </c>
    </row>
    <row r="1104" spans="1:1">
      <c r="A1104" s="1" t="s">
        <v>1922</v>
      </c>
    </row>
    <row r="1105" spans="1:1">
      <c r="A1105" s="1" t="s">
        <v>1922</v>
      </c>
    </row>
    <row r="1106" spans="1:1">
      <c r="A1106" s="1" t="s">
        <v>1922</v>
      </c>
    </row>
    <row r="1107" spans="1:1">
      <c r="A1107" s="1" t="s">
        <v>1922</v>
      </c>
    </row>
    <row r="1108" spans="1:1">
      <c r="A1108" s="1" t="s">
        <v>1922</v>
      </c>
    </row>
    <row r="1109" spans="1:1">
      <c r="A1109" s="1" t="s">
        <v>1922</v>
      </c>
    </row>
    <row r="1110" spans="1:1">
      <c r="A1110" s="1" t="s">
        <v>2206</v>
      </c>
    </row>
    <row r="1111" spans="1:1">
      <c r="A1111" s="1" t="s">
        <v>1922</v>
      </c>
    </row>
    <row r="1112" spans="1:1">
      <c r="A1112" s="1" t="s">
        <v>1922</v>
      </c>
    </row>
    <row r="1113" spans="1:1">
      <c r="A1113" s="1" t="s">
        <v>1922</v>
      </c>
    </row>
    <row r="1114" spans="1:1">
      <c r="A1114" s="1" t="s">
        <v>2172</v>
      </c>
    </row>
    <row r="1115" spans="1:1">
      <c r="A1115" s="1" t="s">
        <v>1922</v>
      </c>
    </row>
    <row r="1116" spans="1:1">
      <c r="A1116" s="1" t="s">
        <v>1922</v>
      </c>
    </row>
    <row r="1117" spans="1:1">
      <c r="A1117" s="1" t="s">
        <v>1922</v>
      </c>
    </row>
    <row r="1118" spans="1:1">
      <c r="A1118" s="1" t="s">
        <v>1922</v>
      </c>
    </row>
    <row r="1119" spans="1:1">
      <c r="A1119" s="1" t="s">
        <v>1922</v>
      </c>
    </row>
    <row r="1120" spans="1:1">
      <c r="A1120" s="1" t="s">
        <v>1922</v>
      </c>
    </row>
    <row r="1121" spans="1:1">
      <c r="A1121" s="1" t="s">
        <v>1922</v>
      </c>
    </row>
    <row r="1122" spans="1:1">
      <c r="A1122" s="1" t="s">
        <v>1922</v>
      </c>
    </row>
    <row r="1123" spans="1:1">
      <c r="A1123" s="1" t="s">
        <v>1922</v>
      </c>
    </row>
    <row r="1124" spans="1:1">
      <c r="A1124" s="1" t="s">
        <v>1922</v>
      </c>
    </row>
    <row r="1125" spans="1:1">
      <c r="A1125" s="1" t="s">
        <v>1922</v>
      </c>
    </row>
    <row r="1126" spans="1:1">
      <c r="A1126" s="1" t="s">
        <v>1999</v>
      </c>
    </row>
    <row r="1127" spans="1:1">
      <c r="A1127" s="1" t="s">
        <v>2074</v>
      </c>
    </row>
    <row r="1128" spans="1:1">
      <c r="A1128" s="1" t="s">
        <v>1922</v>
      </c>
    </row>
    <row r="1129" spans="1:1">
      <c r="A1129" s="1" t="s">
        <v>1922</v>
      </c>
    </row>
    <row r="1130" spans="1:1">
      <c r="A1130" s="1" t="s">
        <v>1922</v>
      </c>
    </row>
    <row r="1131" spans="1:1">
      <c r="A1131" s="1" t="s">
        <v>1922</v>
      </c>
    </row>
    <row r="1132" spans="1:1">
      <c r="A1132" s="1" t="s">
        <v>1922</v>
      </c>
    </row>
    <row r="1133" spans="1:1">
      <c r="A1133" s="1" t="s">
        <v>1922</v>
      </c>
    </row>
    <row r="1134" spans="1:1">
      <c r="A1134" s="1" t="s">
        <v>1955</v>
      </c>
    </row>
    <row r="1135" spans="1:1">
      <c r="A1135" s="1" t="s">
        <v>1922</v>
      </c>
    </row>
    <row r="1136" spans="1:1">
      <c r="A1136" s="1" t="s">
        <v>1922</v>
      </c>
    </row>
    <row r="1137" spans="1:1">
      <c r="A1137" s="1" t="s">
        <v>1922</v>
      </c>
    </row>
    <row r="1138" spans="1:1">
      <c r="A1138" s="1" t="s">
        <v>1922</v>
      </c>
    </row>
    <row r="1139" spans="1:1">
      <c r="A1139" s="1" t="s">
        <v>1922</v>
      </c>
    </row>
    <row r="1140" spans="1:1">
      <c r="A1140" s="1" t="s">
        <v>1922</v>
      </c>
    </row>
    <row r="1141" spans="1:1">
      <c r="A1141" s="1" t="s">
        <v>1922</v>
      </c>
    </row>
    <row r="1142" spans="1:1">
      <c r="A1142" s="1" t="s">
        <v>1922</v>
      </c>
    </row>
    <row r="1143" spans="1:1">
      <c r="A1143" s="1" t="s">
        <v>1922</v>
      </c>
    </row>
    <row r="1144" spans="1:1">
      <c r="A1144" s="1" t="s">
        <v>1922</v>
      </c>
    </row>
    <row r="1145" spans="1:1">
      <c r="A1145" s="1" t="s">
        <v>1922</v>
      </c>
    </row>
    <row r="1146" spans="1:1">
      <c r="A1146" s="1" t="s">
        <v>1922</v>
      </c>
    </row>
    <row r="1147" spans="1:1">
      <c r="A1147" s="1" t="s">
        <v>1922</v>
      </c>
    </row>
    <row r="1148" spans="1:1">
      <c r="A1148" s="1" t="s">
        <v>1922</v>
      </c>
    </row>
    <row r="1149" spans="1:1">
      <c r="A1149" s="1" t="s">
        <v>1922</v>
      </c>
    </row>
    <row r="1150" spans="1:1">
      <c r="A1150" s="1" t="s">
        <v>1922</v>
      </c>
    </row>
    <row r="1151" spans="1:1">
      <c r="A1151" s="1" t="s">
        <v>1922</v>
      </c>
    </row>
    <row r="1152" spans="1:1">
      <c r="A1152" s="1" t="s">
        <v>1922</v>
      </c>
    </row>
    <row r="1153" spans="1:1">
      <c r="A1153" s="1" t="s">
        <v>1922</v>
      </c>
    </row>
    <row r="1154" spans="1:1">
      <c r="A1154" s="1" t="s">
        <v>1922</v>
      </c>
    </row>
    <row r="1155" spans="1:1">
      <c r="A1155" s="1" t="s">
        <v>1922</v>
      </c>
    </row>
    <row r="1156" spans="1:1">
      <c r="A1156" s="1" t="s">
        <v>1922</v>
      </c>
    </row>
    <row r="1157" spans="1:1">
      <c r="A1157" s="1" t="s">
        <v>1922</v>
      </c>
    </row>
    <row r="1158" spans="1:1">
      <c r="A1158" s="1" t="s">
        <v>1922</v>
      </c>
    </row>
    <row r="1159" spans="1:1">
      <c r="A1159" s="1" t="s">
        <v>2044</v>
      </c>
    </row>
    <row r="1160" spans="1:1">
      <c r="A1160" s="1" t="s">
        <v>2017</v>
      </c>
    </row>
    <row r="1161" spans="1:1">
      <c r="A1161" s="1" t="s">
        <v>2285</v>
      </c>
    </row>
    <row r="1162" spans="1:1">
      <c r="A1162" s="1" t="s">
        <v>1939</v>
      </c>
    </row>
    <row r="1163" spans="1:1">
      <c r="A1163" s="1" t="s">
        <v>1922</v>
      </c>
    </row>
    <row r="1164" spans="1:1">
      <c r="A1164" s="1" t="s">
        <v>1922</v>
      </c>
    </row>
    <row r="1165" spans="1:1">
      <c r="A1165" s="1" t="s">
        <v>1922</v>
      </c>
    </row>
    <row r="1166" spans="1:1">
      <c r="A1166" s="1" t="s">
        <v>1922</v>
      </c>
    </row>
    <row r="1167" spans="1:1">
      <c r="A1167" s="1" t="s">
        <v>1922</v>
      </c>
    </row>
    <row r="1168" spans="1:1">
      <c r="A1168" s="1" t="s">
        <v>2371</v>
      </c>
    </row>
    <row r="1169" spans="1:1">
      <c r="A1169" s="1" t="s">
        <v>1930</v>
      </c>
    </row>
    <row r="1170" spans="1:1">
      <c r="A1170" s="1" t="s">
        <v>1976</v>
      </c>
    </row>
    <row r="1171" spans="1:1">
      <c r="A1171" s="1" t="s">
        <v>1999</v>
      </c>
    </row>
    <row r="1172" spans="1:1">
      <c r="A1172" s="1" t="s">
        <v>2149</v>
      </c>
    </row>
    <row r="1173" spans="1:1">
      <c r="A1173" s="1" t="s">
        <v>2145</v>
      </c>
    </row>
    <row r="1174" spans="1:1">
      <c r="A1174" s="1" t="s">
        <v>2146</v>
      </c>
    </row>
    <row r="1175" spans="1:1">
      <c r="A1175" s="1" t="s">
        <v>2494</v>
      </c>
    </row>
    <row r="1176" spans="1:1">
      <c r="A1176" s="1" t="s">
        <v>1977</v>
      </c>
    </row>
    <row r="1177" spans="1:1">
      <c r="A1177" s="1" t="s">
        <v>2044</v>
      </c>
    </row>
    <row r="1178" spans="1:1">
      <c r="A1178" s="1" t="s">
        <v>2125</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969E2290A67B40B23AAEC46BE07916" ma:contentTypeVersion="12" ma:contentTypeDescription="Create a new document." ma:contentTypeScope="" ma:versionID="2c678bf8766c30155ef286bfb3fc8237">
  <xsd:schema xmlns:xsd="http://www.w3.org/2001/XMLSchema" xmlns:xs="http://www.w3.org/2001/XMLSchema" xmlns:p="http://schemas.microsoft.com/office/2006/metadata/properties" xmlns:ns2="67eb9fc1-6eb2-4130-bff0-86e2d7b2fa6c" xmlns:ns3="cc4f7e58-aee3-484e-9ced-6ad849805b22" targetNamespace="http://schemas.microsoft.com/office/2006/metadata/properties" ma:root="true" ma:fieldsID="0ddb8f98fca7970fae8315de15b7503b" ns2:_="" ns3:_="">
    <xsd:import namespace="67eb9fc1-6eb2-4130-bff0-86e2d7b2fa6c"/>
    <xsd:import namespace="cc4f7e58-aee3-484e-9ced-6ad849805b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eb9fc1-6eb2-4130-bff0-86e2d7b2f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a363587-87ea-41e2-9a9e-8270a2079e6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4f7e58-aee3-484e-9ced-6ad849805b2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ad6e149-f843-4ea4-af81-8c9aca828c0b}" ma:internalName="TaxCatchAll" ma:showField="CatchAllData" ma:web="cc4f7e58-aee3-484e-9ced-6ad849805b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c4f7e58-aee3-484e-9ced-6ad849805b22" xsi:nil="true"/>
    <lcf76f155ced4ddcb4097134ff3c332f xmlns="67eb9fc1-6eb2-4130-bff0-86e2d7b2fa6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510569-F535-47BB-A80B-3201578D3007}"/>
</file>

<file path=customXml/itemProps2.xml><?xml version="1.0" encoding="utf-8"?>
<ds:datastoreItem xmlns:ds="http://schemas.openxmlformats.org/officeDocument/2006/customXml" ds:itemID="{E902B043-FA51-485F-803F-F42EDDDEF2AF}"/>
</file>

<file path=customXml/itemProps3.xml><?xml version="1.0" encoding="utf-8"?>
<ds:datastoreItem xmlns:ds="http://schemas.openxmlformats.org/officeDocument/2006/customXml" ds:itemID="{5F748534-BD59-4096-B00B-CD64FD9F5F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Jolene Haley(UST,US)</cp:lastModifiedBy>
  <cp:revision/>
  <dcterms:created xsi:type="dcterms:W3CDTF">2025-01-08T12:08:10Z</dcterms:created>
  <dcterms:modified xsi:type="dcterms:W3CDTF">2025-06-30T18:48:21Z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0x010100CC969E2290A67B40B23AAEC46BE07916</vt:lpwstr>
  </property>
  <property fmtid="{D5CDD505-2E9C-101B-9397-08002B2CF9AE}" pid="3" name="MediaServiceImageTags">
    <vt:lpwstr/>
  </property>
</Properties>
</file>