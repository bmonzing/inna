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8"/>
  <workbookPr/>
  <xr:revisionPtr revIDLastSave="3501" documentId="11_E167BEEAA3D14686282E8DC8D714559B2C23EADA" xr6:coauthVersionLast="47" xr6:coauthVersionMax="47" xr10:uidLastSave="{302D9CFD-AB64-4E2D-BF1D-0981AE12B1FC}"/>
  <bookViews>
    <workbookView xWindow="0" yWindow="0" windowWidth="0" windowHeight="0" firstSheet="1" xr2:uid="{00000000-000D-0000-FFFF-FFFF00000000}"/>
  </bookViews>
  <sheets>
    <sheet name="Running priority list" sheetId="12" r:id="rId1"/>
    <sheet name="Cross team plan 2025" sheetId="11" r:id="rId2"/>
    <sheet name="Ongoing" sheetId="13" r:id="rId3"/>
    <sheet name="Cross team plan 2024" sheetId="10" r:id="rId4"/>
    <sheet name="Release 2025" sheetId="2" r:id="rId5"/>
    <sheet name="Releases 2023-4" sheetId="7" r:id="rId6"/>
    <sheet name="Cross team plan 2023" sheetId="1" r:id="rId7"/>
    <sheet name="Detach veh plan after Apr" sheetId="4" r:id="rId8"/>
    <sheet name="OKRs - baselines" sheetId="9" r:id="rId9"/>
    <sheet name="Rationale for 2H24 projects" sheetId="6" r:id="rId10"/>
  </sheets>
  <definedNames>
    <definedName name="_xlnm._FilterDatabase" localSheetId="0" hidden="1">'Running priority list'!$B$1:$AD$1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4" i="12" l="1"/>
  <c r="AF4" i="9"/>
  <c r="AF5" i="9"/>
  <c r="AF6" i="9"/>
  <c r="AF7" i="9"/>
  <c r="AF8" i="9"/>
  <c r="AF9" i="9"/>
  <c r="AF10" i="9"/>
  <c r="AF11" i="9"/>
  <c r="AF12" i="9"/>
  <c r="AF13" i="9"/>
  <c r="AF14" i="9"/>
  <c r="AF15" i="9"/>
  <c r="AF16" i="9"/>
  <c r="AF3" i="9"/>
  <c r="AD11" i="9"/>
  <c r="P70" i="9"/>
  <c r="AE36" i="9"/>
  <c r="AE35" i="9"/>
  <c r="AE34" i="9"/>
  <c r="Z34" i="9"/>
  <c r="U34" i="9"/>
  <c r="Q34" i="9"/>
  <c r="Z33" i="9"/>
  <c r="U33" i="9"/>
  <c r="Q33" i="9"/>
  <c r="F33" i="9"/>
  <c r="AE33" i="9" s="1"/>
  <c r="AE32" i="9"/>
  <c r="Z32" i="9"/>
  <c r="U32" i="9"/>
  <c r="Q32" i="9"/>
  <c r="AE31" i="9"/>
  <c r="Z31" i="9"/>
  <c r="U31" i="9"/>
  <c r="Q31" i="9"/>
  <c r="Z30" i="9"/>
  <c r="U30" i="9"/>
  <c r="Q30" i="9"/>
  <c r="T29" i="9"/>
  <c r="P29" i="9"/>
  <c r="S29" i="9" s="1"/>
  <c r="T28" i="9"/>
  <c r="P28" i="9"/>
  <c r="S28" i="9" s="1"/>
  <c r="Z27" i="9"/>
  <c r="T27" i="9"/>
  <c r="P27" i="9"/>
  <c r="L27" i="9"/>
  <c r="Z26" i="9"/>
  <c r="T26" i="9"/>
  <c r="P26" i="9"/>
  <c r="L26" i="9"/>
  <c r="Z25" i="9"/>
  <c r="T25" i="9"/>
  <c r="P25" i="9"/>
  <c r="L25" i="9"/>
  <c r="Z24" i="9"/>
  <c r="T24" i="9"/>
  <c r="P24" i="9"/>
  <c r="AE22" i="9"/>
  <c r="Z22" i="9"/>
  <c r="U22" i="9"/>
  <c r="Q22" i="9"/>
  <c r="AE20" i="9"/>
  <c r="X17" i="9"/>
  <c r="H17" i="9"/>
  <c r="G17" i="9"/>
  <c r="F17" i="9"/>
  <c r="E17" i="9"/>
  <c r="AC16" i="9"/>
  <c r="AA16" i="9"/>
  <c r="Z16" i="9"/>
  <c r="U16" i="9"/>
  <c r="AC15" i="9"/>
  <c r="AA15" i="9"/>
  <c r="X15" i="9"/>
  <c r="Z15" i="9" s="1"/>
  <c r="V15" i="9"/>
  <c r="U15" i="9"/>
  <c r="H15" i="9"/>
  <c r="G15" i="9"/>
  <c r="F15" i="9"/>
  <c r="E15" i="9"/>
  <c r="AC14" i="9"/>
  <c r="AA14" i="9"/>
  <c r="V14" i="9"/>
  <c r="U14" i="9"/>
  <c r="H14" i="9"/>
  <c r="G14" i="9"/>
  <c r="F14" i="9"/>
  <c r="E14" i="9"/>
  <c r="AE14" i="9" s="1"/>
  <c r="AC13" i="9"/>
  <c r="AA13" i="9"/>
  <c r="X13" i="9"/>
  <c r="V13" i="9"/>
  <c r="U13" i="9"/>
  <c r="Q13" i="9"/>
  <c r="AE12" i="9"/>
  <c r="AC12" i="9"/>
  <c r="AA12" i="9"/>
  <c r="X12" i="9"/>
  <c r="Z12" i="9" s="1"/>
  <c r="V12" i="9"/>
  <c r="U12" i="9"/>
  <c r="O12" i="9"/>
  <c r="Q12" i="9" s="1"/>
  <c r="Y11" i="9"/>
  <c r="AC11" i="9" s="1"/>
  <c r="T11" i="9"/>
  <c r="S11" i="9"/>
  <c r="AE10" i="9"/>
  <c r="AC10" i="9"/>
  <c r="AA10" i="9"/>
  <c r="V10" i="9"/>
  <c r="X10" i="9" s="1"/>
  <c r="U10" i="9"/>
  <c r="O10" i="9"/>
  <c r="Q10" i="9" s="1"/>
  <c r="AE9" i="9"/>
  <c r="AC9" i="9"/>
  <c r="T9" i="9"/>
  <c r="S9" i="9"/>
  <c r="O9" i="9"/>
  <c r="Q9" i="9" s="1"/>
  <c r="AC8" i="9"/>
  <c r="AA8" i="9"/>
  <c r="Z8" i="9"/>
  <c r="V8" i="9"/>
  <c r="U8" i="9"/>
  <c r="O8" i="9"/>
  <c r="Q8" i="9" s="1"/>
  <c r="L8" i="9"/>
  <c r="AE7" i="9"/>
  <c r="AA7" i="9"/>
  <c r="Z7" i="9"/>
  <c r="V7" i="9"/>
  <c r="U7" i="9"/>
  <c r="Q7" i="9"/>
  <c r="AE6" i="9"/>
  <c r="AC6" i="9"/>
  <c r="AA6" i="9"/>
  <c r="X6" i="9"/>
  <c r="Z6" i="9" s="1"/>
  <c r="V6" i="9"/>
  <c r="U6" i="9"/>
  <c r="Q6" i="9"/>
  <c r="AE5" i="9"/>
  <c r="AC5" i="9"/>
  <c r="T5" i="9"/>
  <c r="S5" i="9"/>
  <c r="Q5" i="9"/>
  <c r="AC4" i="9"/>
  <c r="AA4" i="9"/>
  <c r="X4" i="9"/>
  <c r="V4" i="9"/>
  <c r="U4" i="9"/>
  <c r="Q4" i="9"/>
  <c r="H4" i="9"/>
  <c r="G4" i="9"/>
  <c r="F4" i="9"/>
  <c r="E4" i="9"/>
  <c r="AE4" i="9" s="1"/>
  <c r="AE3" i="9"/>
  <c r="AC3" i="9"/>
  <c r="AA3" i="9"/>
  <c r="V3" i="9"/>
  <c r="X3" i="9" s="1"/>
  <c r="Z3" i="9" s="1"/>
  <c r="U3" i="9"/>
  <c r="Q3" i="9"/>
  <c r="B18" i="4"/>
  <c r="E18" i="4" s="1"/>
  <c r="B15" i="4"/>
  <c r="E15" i="4" s="1"/>
  <c r="C11" i="4"/>
  <c r="B11" i="4"/>
  <c r="E11" i="4" s="1"/>
  <c r="B5" i="4"/>
  <c r="E5" i="4" s="1"/>
  <c r="X9" i="9" l="1"/>
  <c r="Z9" i="9" s="1"/>
  <c r="X5" i="9"/>
  <c r="Z5" i="9" s="1"/>
  <c r="Z4" i="9"/>
  <c r="AA5" i="9"/>
  <c r="V5" i="9"/>
  <c r="U5" i="9"/>
  <c r="AA9" i="9"/>
  <c r="V9" i="9"/>
  <c r="U9" i="9"/>
  <c r="X11" i="9"/>
  <c r="Z10" i="9"/>
  <c r="X14" i="9"/>
  <c r="Z14" i="9" s="1"/>
  <c r="Z13" i="9"/>
  <c r="S24" i="9"/>
  <c r="Q24" i="9"/>
  <c r="U24" i="9"/>
  <c r="S25" i="9"/>
  <c r="Q25" i="9"/>
  <c r="U25" i="9"/>
  <c r="S26" i="9"/>
  <c r="Q26" i="9"/>
  <c r="U26" i="9"/>
  <c r="S27" i="9"/>
  <c r="Q27" i="9"/>
  <c r="U27" i="9"/>
  <c r="Z76" i="9"/>
  <c r="U76" i="9"/>
  <c r="Q76" i="9"/>
  <c r="Z75" i="9"/>
  <c r="U75" i="9"/>
  <c r="Q75" i="9"/>
  <c r="Z74" i="9"/>
  <c r="U74" i="9"/>
  <c r="Q74" i="9"/>
  <c r="Z73" i="9"/>
  <c r="U73" i="9"/>
  <c r="Q73" i="9"/>
  <c r="Z72" i="9"/>
  <c r="U72" i="9"/>
  <c r="Q72" i="9"/>
  <c r="Z71" i="9"/>
  <c r="U71" i="9"/>
  <c r="Q71"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tc={9DFB0E22-D27D-4480-9467-B58A15A2CDA8}</author>
    <author>tc={241B9912-9AAD-4802-8EA4-B6206972D1B3}</author>
    <author>tc={403501A9-B7BF-47E5-B23A-AE84DC3C4DAF}</author>
  </authors>
  <commentList>
    <comment ref="F27" authorId="0" shapeId="0" xr:uid="{9DFB0E22-D27D-4480-9467-B58A15A2CDA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@Angela King(UST,US) This is what you mentioned in teams about crashing when looking for Jolene's article.  Can you pls create a jira ticket with as much detail as possible, including platform, user, approximate time, the page, the behavior or circumstances leading up to the error, the error screen (or just crash?)</t>
      </text>
    </comment>
    <comment ref="F45" authorId="1" shapeId="0" xr:uid="{241B9912-9AAD-4802-8EA4-B6206972D1B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@Mariano Coni(UST,AR)  Just caught up with Angie and she pointed out that Branch is also behaving strangely, not lining up with OneSignal.  can we include that into our investigation?</t>
      </text>
    </comment>
    <comment ref="F52" authorId="2" shapeId="0" xr:uid="{403501A9-B7BF-47E5-B23A-AE84DC3C4DA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@Mariano Coni(UST,AR)  Were you able to get an update on this bug?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DBA42684-C000-4744-8DDB-F87242DAE329}">
      <text>
        <r>
          <rPr>
            <sz val="10"/>
            <color rgb="FF000000"/>
            <rFont val="Arial"/>
            <scheme val="minor"/>
          </rPr>
          <t>@suzannevanbeek@roundfeather.com
_Assigned to suzannevanbeek@roundfeather.com_
	-Leif Drake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DE4A84D1-0BFD-4373-95A0-2368FAC28151}">
      <text>
        <r>
          <rPr>
            <sz val="10"/>
            <color rgb="FF000000"/>
            <rFont val="Arial"/>
            <scheme val="minor"/>
          </rPr>
          <t>@suzannevanbeek@roundfeather.com
_Assigned to suzannevanbeek@roundfeather.com_
	-Leif Drake</t>
        </r>
      </text>
    </comment>
    <comment ref="D5" authorId="0" shapeId="0" xr:uid="{165D9E48-1030-4A4C-9B02-7E8EA82F0195}">
      <text>
        <r>
          <rPr>
            <sz val="10"/>
            <color rgb="FF000000"/>
            <rFont val="Arial"/>
            <scheme val="minor"/>
          </rPr>
          <t>@marianoconi@roundfeather.com Hey, Meta asked if we can hide the 'Views' numbers on articles on the web app?  We already hide on mobile.
This is not super urgent, wondering where we can fit it in... assume it needs to be the A1 team?
_Assigned to marianoconi@roundfeather.com_
	-Leif Drake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CB18" authorId="0" shapeId="0" xr:uid="{00000000-0006-0000-0600-000001000000}">
      <text>
        <r>
          <rPr>
            <sz val="10"/>
            <color rgb="FF000000"/>
            <rFont val="Arial"/>
            <scheme val="minor"/>
          </rPr>
          <t>@sauldiaz@roundfeather.com @marianoconi@roundfeather.com can we please update this calendar for the remaining work with A1?
_Assigned to sauldiaz@roundfeather.com_
	-Leif Drake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2000000}">
      <text>
        <r>
          <rPr>
            <sz val="10"/>
            <color rgb="FF000000"/>
            <rFont val="Arial"/>
            <scheme val="minor"/>
          </rPr>
          <t>@suzannevanbeek@roundfeather.com
_Assigned to suzannevanbeek@roundfeather.com_
	-Leif Drake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300-000001000000}">
      <text>
        <r>
          <rPr>
            <sz val="10"/>
            <color rgb="FF000000"/>
            <rFont val="Arial"/>
            <scheme val="minor"/>
          </rPr>
          <t>@mladen.kliska@roundfeather.com Hey, just wanted to make sure you've seen this, so we can discuss in the meeting today
_Assigned to mladen.kliska@roundfeather.com_
	-Leif Drake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L3" authorId="0" shapeId="0" xr:uid="{00000000-0006-0000-0800-00000C000000}">
      <text>
        <r>
          <rPr>
            <sz val="10"/>
            <color rgb="FF000000"/>
            <rFont val="Arial"/>
            <scheme val="minor"/>
          </rPr>
          <t>we set this number because we had achieved it in 3Q &amp; 4Q of 2022.
2023 has been abnormally low, esp 2Q23
	-Leif Drake</t>
        </r>
      </text>
    </comment>
    <comment ref="X3" authorId="0" shapeId="0" xr:uid="{00000000-0006-0000-0800-000002000000}">
      <text>
        <r>
          <rPr>
            <sz val="10"/>
            <color rgb="FF000000"/>
            <rFont val="Arial"/>
            <scheme val="minor"/>
          </rPr>
          <t>Assuming we carry over 39% growth from Q4-&gt;Q1
	-Leif Drake</t>
        </r>
      </text>
    </comment>
    <comment ref="AC3" authorId="0" shapeId="0" xr:uid="{00000000-0006-0000-0800-000001000000}">
      <text>
        <r>
          <rPr>
            <sz val="10"/>
            <color rgb="FF000000"/>
            <rFont val="Arial"/>
            <scheme val="minor"/>
          </rPr>
          <t>15% increase from 2Q24
	-Leif Drake</t>
        </r>
      </text>
    </comment>
    <comment ref="L4" authorId="0" shapeId="0" xr:uid="{00000000-0006-0000-0800-00000B000000}">
      <text>
        <r>
          <rPr>
            <sz val="10"/>
            <color rgb="FF000000"/>
            <rFont val="Arial"/>
            <scheme val="minor"/>
          </rPr>
          <t>This is our quarterly avg since launch (2019) + 15%
	-Leif Drake</t>
        </r>
      </text>
    </comment>
    <comment ref="L5" authorId="0" shapeId="0" xr:uid="{00000000-0006-0000-0800-00000A000000}">
      <text>
        <r>
          <rPr>
            <sz val="10"/>
            <color rgb="FF000000"/>
            <rFont val="Arial"/>
            <scheme val="minor"/>
          </rPr>
          <t>This is our quarterly avg since launch (4072) + 15%
	-Leif Drake</t>
        </r>
      </text>
    </comment>
    <comment ref="L6" authorId="0" shapeId="0" xr:uid="{00000000-0006-0000-0800-000009000000}">
      <text>
        <r>
          <rPr>
            <sz val="10"/>
            <color rgb="FF000000"/>
            <rFont val="Arial"/>
            <scheme val="minor"/>
          </rPr>
          <t>just a function of the other KRs (4300/2300)
	-Leif Drake</t>
        </r>
      </text>
    </comment>
    <comment ref="L7" authorId="0" shapeId="0" xr:uid="{00000000-0006-0000-0800-000008000000}">
      <text>
        <r>
          <rPr>
            <sz val="10"/>
            <color rgb="FF000000"/>
            <rFont val="Arial"/>
            <scheme val="minor"/>
          </rPr>
          <t>maintain the average since launch (3:23)
	-Leif Drake</t>
        </r>
      </text>
    </comment>
    <comment ref="L9" authorId="0" shapeId="0" xr:uid="{00000000-0006-0000-0800-000007000000}">
      <text>
        <r>
          <rPr>
            <sz val="10"/>
            <color rgb="FF000000"/>
            <rFont val="Arial"/>
            <scheme val="minor"/>
          </rPr>
          <t>realistically, achieving the quarterly average per quarter is worthy (31217)
	-Leif Drake</t>
        </r>
      </text>
    </comment>
    <comment ref="O9" authorId="0" shapeId="0" xr:uid="{00000000-0006-0000-0800-000005000000}">
      <text>
        <r>
          <rPr>
            <sz val="10"/>
            <color rgb="FF000000"/>
            <rFont val="Arial"/>
            <scheme val="minor"/>
          </rPr>
          <t>rolling avg of last 4 quarters
	-Leif Drake</t>
        </r>
      </text>
    </comment>
    <comment ref="O10" authorId="0" shapeId="0" xr:uid="{00000000-0006-0000-0800-000006000000}">
      <text>
        <r>
          <rPr>
            <sz val="10"/>
            <color rgb="FF000000"/>
            <rFont val="Arial"/>
            <scheme val="minor"/>
          </rPr>
          <t>rolling avg of past 4 quarters
	-Leif Drake</t>
        </r>
      </text>
    </comment>
    <comment ref="O12" authorId="0" shapeId="0" xr:uid="{00000000-0006-0000-0800-000004000000}">
      <text>
        <r>
          <rPr>
            <sz val="10"/>
            <color rgb="FF000000"/>
            <rFont val="Arial"/>
            <scheme val="minor"/>
          </rPr>
          <t>Avg of last 4 quarters + 25%
	-Leif Drake</t>
        </r>
      </text>
    </comment>
    <comment ref="A24" authorId="0" shapeId="0" xr:uid="{00000000-0006-0000-0800-000003000000}">
      <text>
        <r>
          <rPr>
            <sz val="10"/>
            <color rgb="FF000000"/>
            <rFont val="Arial"/>
            <scheme val="minor"/>
          </rPr>
          <t>@marianoconi@roundfeather.com instead of focusing on 'New users' only, it would be helpful if we could measure and track these groups of users based on last activity.  I know we've talked about this before, but let's revisit
_Assigned to marianoconi@roundfeather.com_
	-Leif Drake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17" authorId="0" shapeId="0" xr:uid="{00000000-0006-0000-0500-000001000000}">
      <text>
        <r>
          <rPr>
            <sz val="10"/>
            <color rgb="FF000000"/>
            <rFont val="Arial"/>
            <scheme val="minor"/>
          </rPr>
          <t>We should prepare the UX for the potential new client. i.e.
	-Mariano Coni</t>
        </r>
      </text>
    </comment>
  </commentList>
</comments>
</file>

<file path=xl/sharedStrings.xml><?xml version="1.0" encoding="utf-8"?>
<sst xmlns="http://schemas.openxmlformats.org/spreadsheetml/2006/main" count="2202" uniqueCount="1086">
  <si>
    <t>Priority</t>
  </si>
  <si>
    <t>Ad-hoc</t>
  </si>
  <si>
    <t>Added</t>
  </si>
  <si>
    <t>Updated</t>
  </si>
  <si>
    <t>Status</t>
  </si>
  <si>
    <t>Next milestone target</t>
  </si>
  <si>
    <t>Area of app</t>
  </si>
  <si>
    <t>Theme</t>
  </si>
  <si>
    <t>Type</t>
  </si>
  <si>
    <t>Mladen</t>
  </si>
  <si>
    <t>Mariano</t>
  </si>
  <si>
    <t>Leif</t>
  </si>
  <si>
    <t>Angie</t>
  </si>
  <si>
    <t>Jolene</t>
  </si>
  <si>
    <t>Michael</t>
  </si>
  <si>
    <t>Vitto</t>
  </si>
  <si>
    <t>Gloria</t>
  </si>
  <si>
    <t>Nadia</t>
  </si>
  <si>
    <t>Brian</t>
  </si>
  <si>
    <t>Scotty</t>
  </si>
  <si>
    <t>Haila</t>
  </si>
  <si>
    <t>Ambar</t>
  </si>
  <si>
    <t>Aparna</t>
  </si>
  <si>
    <t>Karishma</t>
  </si>
  <si>
    <t>Wassim</t>
  </si>
  <si>
    <t>Neeli</t>
  </si>
  <si>
    <t>Raga</t>
  </si>
  <si>
    <t>Kota</t>
  </si>
  <si>
    <t>Mahesh</t>
  </si>
  <si>
    <t>tbd</t>
  </si>
  <si>
    <t>User content ratings</t>
  </si>
  <si>
    <t>deployed Jan</t>
  </si>
  <si>
    <t>Content</t>
  </si>
  <si>
    <t>Understand audience</t>
  </si>
  <si>
    <t>Enhancement</t>
  </si>
  <si>
    <t>S</t>
  </si>
  <si>
    <t>P</t>
  </si>
  <si>
    <t>Removed char. limits in articles</t>
  </si>
  <si>
    <t>Admin</t>
  </si>
  <si>
    <t>Playstore compoliance</t>
  </si>
  <si>
    <t>Android deeplink</t>
  </si>
  <si>
    <t>deployed Feb</t>
  </si>
  <si>
    <t>Comms</t>
  </si>
  <si>
    <t>Reduce friction</t>
  </si>
  <si>
    <t>Bug fix</t>
  </si>
  <si>
    <t>iOS rating bug</t>
  </si>
  <si>
    <t>redirect to splash if SSO fails</t>
  </si>
  <si>
    <t>Log-in</t>
  </si>
  <si>
    <t>Tags limit removed</t>
  </si>
  <si>
    <t>Poll creation UI</t>
  </si>
  <si>
    <t>deployed Mar</t>
  </si>
  <si>
    <t>iOS video issue</t>
  </si>
  <si>
    <t>fixed in Mar</t>
  </si>
  <si>
    <t>Poll data in Looker (+ by User)</t>
  </si>
  <si>
    <t>Data quality</t>
  </si>
  <si>
    <t>Image not centered Feature space (web)</t>
  </si>
  <si>
    <t>ready for deploy Mar</t>
  </si>
  <si>
    <t>External links Suggestion iOS (some scenarios)</t>
  </si>
  <si>
    <t>Goals &amp; vehicle caching</t>
  </si>
  <si>
    <t>Goals</t>
  </si>
  <si>
    <t>Poll - image centering</t>
  </si>
  <si>
    <t>Poll - Suggestion Title &amp; description</t>
  </si>
  <si>
    <t>Figure out missing tenant in Auth0</t>
  </si>
  <si>
    <t>Mladen found Auth0 had a few hour outage</t>
  </si>
  <si>
    <t>Content tags overwrritten each read</t>
  </si>
  <si>
    <t>Mladen fixed Mar26</t>
  </si>
  <si>
    <t>Personalization</t>
  </si>
  <si>
    <t>Renewal of Paven.io domain</t>
  </si>
  <si>
    <t>Renewed Apr1</t>
  </si>
  <si>
    <t>Infra</t>
  </si>
  <si>
    <t>Roundfeather.com can't send to gmails</t>
  </si>
  <si>
    <t>Leif emailed UST IT, got fixed</t>
  </si>
  <si>
    <t>Finalize profile questions</t>
  </si>
  <si>
    <t>finalized Ap2</t>
  </si>
  <si>
    <t>Profile</t>
  </si>
  <si>
    <t>Vertical article layout test</t>
  </si>
  <si>
    <t>test complete, results Apr7</t>
  </si>
  <si>
    <t>Upcoming release prep &amp; UAT</t>
  </si>
  <si>
    <t>all platform in stg, few bugs; target submit Apr4, release Apr7</t>
  </si>
  <si>
    <t>Q2 product planning</t>
  </si>
  <si>
    <t>Ops</t>
  </si>
  <si>
    <t>Q2 content planning</t>
  </si>
  <si>
    <t>Multi-tenancy plan refresh</t>
  </si>
  <si>
    <t>resources to Smitha Ap2, meeting GCP expert Apr7</t>
  </si>
  <si>
    <t>App crashing in card carousel</t>
  </si>
  <si>
    <t>Done</t>
  </si>
  <si>
    <t>hot fix Apr16</t>
  </si>
  <si>
    <t>Tags for library</t>
  </si>
  <si>
    <t>A</t>
  </si>
  <si>
    <t>R</t>
  </si>
  <si>
    <t>Content defects on Profile builder</t>
  </si>
  <si>
    <t>presumably due to caching, but let's keep an eye</t>
  </si>
  <si>
    <t>GW sunsetting - i18n</t>
  </si>
  <si>
    <t>Poll data dashboard</t>
  </si>
  <si>
    <t>Target Apr4</t>
  </si>
  <si>
    <t>Data</t>
  </si>
  <si>
    <t>Data insights</t>
  </si>
  <si>
    <t>Investigate Event limits on OneSignal</t>
  </si>
  <si>
    <t>leif did call with OS sales, might not upgrade; mLaden to update the Event streams to exclude Sent/Received</t>
  </si>
  <si>
    <t>Flutter POC</t>
  </si>
  <si>
    <t>Next is try Polls on Flutter</t>
  </si>
  <si>
    <t>Profile builder edit change</t>
  </si>
  <si>
    <t>Hot fix release late May</t>
  </si>
  <si>
    <t>External link not working Suggestion Android</t>
  </si>
  <si>
    <t>Polls</t>
  </si>
  <si>
    <t>Polls external link iOS (not articles)</t>
  </si>
  <si>
    <t>Token expiry to avoid re-logins</t>
  </si>
  <si>
    <t>Logged Out Error handling on Web</t>
  </si>
  <si>
    <t>Dashboards. - clicks by list</t>
  </si>
  <si>
    <t xml:space="preserve">Mariano working on it May19-20 </t>
  </si>
  <si>
    <t>Finalize June-July roadmap</t>
  </si>
  <si>
    <t>See the Cross Team plan tab</t>
  </si>
  <si>
    <t>Manage VAPT</t>
  </si>
  <si>
    <t>Report delivered 5/19</t>
  </si>
  <si>
    <t>Views + Likes in Contentful per article</t>
  </si>
  <si>
    <t>Go in backend experiment</t>
  </si>
  <si>
    <t>released with Config goals</t>
  </si>
  <si>
    <t>Content gating scoping</t>
  </si>
  <si>
    <t>Ambar looking at Search impact; 3 sprints BE, 1FE</t>
  </si>
  <si>
    <t>Newsletter click discrepancy</t>
  </si>
  <si>
    <t>Still don't know why Branch is different than OneSignal but now doing Funnel dashboard</t>
  </si>
  <si>
    <t>Data quality / Login</t>
  </si>
  <si>
    <t>OneSignal data in Looker</t>
  </si>
  <si>
    <t>Removing Sends/Receives; trying to tie users who Open to behavior in the app</t>
  </si>
  <si>
    <t>Vertical article layout detailed scoping engineering</t>
  </si>
  <si>
    <t>Mariano double checked with Mladen/Vitto; the estimates are realistic, no add'l India team esimtaes req'd</t>
  </si>
  <si>
    <t>GCP cost reductions BE changes</t>
  </si>
  <si>
    <t>Mladen wrapping up week of May26</t>
  </si>
  <si>
    <t>Content audit pt1(tagging for profile builder)</t>
  </si>
  <si>
    <t>Jolene completing wk Apr2</t>
  </si>
  <si>
    <t>Under maintenance modal</t>
  </si>
  <si>
    <t>target completion Jun1</t>
  </si>
  <si>
    <t>Profile builder promotion prep</t>
  </si>
  <si>
    <t>Michael/Nadia on video</t>
  </si>
  <si>
    <t>Key missing for ASAP goal ProjectedDate with no vehicles</t>
  </si>
  <si>
    <t>bug created - to be deployed with the BAC release PT-5519</t>
  </si>
  <si>
    <t>Background color on suggestions for polls (Jira )</t>
  </si>
  <si>
    <t>Deployed Jun17</t>
  </si>
  <si>
    <t>Video not running on iOS troubleshooting</t>
  </si>
  <si>
    <t>Mariano sent more details to bitmovin support</t>
  </si>
  <si>
    <t>Plan for VAPT remediation</t>
  </si>
  <si>
    <t>waiting for more direction from IT Security</t>
  </si>
  <si>
    <t>Q3 content calendar</t>
  </si>
  <si>
    <t>brainstorms done 6/12; Angie doing planning</t>
  </si>
  <si>
    <t xml:space="preserve">Data snapshot of Profile </t>
  </si>
  <si>
    <t>sprint 82</t>
  </si>
  <si>
    <t>Behavior for malicious search</t>
  </si>
  <si>
    <t>go with least effort, like 'No results' or whatever results.  No special modal</t>
  </si>
  <si>
    <t>Android logged out too often</t>
  </si>
  <si>
    <t>Mladen hadn't made update to UST/RF, just Meta for extended refresh tokens</t>
  </si>
  <si>
    <t>can we add ages to the profile data</t>
  </si>
  <si>
    <t>will be avail 7/15</t>
  </si>
  <si>
    <t>Android sign-off behavior (maybe Pushes)</t>
  </si>
  <si>
    <t>Mladen will work with Manoj</t>
  </si>
  <si>
    <t>Add 'Group-Childfree' tag</t>
  </si>
  <si>
    <t>changed from 'topic-childfree' to 'group-childfree'</t>
  </si>
  <si>
    <t>Test the 'loss of internet' on refresh tokens</t>
  </si>
  <si>
    <t>Mladen made a change for USt - tested on iOS &amp; Android 7/21</t>
  </si>
  <si>
    <t>log-in</t>
  </si>
  <si>
    <t>Angie doing an AI review of One Signal data</t>
  </si>
  <si>
    <t>Angie got a new formula for writing the push text</t>
  </si>
  <si>
    <t>Update Sendgrid limits</t>
  </si>
  <si>
    <t>In progress</t>
  </si>
  <si>
    <t>Mladen sent approval to Google for transfer but it doesn't seem to be processed</t>
  </si>
  <si>
    <t>Automate creation of branch.io links</t>
  </si>
  <si>
    <t>BLOCKED</t>
  </si>
  <si>
    <t>getting the API feature is $3k/mo package; Mladen to explore other way to get link tracking data</t>
  </si>
  <si>
    <t>Polls visual issues on Android</t>
  </si>
  <si>
    <t>Mladen to give to manoj</t>
  </si>
  <si>
    <t>Finalize first dynamic comms</t>
  </si>
  <si>
    <t>priority seems good, angie working on the messaging</t>
  </si>
  <si>
    <t>Q3 plan</t>
  </si>
  <si>
    <t>Add results from Profile to looker</t>
  </si>
  <si>
    <t>likely after BAC goal and One Signal release</t>
  </si>
  <si>
    <t>Auth0 consolidation under 1 tenant (VAPT fix)</t>
  </si>
  <si>
    <t>consolidate and make annual in April; might help with VAPT issue</t>
  </si>
  <si>
    <t>Segregation of tenant data (namespace)</t>
  </si>
  <si>
    <t>in progress for User Data; then later Goals and Vehicles</t>
  </si>
  <si>
    <t>Newsletter funnel Dashboard in Looker</t>
  </si>
  <si>
    <t>Mariano &amp; Leif made first pass, hope to present on Sprin review Jul2</t>
  </si>
  <si>
    <t>Null values bug</t>
  </si>
  <si>
    <t>Sendgrid, automated branch, and release too priority; now for wk of Jun19</t>
  </si>
  <si>
    <t>Silent SSO on web</t>
  </si>
  <si>
    <t>no substantive feedback from community; don't think it's a Meta problem; need to take a step back on our strategy; to prepare Ambar/Mladen need to research a little more with Auth0</t>
  </si>
  <si>
    <t>Redo the marketing site for Paven</t>
  </si>
  <si>
    <t>Vitto to create design; Mladen to schedule with India</t>
  </si>
  <si>
    <t>Content audit FULL</t>
  </si>
  <si>
    <t>Angie reviewed outline and process; going back to draft
Audit article library for relevancy, audience segment, style/voice/tone, topics, update needs, illustration sizing, etc.</t>
  </si>
  <si>
    <t>Research panel interviews</t>
  </si>
  <si>
    <t>trouble getting volunteers</t>
  </si>
  <si>
    <t>Prioritize poll enhancements</t>
  </si>
  <si>
    <t>Leif to bring to team next week (Jun9+)</t>
  </si>
  <si>
    <t>Review platform limits (OneSignal, Branch, etc)</t>
  </si>
  <si>
    <t>likely sprint 81. Bitrise, Auth0, Datadog</t>
  </si>
  <si>
    <t>Style guide</t>
  </si>
  <si>
    <t>Jolene in progress; Angie to review soon for audit needs</t>
  </si>
  <si>
    <t>Quality</t>
  </si>
  <si>
    <t>Investigate custom AI for Paven (internal use)</t>
  </si>
  <si>
    <t>Leif to ask Smitha; Angie asked Shubhendra; Brian looking into it as well</t>
  </si>
  <si>
    <t>Investigate why Android OTP code is slow to send</t>
  </si>
  <si>
    <t>mladen possibly sp81-82</t>
  </si>
  <si>
    <t>Transfer ownership of PlayStore and AppStore from RF to UST</t>
  </si>
  <si>
    <t>waiting for after VAPT release (July-ish)</t>
  </si>
  <si>
    <t>Publication process documentation</t>
  </si>
  <si>
    <t>Jolene in progress; likely will put this on hold for other priorities</t>
  </si>
  <si>
    <t>Efficiency</t>
  </si>
  <si>
    <t>Strategize for Splash fall-off (24%)</t>
  </si>
  <si>
    <t>Strategy for NEW user effort (email, Home, One Signal)</t>
  </si>
  <si>
    <t>Create Home experience ('Featured') for NEW users</t>
  </si>
  <si>
    <t>Draft an email for users who are not signed up</t>
  </si>
  <si>
    <t>sprint 81</t>
  </si>
  <si>
    <t>Investigate deleting duplicate/inactive users from One Signal</t>
  </si>
  <si>
    <t>users who got a new phone might be counted twice, as an example</t>
  </si>
  <si>
    <t>CMS enhancements requirements</t>
  </si>
  <si>
    <t>Not started</t>
  </si>
  <si>
    <t>Angie to start Sp81; Content team to document requirements</t>
  </si>
  <si>
    <t>CMS</t>
  </si>
  <si>
    <t>Deeplinks opened on iOS/Android don't detect app</t>
  </si>
  <si>
    <t>Mladen to look into after Profile builder release</t>
  </si>
  <si>
    <t>Seed OneSignal with existing user profile status</t>
  </si>
  <si>
    <t>probaby sprint 81</t>
  </si>
  <si>
    <t>Automate update of user profile completion status in OneSignal</t>
  </si>
  <si>
    <t>India tentative start for Jun 12</t>
  </si>
  <si>
    <t>Release prep - configurable goals</t>
  </si>
  <si>
    <t>Reminder to include AI and Experiments in Sprint Review</t>
  </si>
  <si>
    <t>Investigate AI tool for resizing images</t>
  </si>
  <si>
    <t>Vitto will write-up the outcome of investigation; Brian has some ideas on this</t>
  </si>
  <si>
    <t>Bug - slow loading of newsletter links (both web/iOS) to Paven content</t>
  </si>
  <si>
    <t>QA to look at it; created a ticket for Mariano</t>
  </si>
  <si>
    <t>Migrate Jira to Azure Boards</t>
  </si>
  <si>
    <t>Content process optimization</t>
  </si>
  <si>
    <t>Suggestions/CTA enhancement requirements</t>
  </si>
  <si>
    <t>TBD - could we make this a design project soon?</t>
  </si>
  <si>
    <t>Engagement</t>
  </si>
  <si>
    <t>Vehicles not appearing in Wallet/budget</t>
  </si>
  <si>
    <t>likely right after BAC release</t>
  </si>
  <si>
    <t>Budget</t>
  </si>
  <si>
    <t>Domain migration</t>
  </si>
  <si>
    <t>Blocked by VAPT</t>
  </si>
  <si>
    <t>Add repliable email to newsletter</t>
  </si>
  <si>
    <t>depends on domain migration</t>
  </si>
  <si>
    <t>In-app form template</t>
  </si>
  <si>
    <t>quick feasibility with Mladen/Mariano, consider for design after Wellness Score</t>
  </si>
  <si>
    <t>Content Gating POC on Contentful</t>
  </si>
  <si>
    <t>No Internet error message</t>
  </si>
  <si>
    <t>Mladen going to investigat if easy fix</t>
  </si>
  <si>
    <t>OneSignal in-app notifications</t>
  </si>
  <si>
    <t>Mariano defining triggers</t>
  </si>
  <si>
    <t>Goals QA</t>
  </si>
  <si>
    <t>Angie to gather old notes</t>
  </si>
  <si>
    <t>Script to push content prod&lt;&gt;stg</t>
  </si>
  <si>
    <t>most valuable for Vertical article implementation</t>
  </si>
  <si>
    <t>Content resource needs for multitenancy</t>
  </si>
  <si>
    <t>Way to guage interest in 30day challenge</t>
  </si>
  <si>
    <t>Explore manual COHORTS</t>
  </si>
  <si>
    <t>phase 2 of Dynamic Comms</t>
  </si>
  <si>
    <t>Audience definition exercise</t>
  </si>
  <si>
    <t>update Nav with centralized polls</t>
  </si>
  <si>
    <t>Nav / IA test</t>
  </si>
  <si>
    <t>Nav</t>
  </si>
  <si>
    <t>Journeys strategy updates</t>
  </si>
  <si>
    <t>Document collections requirements for new IA landinng pages</t>
  </si>
  <si>
    <t>Collections strategy updates</t>
  </si>
  <si>
    <t>Data pipeline - Backend count of how many times the article was presented (not aggregated by user)</t>
  </si>
  <si>
    <t>Review current Alerts - baseline what we have vs need</t>
  </si>
  <si>
    <t>define what this is</t>
  </si>
  <si>
    <t>Vendor migrations</t>
  </si>
  <si>
    <t>Engagement Deep Dive</t>
  </si>
  <si>
    <t>Content analytics approach</t>
  </si>
  <si>
    <t>Wellness Score exploration</t>
  </si>
  <si>
    <t>Confluence migration</t>
  </si>
  <si>
    <t>Sprint 74</t>
  </si>
  <si>
    <t>Sprint 75</t>
  </si>
  <si>
    <t>Sprint 76</t>
  </si>
  <si>
    <t>Sprint 77</t>
  </si>
  <si>
    <t>Sprint 78</t>
  </si>
  <si>
    <t>Sprint 79</t>
  </si>
  <si>
    <t>Sprint 80</t>
  </si>
  <si>
    <t>Sprint 81</t>
  </si>
  <si>
    <t>Sprint 82</t>
  </si>
  <si>
    <t>Sprint 83</t>
  </si>
  <si>
    <t>Sprint 84</t>
  </si>
  <si>
    <t>Sprint 85</t>
  </si>
  <si>
    <t>Sprint 86</t>
  </si>
  <si>
    <t>Sprint 87</t>
  </si>
  <si>
    <t>Sprint 88</t>
  </si>
  <si>
    <t>Sprint 89</t>
  </si>
  <si>
    <t>Sprint 90</t>
  </si>
  <si>
    <t>Start  date</t>
  </si>
  <si>
    <t>Releases (tentative)</t>
  </si>
  <si>
    <t xml:space="preserve">Profile builder + </t>
  </si>
  <si>
    <t>BAC goal +</t>
  </si>
  <si>
    <t xml:space="preserve">TBD </t>
  </si>
  <si>
    <t>VAPT release #1</t>
  </si>
  <si>
    <t>Config goals release</t>
  </si>
  <si>
    <t>VAPT release #2</t>
  </si>
  <si>
    <t>Key Events &amp; Client support</t>
  </si>
  <si>
    <t>India FE devs (roughly)</t>
  </si>
  <si>
    <t>Silent SSO web
Profile builder + 
Null analtycs
Token expiry</t>
  </si>
  <si>
    <t>Profile builder + 
Null analtycs</t>
  </si>
  <si>
    <t>* BAC goal
* bug fixing</t>
  </si>
  <si>
    <t>* Profile builder edit
* bug fixing</t>
  </si>
  <si>
    <t>* Config goals
* Other bug fix</t>
  </si>
  <si>
    <t xml:space="preserve">* Config goals
* other bug fixes - nulls
</t>
  </si>
  <si>
    <t>* VAPT fixes, pt1
* BE rules for OneSignal</t>
  </si>
  <si>
    <t>* VAPT fixes, pt1
* In-app deeplinks
* Flutter POC</t>
  </si>
  <si>
    <t>* VAPT fixes, pt2
* Flutter comp. libr
* Config goals release prep
* Android api version</t>
  </si>
  <si>
    <t>* VAPT fixes, pt2
* Flutter comp. libr
* Config goals fixes</t>
  </si>
  <si>
    <t>* VAPT fixes, pt2
* Flutter Nav/Home
* In-app deeplinks</t>
  </si>
  <si>
    <t xml:space="preserve">* Flutter Nav/Home
</t>
  </si>
  <si>
    <t xml:space="preserve">
*  Polls enh
Content gating FE</t>
  </si>
  <si>
    <t xml:space="preserve">
*  Polls enh
</t>
  </si>
  <si>
    <t>* Vertical articles
* bug fixing</t>
  </si>
  <si>
    <t>Wellnes Score</t>
  </si>
  <si>
    <t>Wellness Score</t>
  </si>
  <si>
    <t>Nav / IA</t>
  </si>
  <si>
    <t>Mladen, Ambar &amp; Mahesh</t>
  </si>
  <si>
    <t>* Silent SSO
* Go experiment
* GW sunsetting</t>
  </si>
  <si>
    <t>* Multi-tenancy prep
* Domain migration
* GW sunsetting</t>
  </si>
  <si>
    <t>* Go backend changes
* bug support &amp; hotfix</t>
  </si>
  <si>
    <t>* Go backend changes
* Analytics - polls &amp; lists data</t>
  </si>
  <si>
    <t>* OneSignal exploration
* script for CMS prod-stg</t>
  </si>
  <si>
    <t>*release prep
* null users
* GCP cost reduction
* VAPT remediation
* OneSignal investig.</t>
  </si>
  <si>
    <t>* release prep BAC
* VAPT plan
* Automate branch links</t>
  </si>
  <si>
    <t>* VAPT plan
* upgrade sendgrid limits
* Auth0 for VAPT
* BE rules framework for OneSignal</t>
  </si>
  <si>
    <t xml:space="preserve">* Auth0 for VAPT
* segregating tenant data (namespace)
*snapshot of profile data
* BE rules for OneSignal
</t>
  </si>
  <si>
    <t xml:space="preserve">* Auth0 for VAPT
* ETDC exploration
* Content gating. &amp; content refactor
</t>
  </si>
  <si>
    <t>* Content gating. &amp; content refactor
* playstore / appstore transfer
* Profile data in Lkr</t>
  </si>
  <si>
    <t xml:space="preserve">* Content gating. &amp; content refactor
*Auth0 consolidation
* vehicle/wallet fix BE
</t>
  </si>
  <si>
    <t>* Content AI search
* prep for new FE work in flutter</t>
  </si>
  <si>
    <t xml:space="preserve">* prep for new FE work in flutter
* null values
</t>
  </si>
  <si>
    <t>* prep for new FE work in flutter</t>
  </si>
  <si>
    <t>Multi-tenancy</t>
  </si>
  <si>
    <t>Design</t>
  </si>
  <si>
    <t>* Profile builder UAT
* Test prep</t>
  </si>
  <si>
    <t>* Vertical article prep
* BAC UAT</t>
  </si>
  <si>
    <t>*Profile builder edit tweak
* BAC UAT</t>
  </si>
  <si>
    <t>*  Polls enh
* support &amp; UAT</t>
  </si>
  <si>
    <t>*  Polls enh
* support &amp; UAT
* 1pager</t>
  </si>
  <si>
    <t>In-app feedback form</t>
  </si>
  <si>
    <t>Vitto only 25%</t>
  </si>
  <si>
    <t xml:space="preserve">*Wellness Score
</t>
  </si>
  <si>
    <t>* Address gaps in Personalization</t>
  </si>
  <si>
    <t>Product</t>
  </si>
  <si>
    <t>* Q2 planning
* Release prep
* Newsletter discrep.</t>
  </si>
  <si>
    <t>* Multi-tenancy prep
* Wellness Score</t>
  </si>
  <si>
    <t>* Multi-tenancy prep
* Wellness Score
* Release prep</t>
  </si>
  <si>
    <t>*Profile builder
* Vertical article
* Secondary research</t>
  </si>
  <si>
    <t>*  Polls enh
* support &amp; UAT
* VAPT
* OneSignal strategy</t>
  </si>
  <si>
    <t>* Wellness Score</t>
  </si>
  <si>
    <t xml:space="preserve">Research (tracker)
</t>
  </si>
  <si>
    <t>Research panel</t>
  </si>
  <si>
    <t>DINKs,SINKs, HENRYs secondary</t>
  </si>
  <si>
    <t>Research Panel</t>
  </si>
  <si>
    <t>Research Panel
Childfree workshop</t>
  </si>
  <si>
    <t>User testing</t>
  </si>
  <si>
    <t>Vertical Article</t>
  </si>
  <si>
    <t>*  Polls  test 2</t>
  </si>
  <si>
    <t>Analytics</t>
  </si>
  <si>
    <t xml:space="preserve">* Content analytics
</t>
  </si>
  <si>
    <r>
      <rPr>
        <sz val="10"/>
        <color rgb="FF000000"/>
        <rFont val="Roboto Condensed"/>
      </rPr>
      <t>Publications (</t>
    </r>
    <r>
      <rPr>
        <u/>
        <sz val="10"/>
        <color rgb="FF1155CC"/>
        <rFont val="Roboto Condensed"/>
      </rPr>
      <t>tracker</t>
    </r>
    <r>
      <rPr>
        <sz val="10"/>
        <color rgb="FF000000"/>
        <rFont val="Roboto Condensed"/>
      </rPr>
      <t>)</t>
    </r>
  </si>
  <si>
    <t xml:space="preserve">Communications </t>
  </si>
  <si>
    <t>UX content</t>
  </si>
  <si>
    <t>* Test prep
* Tags for library</t>
  </si>
  <si>
    <t>Motion designer</t>
  </si>
  <si>
    <t>Changelog</t>
  </si>
  <si>
    <t>TBD 
Content Gating
Nav / IA
Vertical article
Polls enh
Wellness Score</t>
  </si>
  <si>
    <t>Design
Insurance
Estates Dashboard
Wallet enh</t>
  </si>
  <si>
    <t>Prod</t>
  </si>
  <si>
    <t>User service</t>
  </si>
  <si>
    <t>By Jul31</t>
  </si>
  <si>
    <t>Content tweak</t>
  </si>
  <si>
    <t>By 1st wk of Aug</t>
  </si>
  <si>
    <t>2 initial rules</t>
  </si>
  <si>
    <t>2nd wk of Aug</t>
  </si>
  <si>
    <t>Testing with UST users</t>
  </si>
  <si>
    <t>1 rule has a 2wk retrigger</t>
  </si>
  <si>
    <t>First push to Meta</t>
  </si>
  <si>
    <t>3rd wk of Aug</t>
  </si>
  <si>
    <t>can be a subset of users (in the rule, not OneSignal)</t>
  </si>
  <si>
    <t>Next rule</t>
  </si>
  <si>
    <t>Ongoing</t>
  </si>
  <si>
    <t>Continuous publication cycle</t>
  </si>
  <si>
    <t>Client management</t>
  </si>
  <si>
    <t>Reporting up to Evolv leadership</t>
  </si>
  <si>
    <t>Billing and vendor management</t>
  </si>
  <si>
    <t>Content Analytics review</t>
  </si>
  <si>
    <t>App enagement review</t>
  </si>
  <si>
    <t>Design backlog</t>
  </si>
  <si>
    <t>Action card UX design</t>
  </si>
  <si>
    <t>Buying a car design</t>
  </si>
  <si>
    <t>UI bug fixing</t>
  </si>
  <si>
    <t>Nav / IA design</t>
  </si>
  <si>
    <t>Vertical article design</t>
  </si>
  <si>
    <t>White Label exploration</t>
  </si>
  <si>
    <t>Centralized polls / Dynamic conclusions</t>
  </si>
  <si>
    <t>Sprint 42</t>
  </si>
  <si>
    <t>Sprint 43</t>
  </si>
  <si>
    <t>Sprint 44</t>
  </si>
  <si>
    <t>Sprint 45</t>
  </si>
  <si>
    <t>Sprint 46</t>
  </si>
  <si>
    <t>Sprint 47</t>
  </si>
  <si>
    <t>Sprint 48</t>
  </si>
  <si>
    <t>Sprint 49</t>
  </si>
  <si>
    <t>Sprint 50</t>
  </si>
  <si>
    <t>Sprint 51</t>
  </si>
  <si>
    <t>Sprint 52</t>
  </si>
  <si>
    <t>Sprint 53</t>
  </si>
  <si>
    <t>Sprint 54</t>
  </si>
  <si>
    <t>Sprint 55</t>
  </si>
  <si>
    <t>Sprint 56</t>
  </si>
  <si>
    <t>Sprint 57</t>
  </si>
  <si>
    <t>Sprint 58</t>
  </si>
  <si>
    <t>Sprint 59</t>
  </si>
  <si>
    <t>Sprint 60</t>
  </si>
  <si>
    <t>Sprint 61</t>
  </si>
  <si>
    <t>Sprint 62</t>
  </si>
  <si>
    <t>Sprint 63</t>
  </si>
  <si>
    <t>Sprint 64</t>
  </si>
  <si>
    <t>Sprint 65</t>
  </si>
  <si>
    <t>Sprint 66</t>
  </si>
  <si>
    <t>Sprint 67</t>
  </si>
  <si>
    <t>Sprint 68</t>
  </si>
  <si>
    <t>Sprint 69</t>
  </si>
  <si>
    <t>Sprint 70</t>
  </si>
  <si>
    <t>Sprint 71</t>
  </si>
  <si>
    <t>Sprint 72</t>
  </si>
  <si>
    <t>Sprint 73</t>
  </si>
  <si>
    <t>Dec 21 - Jan 4</t>
  </si>
  <si>
    <t>Jan 4 - Jan 18</t>
  </si>
  <si>
    <t>Jan 18 - Feb 1</t>
  </si>
  <si>
    <t>Feb 1 - Feb 15</t>
  </si>
  <si>
    <t>Feb 15 - Feb 29</t>
  </si>
  <si>
    <t>Feb29 - Mar14</t>
  </si>
  <si>
    <t>Mar14- Apr4</t>
  </si>
  <si>
    <t>Apr4 - Apr11</t>
  </si>
  <si>
    <t>Apr11-Apr25</t>
  </si>
  <si>
    <t>Apr25-May9</t>
  </si>
  <si>
    <t>May9-May23</t>
  </si>
  <si>
    <t>May23-Jun6</t>
  </si>
  <si>
    <t>Jun6-Jun20</t>
  </si>
  <si>
    <t>Jun20-Jul4</t>
  </si>
  <si>
    <t>Jul4-Jul18</t>
  </si>
  <si>
    <t>Jul18-Aug1</t>
  </si>
  <si>
    <t>Aug1-Aug15</t>
  </si>
  <si>
    <t>Aug15-Aug29</t>
  </si>
  <si>
    <t>Aug29-Sept12</t>
  </si>
  <si>
    <t>Sept12-Sept26</t>
  </si>
  <si>
    <t>Sept26-Oct10</t>
  </si>
  <si>
    <t>Oct10-24</t>
  </si>
  <si>
    <t>Oct24-Nov7</t>
  </si>
  <si>
    <t>Nov7-21</t>
  </si>
  <si>
    <t>Nov21-Dec5</t>
  </si>
  <si>
    <t>Dec5-19</t>
  </si>
  <si>
    <t>Dec19-Jan2</t>
  </si>
  <si>
    <t>Jan2-16</t>
  </si>
  <si>
    <t>Jan16-30</t>
  </si>
  <si>
    <t>Jan30-Feb13</t>
  </si>
  <si>
    <t>Feb13-27</t>
  </si>
  <si>
    <t>Feb27-Mar13</t>
  </si>
  <si>
    <t>Mar13-27</t>
  </si>
  <si>
    <t>Mar27-Apr</t>
  </si>
  <si>
    <t>Apr</t>
  </si>
  <si>
    <t>May</t>
  </si>
  <si>
    <r>
      <rPr>
        <sz val="10"/>
        <color theme="1"/>
        <rFont val="Roboto Condensed"/>
      </rPr>
      <t xml:space="preserve">All platforms - Jan 1 - </t>
    </r>
    <r>
      <rPr>
        <b/>
        <sz val="10"/>
        <color theme="1"/>
        <rFont val="Roboto Condensed"/>
      </rPr>
      <t>Home, FF</t>
    </r>
  </si>
  <si>
    <r>
      <rPr>
        <sz val="10"/>
        <color theme="1"/>
        <rFont val="Roboto Condensed"/>
      </rPr>
      <t xml:space="preserve">Mobile - Feb 7 - </t>
    </r>
    <r>
      <rPr>
        <b/>
        <sz val="10"/>
        <color theme="1"/>
        <rFont val="Roboto Condensed"/>
      </rPr>
      <t xml:space="preserve">Explore, Benefits, Coaches
</t>
    </r>
    <r>
      <rPr>
        <sz val="10"/>
        <color theme="1"/>
        <rFont val="Roboto Condensed"/>
      </rPr>
      <t xml:space="preserve">Web - Feb14 - </t>
    </r>
    <r>
      <rPr>
        <b/>
        <sz val="10"/>
        <color theme="1"/>
        <rFont val="Roboto Condensed"/>
      </rPr>
      <t>Explore, Benefits</t>
    </r>
    <r>
      <rPr>
        <sz val="10"/>
        <color theme="1"/>
        <rFont val="Roboto Condensed"/>
      </rPr>
      <t xml:space="preserve">
</t>
    </r>
  </si>
  <si>
    <t>Journey helper Apr 29</t>
  </si>
  <si>
    <t>DoB text key</t>
  </si>
  <si>
    <r>
      <rPr>
        <i/>
        <strike/>
        <sz val="10"/>
        <color theme="1"/>
        <rFont val="Roboto Condensed"/>
      </rPr>
      <t xml:space="preserve">Estimated Aug12
-BAH goal
-Retirement goal
-Brokerage
</t>
    </r>
    <r>
      <rPr>
        <i/>
        <strike/>
        <sz val="10"/>
        <color theme="1"/>
        <rFont val="Roboto Condensed"/>
      </rPr>
      <t>??User content ratings</t>
    </r>
  </si>
  <si>
    <t>Sept29-30
Detch vehicles - BAH, Retire, Brokerage
EMF goal &amp; Checkings/Savings
Goal setups (partial) - Retire/EMF</t>
  </si>
  <si>
    <t xml:space="preserve">Dec3 - SSO, hyperlinks, user content rating (mobile), </t>
  </si>
  <si>
    <t>SSO - web &amp; android</t>
  </si>
  <si>
    <t>Profile Builder</t>
  </si>
  <si>
    <t>FF booking launch Jan1</t>
  </si>
  <si>
    <t>Meta company-wide post Apr17</t>
  </si>
  <si>
    <t>Remove Life@ logo</t>
  </si>
  <si>
    <t>Jul30 - newsletter</t>
  </si>
  <si>
    <t>A1 Maint. Eng (roughly)</t>
  </si>
  <si>
    <r>
      <rPr>
        <b/>
        <sz val="10"/>
        <color theme="1"/>
        <rFont val="Roboto Condensed"/>
      </rPr>
      <t xml:space="preserve">Home &amp; Main Menu
Bug fixing
</t>
    </r>
    <r>
      <rPr>
        <b/>
        <strike/>
        <sz val="10"/>
        <color rgb="FF990000"/>
        <rFont val="Roboto Condensed"/>
      </rPr>
      <t>contract ends Dec31</t>
    </r>
  </si>
  <si>
    <r>
      <rPr>
        <b/>
        <sz val="10"/>
        <color rgb="FFE06666"/>
        <rFont val="Roboto Condensed"/>
      </rPr>
      <t xml:space="preserve">Web dev on PTO (2wks)
</t>
    </r>
    <r>
      <rPr>
        <b/>
        <sz val="10"/>
        <color theme="1"/>
        <rFont val="Roboto Condensed"/>
      </rPr>
      <t xml:space="preserve">Explore, Benefits, Coaches (mobile)
Error handling (BE) prep
</t>
    </r>
  </si>
  <si>
    <r>
      <rPr>
        <b/>
        <sz val="10"/>
        <color theme="1"/>
        <rFont val="Roboto Condensed"/>
      </rPr>
      <t xml:space="preserve">Explore, Benefits (Web)
Hide 'Views' of articles (Web)
</t>
    </r>
    <r>
      <rPr>
        <b/>
        <sz val="10"/>
        <color rgb="FFB45F06"/>
        <rFont val="Roboto Condensed"/>
      </rPr>
      <t xml:space="preserve">Search page (Web)
</t>
    </r>
    <r>
      <rPr>
        <b/>
        <sz val="10"/>
        <color theme="1"/>
        <rFont val="Roboto Condensed"/>
      </rPr>
      <t xml:space="preserve">
Journeys (mobile &amp; BE)
Xcode 15 (iOS)
Fixing Kogito rules (BE)</t>
    </r>
  </si>
  <si>
    <r>
      <rPr>
        <b/>
        <sz val="10"/>
        <color rgb="FF000000"/>
        <rFont val="Roboto Condensed"/>
      </rPr>
      <t xml:space="preserve">Journeys (all)
</t>
    </r>
    <r>
      <rPr>
        <b/>
        <sz val="10"/>
        <color rgb="FF990000"/>
        <rFont val="Roboto Condensed"/>
      </rPr>
      <t xml:space="preserve">ARG/UY holidays Feb 12&amp;13
</t>
    </r>
  </si>
  <si>
    <t xml:space="preserve">Journeys  (all)
</t>
  </si>
  <si>
    <r>
      <rPr>
        <b/>
        <sz val="10"/>
        <color rgb="FF000000"/>
        <rFont val="Roboto Condensed"/>
      </rPr>
      <t xml:space="preserve">Journeys 'nice-to-have'
</t>
    </r>
    <r>
      <rPr>
        <sz val="10"/>
        <color rgb="FF000000"/>
        <rFont val="Roboto Condensed"/>
      </rPr>
      <t>- Video on selection page
- New tool pop-up
- Option: remove, preview, share
- Toast after article read</t>
    </r>
  </si>
  <si>
    <r>
      <rPr>
        <b/>
        <sz val="10"/>
        <color rgb="FF990000"/>
        <rFont val="Roboto Condensed"/>
      </rPr>
      <t xml:space="preserve">Android dev PTO Mar18-22
Argentia holidays Mar 28&amp;29
</t>
    </r>
    <r>
      <rPr>
        <b/>
        <sz val="10"/>
        <color theme="1"/>
        <rFont val="Roboto Condensed"/>
      </rPr>
      <t xml:space="preserve">Finish Journeys
Android 
</t>
    </r>
    <r>
      <rPr>
        <sz val="10"/>
        <color theme="1"/>
        <rFont val="Roboto Condensed"/>
      </rPr>
      <t xml:space="preserve">-Life Path bug, +?
</t>
    </r>
    <r>
      <rPr>
        <b/>
        <sz val="10"/>
        <color theme="1"/>
        <rFont val="Roboto Condensed"/>
      </rPr>
      <t xml:space="preserve">
BE 
</t>
    </r>
    <r>
      <rPr>
        <sz val="10"/>
        <color theme="1"/>
        <rFont val="Roboto Condensed"/>
      </rPr>
      <t>- Fix kogito goal bug
- Keyword search: sort by relevance and improve latency
- groom &amp; size BE Action Card Enh</t>
    </r>
  </si>
  <si>
    <t>Finishing Journeys
POC on detach vehic graph
Estimating DV work</t>
  </si>
  <si>
    <t xml:space="preserve">Small bug fixes Journeys
FE - Break apart BaH - adjust calls for brokerage
BE 
-Kogito (ongoing journey)
- Kogito (available journeys and none ongoing) 
- Journey Feature Toggle
</t>
  </si>
  <si>
    <t>FE - Break apart BaH - adjust calls for brokerage
BE
- Fix Kogito rules
- Action card enhancements??</t>
  </si>
  <si>
    <t>FE - Break-apart Retirement - adjust calls for all retirement vehicles
BE
- Fix Kogito rules
- Fix Search performance
- Action card enhancements??</t>
  </si>
  <si>
    <t>FE - Brokerage visuals - graph &amp; assign goal
BE
-Node update for Web</t>
  </si>
  <si>
    <t>FE - Brokerage visuals - graph &amp; assign goal
DoB text key
BE
-Error handling</t>
  </si>
  <si>
    <r>
      <rPr>
        <b/>
        <strike/>
        <sz val="10"/>
        <color rgb="FF990000"/>
        <rFont val="Roboto Condensed"/>
      </rPr>
      <t xml:space="preserve">Contract Ends Jun 30
</t>
    </r>
    <r>
      <rPr>
        <b/>
        <sz val="10"/>
        <color rgb="FF990000"/>
        <rFont val="Roboto Condensed"/>
      </rPr>
      <t xml:space="preserve">
</t>
    </r>
    <r>
      <rPr>
        <sz val="10"/>
        <color rgb="FF000000"/>
        <rFont val="Roboto Condensed"/>
      </rPr>
      <t>Detach veh phase 1</t>
    </r>
  </si>
  <si>
    <t>Detach veh phase 1</t>
  </si>
  <si>
    <t>First new vehicle prep
Checkings implementation</t>
  </si>
  <si>
    <r>
      <rPr>
        <b/>
        <sz val="10"/>
        <color rgb="FF980000"/>
        <rFont val="Arial"/>
      </rPr>
      <t xml:space="preserve">
</t>
    </r>
    <r>
      <rPr>
        <sz val="10"/>
        <color rgb="FF000000"/>
        <rFont val="Arial"/>
      </rPr>
      <t>Detach Vehicl UAT fixes
Savings implementation
First new goal prep</t>
    </r>
  </si>
  <si>
    <r>
      <rPr>
        <b/>
        <sz val="10"/>
        <color rgb="FF980000"/>
        <rFont val="Arial"/>
      </rPr>
      <t xml:space="preserve">Onboarding new team
</t>
    </r>
    <r>
      <rPr>
        <sz val="10"/>
        <color rgb="FF434343"/>
        <rFont val="Arial"/>
      </rPr>
      <t xml:space="preserve">EMF goal - setup and dashboard </t>
    </r>
  </si>
  <si>
    <r>
      <rPr>
        <b/>
        <sz val="10"/>
        <color rgb="FFA61C00"/>
        <rFont val="Roboto Condensed"/>
      </rPr>
      <t xml:space="preserve">Contract ends Aug30
Onboarding new team
</t>
    </r>
    <r>
      <rPr>
        <b/>
        <sz val="10"/>
        <color theme="1"/>
        <rFont val="Roboto Condensed"/>
      </rPr>
      <t xml:space="preserve">
</t>
    </r>
    <r>
      <rPr>
        <sz val="10"/>
        <color theme="1"/>
        <rFont val="Roboto Condensed"/>
      </rPr>
      <t xml:space="preserve">Android bugs
i18n loading issues
Analytics: collections, lists
</t>
    </r>
    <r>
      <rPr>
        <b/>
        <sz val="10"/>
        <color theme="1"/>
        <rFont val="Roboto Condensed"/>
      </rPr>
      <t>Setups for EMF and Retirement goals</t>
    </r>
  </si>
  <si>
    <r>
      <rPr>
        <b/>
        <sz val="10"/>
        <color rgb="FF38761D"/>
        <rFont val="Roboto Condensed"/>
      </rPr>
      <t xml:space="preserve">India team starting
</t>
    </r>
    <r>
      <rPr>
        <sz val="10"/>
        <color rgb="FF000000"/>
        <rFont val="Roboto Condensed"/>
      </rPr>
      <t>User content ratings
Lazy SSO</t>
    </r>
  </si>
  <si>
    <r>
      <rPr>
        <b/>
        <sz val="10"/>
        <color rgb="FF38761D"/>
        <rFont val="Roboto Condensed"/>
      </rPr>
      <t xml:space="preserve">India team starting
</t>
    </r>
    <r>
      <rPr>
        <sz val="10"/>
        <color rgb="FF000000"/>
        <rFont val="Roboto Condensed"/>
      </rPr>
      <t>India
-User content ratings
A1
-Lazy SSO 
-goals refactor</t>
    </r>
  </si>
  <si>
    <t xml:space="preserve">India
-Profile builder 
A1
*goals refactor
</t>
  </si>
  <si>
    <t>India
* user content ratings - mobile
A1
* goals refactor - mobile</t>
  </si>
  <si>
    <t>India
* Profile builder - mobile
* user ratings - web
* Goals refactor web - ambar</t>
  </si>
  <si>
    <t xml:space="preserve">* Profile builder - mobile
* user ratings - web
* Goals refactor web - ambar
</t>
  </si>
  <si>
    <t xml:space="preserve">* user ratings - web
* Goals refactor web - ambar
</t>
  </si>
  <si>
    <t xml:space="preserve">* Page-to-page - mobile
* Page-to-page - web
</t>
  </si>
  <si>
    <t xml:space="preserve">* Page-to-page - web
* Polls revisitable - mobile
</t>
  </si>
  <si>
    <t xml:space="preserve">* Polls revisitable - mobile
* polls revisitable - web
</t>
  </si>
  <si>
    <t xml:space="preserve">* polls revisitable - web
* content gating
</t>
  </si>
  <si>
    <t>* content gating
Wellness score</t>
  </si>
  <si>
    <t>Wellness score</t>
  </si>
  <si>
    <t>Insurance dashboard</t>
  </si>
  <si>
    <t>RSUs</t>
  </si>
  <si>
    <t>Buying a car FE</t>
  </si>
  <si>
    <t>Wallet &amp; new vehicle cards</t>
  </si>
  <si>
    <t xml:space="preserve">Wallet &amp; new vehicle cards
</t>
  </si>
  <si>
    <t xml:space="preserve">Budget - change list of goals to vehicles
</t>
  </si>
  <si>
    <t xml:space="preserve">Wellness Score in UI
BE improvements
</t>
  </si>
  <si>
    <t xml:space="preserve">RF Engineering </t>
  </si>
  <si>
    <r>
      <rPr>
        <sz val="10"/>
        <color theme="1"/>
        <rFont val="Roboto Condensed"/>
      </rPr>
      <t xml:space="preserve">
Pre-prod enviro (Mahesh +)
Detach vehic (Mladen)
</t>
    </r>
    <r>
      <rPr>
        <b/>
        <sz val="10"/>
        <color rgb="FF990000"/>
        <rFont val="Roboto Condensed"/>
      </rPr>
      <t>Vacation Mladen / Vishal</t>
    </r>
  </si>
  <si>
    <r>
      <rPr>
        <b/>
        <sz val="10"/>
        <color rgb="FF990000"/>
        <rFont val="Roboto Condensed"/>
      </rPr>
      <t xml:space="preserve">Vishal PTO Jan15-19
</t>
    </r>
    <r>
      <rPr>
        <b/>
        <sz val="10"/>
        <color theme="1"/>
        <rFont val="Roboto Condensed"/>
      </rPr>
      <t>ES fixes and doc (</t>
    </r>
    <r>
      <rPr>
        <sz val="10"/>
        <color theme="1"/>
        <rFont val="Roboto Condensed"/>
      </rPr>
      <t>JD &amp; Vishal</t>
    </r>
    <r>
      <rPr>
        <b/>
        <sz val="10"/>
        <color theme="1"/>
        <rFont val="Roboto Condensed"/>
      </rPr>
      <t>)
SSO fix (</t>
    </r>
    <r>
      <rPr>
        <sz val="10"/>
        <color theme="1"/>
        <rFont val="Roboto Condensed"/>
      </rPr>
      <t>Vishal</t>
    </r>
    <r>
      <rPr>
        <b/>
        <sz val="10"/>
        <color theme="1"/>
        <rFont val="Roboto Condensed"/>
      </rPr>
      <t>)
Detailed design and plan for detach veh (</t>
    </r>
    <r>
      <rPr>
        <sz val="10"/>
        <color theme="1"/>
        <rFont val="Roboto Condensed"/>
      </rPr>
      <t>Mladen</t>
    </r>
    <r>
      <rPr>
        <b/>
        <sz val="10"/>
        <color theme="1"/>
        <rFont val="Roboto Condensed"/>
      </rPr>
      <t>)
Pre-prod enviro (</t>
    </r>
    <r>
      <rPr>
        <sz val="10"/>
        <color theme="1"/>
        <rFont val="Roboto Condensed"/>
      </rPr>
      <t>Mahesh &amp; JD</t>
    </r>
    <r>
      <rPr>
        <b/>
        <sz val="10"/>
        <color theme="1"/>
        <rFont val="Roboto Condensed"/>
      </rPr>
      <t>)</t>
    </r>
  </si>
  <si>
    <r>
      <rPr>
        <b/>
        <sz val="10"/>
        <color theme="1"/>
        <rFont val="Roboto Condensed"/>
      </rPr>
      <t>Detach veh (</t>
    </r>
    <r>
      <rPr>
        <sz val="10"/>
        <color theme="1"/>
        <rFont val="Roboto Condensed"/>
      </rPr>
      <t>Mladen</t>
    </r>
    <r>
      <rPr>
        <b/>
        <sz val="10"/>
        <color theme="1"/>
        <rFont val="Roboto Condensed"/>
      </rPr>
      <t xml:space="preserve">)
</t>
    </r>
    <r>
      <rPr>
        <sz val="10"/>
        <color theme="1"/>
        <rFont val="Roboto Condensed"/>
      </rPr>
      <t xml:space="preserve">- detailed plan &amp; design
</t>
    </r>
    <r>
      <rPr>
        <b/>
        <sz val="10"/>
        <color theme="1"/>
        <rFont val="Roboto Condensed"/>
      </rPr>
      <t xml:space="preserve">Analytics pipeline (JD)
</t>
    </r>
    <r>
      <rPr>
        <sz val="10"/>
        <color theme="1"/>
        <rFont val="Roboto Condensed"/>
      </rPr>
      <t>- Onboarding &amp; Wellness Score + more</t>
    </r>
    <r>
      <rPr>
        <b/>
        <sz val="10"/>
        <color theme="1"/>
        <rFont val="Roboto Condensed"/>
      </rPr>
      <t xml:space="preserve">
ES fixes (</t>
    </r>
    <r>
      <rPr>
        <sz val="10"/>
        <color theme="1"/>
        <rFont val="Roboto Condensed"/>
      </rPr>
      <t>Vishal</t>
    </r>
    <r>
      <rPr>
        <b/>
        <sz val="10"/>
        <color theme="1"/>
        <rFont val="Roboto Condensed"/>
      </rPr>
      <t xml:space="preserve">)
</t>
    </r>
    <r>
      <rPr>
        <b/>
        <strike/>
        <sz val="10"/>
        <color theme="1"/>
        <rFont val="Roboto Condensed"/>
      </rPr>
      <t>Error handling (BE) (</t>
    </r>
    <r>
      <rPr>
        <strike/>
        <sz val="10"/>
        <color theme="1"/>
        <rFont val="Roboto Condensed"/>
      </rPr>
      <t>Vishal</t>
    </r>
    <r>
      <rPr>
        <b/>
        <strike/>
        <sz val="10"/>
        <color theme="1"/>
        <rFont val="Roboto Condensed"/>
      </rPr>
      <t xml:space="preserve">)
- </t>
    </r>
    <r>
      <rPr>
        <strike/>
        <sz val="10"/>
        <color theme="1"/>
        <rFont val="Roboto Condensed"/>
      </rPr>
      <t>MVP</t>
    </r>
  </si>
  <si>
    <r>
      <rPr>
        <b/>
        <sz val="10"/>
        <color theme="1"/>
        <rFont val="Roboto Condensed"/>
      </rPr>
      <t xml:space="preserve">Detach prototype </t>
    </r>
    <r>
      <rPr>
        <sz val="10"/>
        <color theme="1"/>
        <rFont val="Roboto Condensed"/>
      </rPr>
      <t xml:space="preserve">(Mladen &amp; team)
- possibly Brokerage shared by 2 goals 
</t>
    </r>
    <r>
      <rPr>
        <b/>
        <sz val="10"/>
        <color theme="1"/>
        <rFont val="Roboto Condensed"/>
      </rPr>
      <t xml:space="preserve">
One signal </t>
    </r>
    <r>
      <rPr>
        <sz val="10"/>
        <color theme="1"/>
        <rFont val="Roboto Condensed"/>
      </rPr>
      <t xml:space="preserve">(Vishal)
- File load automation
- new tags
</t>
    </r>
    <r>
      <rPr>
        <b/>
        <sz val="10"/>
        <color theme="1"/>
        <rFont val="Roboto Condensed"/>
      </rPr>
      <t>ES testing</t>
    </r>
    <r>
      <rPr>
        <sz val="10"/>
        <color theme="1"/>
        <rFont val="Roboto Condensed"/>
      </rPr>
      <t xml:space="preserve"> (Vishal)
- observe code during test</t>
    </r>
  </si>
  <si>
    <r>
      <rPr>
        <b/>
        <sz val="10"/>
        <color theme="1"/>
        <rFont val="Roboto Condensed"/>
      </rPr>
      <t>Detach proto (</t>
    </r>
    <r>
      <rPr>
        <sz val="10"/>
        <color theme="1"/>
        <rFont val="Roboto Condensed"/>
      </rPr>
      <t>Mladen &amp; team</t>
    </r>
    <r>
      <rPr>
        <b/>
        <sz val="10"/>
        <color theme="1"/>
        <rFont val="Roboto Condensed"/>
      </rPr>
      <t xml:space="preserve">)
</t>
    </r>
  </si>
  <si>
    <r>
      <rPr>
        <b/>
        <sz val="10"/>
        <color theme="1"/>
        <rFont val="Roboto Condensed"/>
      </rPr>
      <t>Detach proto</t>
    </r>
    <r>
      <rPr>
        <sz val="10"/>
        <color theme="1"/>
        <rFont val="Roboto Condensed"/>
      </rPr>
      <t xml:space="preserve"> (Mladen &amp; team)
</t>
    </r>
  </si>
  <si>
    <r>
      <rPr>
        <b/>
        <sz val="10"/>
        <color theme="1"/>
        <rFont val="Roboto Condensed"/>
      </rPr>
      <t xml:space="preserve">Detach proto </t>
    </r>
    <r>
      <rPr>
        <sz val="10"/>
        <color theme="1"/>
        <rFont val="Roboto Condensed"/>
      </rPr>
      <t>(Mladen &amp; team)</t>
    </r>
    <r>
      <rPr>
        <sz val="10"/>
        <color rgb="FF990000"/>
        <rFont val="Roboto Condensed"/>
      </rPr>
      <t xml:space="preserve">
</t>
    </r>
  </si>
  <si>
    <r>
      <rPr>
        <sz val="10"/>
        <color theme="1"/>
        <rFont val="Roboto Condensed"/>
      </rPr>
      <t xml:space="preserve">Documentation of Detach vehicles
Back-end service stuff 
</t>
    </r>
    <r>
      <rPr>
        <strike/>
        <sz val="10"/>
        <color theme="1"/>
        <rFont val="Roboto Condensed"/>
      </rPr>
      <t xml:space="preserve">Search results load
</t>
    </r>
    <r>
      <rPr>
        <sz val="10"/>
        <color theme="1"/>
        <rFont val="Roboto Condensed"/>
      </rPr>
      <t xml:space="preserve">
</t>
    </r>
  </si>
  <si>
    <r>
      <rPr>
        <b/>
        <sz val="10"/>
        <color rgb="FF000000"/>
        <rFont val="Roboto Condensed"/>
      </rPr>
      <t xml:space="preserve">Data pipeline
</t>
    </r>
    <r>
      <rPr>
        <sz val="10"/>
        <color rgb="FF000000"/>
        <rFont val="Roboto Condensed"/>
      </rPr>
      <t xml:space="preserve">- Journeys 
</t>
    </r>
    <r>
      <rPr>
        <b/>
        <sz val="10"/>
        <color rgb="FF000000"/>
        <rFont val="Roboto Condensed"/>
      </rPr>
      <t xml:space="preserve">
Automate load of content tags</t>
    </r>
  </si>
  <si>
    <r>
      <rPr>
        <b/>
        <sz val="10"/>
        <color rgb="FF990000"/>
        <rFont val="Roboto Condensed"/>
      </rPr>
      <t xml:space="preserve">Vishal resigning end of Apr
</t>
    </r>
    <r>
      <rPr>
        <b/>
        <sz val="10"/>
        <color rgb="FF000000"/>
        <rFont val="Roboto Condensed"/>
      </rPr>
      <t xml:space="preserve">Detach veh (pt 2) </t>
    </r>
    <r>
      <rPr>
        <sz val="10"/>
        <color rgb="FF000000"/>
        <rFont val="Roboto Condensed"/>
      </rPr>
      <t>(Mladen)</t>
    </r>
    <r>
      <rPr>
        <b/>
        <sz val="10"/>
        <color rgb="FF000000"/>
        <rFont val="Roboto Condensed"/>
      </rPr>
      <t xml:space="preserve">
</t>
    </r>
    <r>
      <rPr>
        <sz val="10"/>
        <color rgb="FF000000"/>
        <rFont val="Roboto Condensed"/>
      </rPr>
      <t xml:space="preserve">- Checkings
- Savings
</t>
    </r>
    <r>
      <rPr>
        <b/>
        <sz val="10"/>
        <color rgb="FF000000"/>
        <rFont val="Roboto Condensed"/>
      </rPr>
      <t xml:space="preserve">
</t>
    </r>
  </si>
  <si>
    <r>
      <rPr>
        <b/>
        <sz val="10"/>
        <color theme="1"/>
        <rFont val="Roboto Condensed"/>
      </rPr>
      <t xml:space="preserve">Detach vehicles, pt1
</t>
    </r>
    <r>
      <rPr>
        <sz val="10"/>
        <color theme="1"/>
        <rFont val="Roboto Condensed"/>
      </rPr>
      <t xml:space="preserve">- Consolidate 7 serivces to 1
</t>
    </r>
    <r>
      <rPr>
        <b/>
        <sz val="10"/>
        <color theme="1"/>
        <rFont val="Roboto Condensed"/>
      </rPr>
      <t>Data pipeline</t>
    </r>
    <r>
      <rPr>
        <sz val="10"/>
        <color theme="1"/>
        <rFont val="Roboto Condensed"/>
      </rPr>
      <t xml:space="preserve">
-App onboarding events</t>
    </r>
  </si>
  <si>
    <r>
      <rPr>
        <b/>
        <sz val="10"/>
        <color theme="1"/>
        <rFont val="Roboto Condensed"/>
      </rPr>
      <t xml:space="preserve">Detach vehicles, pt1
</t>
    </r>
    <r>
      <rPr>
        <sz val="10"/>
        <color theme="1"/>
        <rFont val="Roboto Condensed"/>
      </rPr>
      <t>- Consolidate 7 serivces to 1 (Mladden)</t>
    </r>
  </si>
  <si>
    <t>Supporting A1 on pt1 (Mladen)
Action card enh (JD)</t>
  </si>
  <si>
    <t xml:space="preserve">Supporting A1 on pt1 (Mladen)
</t>
  </si>
  <si>
    <t>Supporting A1 on pt1 (Mladen)
Fix goals content lists
Interviewing India team</t>
  </si>
  <si>
    <t>Supporting A1 on pt1 (Mladen)
Interviewing India team</t>
  </si>
  <si>
    <r>
      <rPr>
        <sz val="10"/>
        <color theme="1"/>
        <rFont val="Roboto Condensed"/>
      </rPr>
      <t xml:space="preserve">Checkings/EMF/Savings (Mladen)
</t>
    </r>
    <r>
      <rPr>
        <sz val="10"/>
        <color rgb="FF990000"/>
        <rFont val="Roboto Condensed"/>
      </rPr>
      <t xml:space="preserve">
Null users in reporting
</t>
    </r>
    <r>
      <rPr>
        <sz val="10"/>
        <color theme="1"/>
        <rFont val="Roboto Condensed"/>
      </rPr>
      <t>Analytics: Users not in the user file</t>
    </r>
  </si>
  <si>
    <t>Checkings/EMF/Savings (Mladen)
Adding data for source of user (newsletter, etc)
Null users in reporting</t>
  </si>
  <si>
    <t xml:space="preserve">Newsletter sign-up page
Force log out users not in file
Null users in reporting
</t>
  </si>
  <si>
    <t>Investigate Silent Authentication for SSO
Services Implementation
Integration testing</t>
  </si>
  <si>
    <t xml:space="preserve">*goals refactor
*Service discovery
</t>
  </si>
  <si>
    <t>*Backstage
*Service discovery</t>
  </si>
  <si>
    <r>
      <rPr>
        <b/>
        <sz val="10"/>
        <color theme="1"/>
        <rFont val="Roboto Condensed"/>
      </rPr>
      <t xml:space="preserve">Wellness Score review
</t>
    </r>
    <r>
      <rPr>
        <sz val="10"/>
        <color theme="1"/>
        <rFont val="Roboto Condensed"/>
      </rPr>
      <t>- add BAH to the calc
- Fix no debt same as bad debt
- Data validation</t>
    </r>
  </si>
  <si>
    <t>Search
-Index Vehicles/Goals Budget
Multi-tenancy support</t>
  </si>
  <si>
    <r>
      <rPr>
        <b/>
        <strike/>
        <sz val="10"/>
        <color theme="1"/>
        <rFont val="Roboto Condensed"/>
      </rPr>
      <t>Journey Helper</t>
    </r>
    <r>
      <rPr>
        <strike/>
        <sz val="10"/>
        <color theme="1"/>
        <rFont val="Roboto Condensed"/>
      </rPr>
      <t xml:space="preserve"> (Vitto)
-Iteration design </t>
    </r>
    <r>
      <rPr>
        <sz val="10"/>
        <color theme="1"/>
        <rFont val="Roboto Condensed"/>
      </rPr>
      <t xml:space="preserve">
</t>
    </r>
    <r>
      <rPr>
        <b/>
        <strike/>
        <sz val="10"/>
        <color theme="1"/>
        <rFont val="Roboto Condensed"/>
      </rPr>
      <t>Account Linking &amp; Detached vehicles</t>
    </r>
    <r>
      <rPr>
        <strike/>
        <sz val="10"/>
        <color theme="1"/>
        <rFont val="Roboto Condensed"/>
      </rPr>
      <t xml:space="preserve"> (Vitto)
</t>
    </r>
    <r>
      <rPr>
        <sz val="10"/>
        <color theme="1"/>
        <rFont val="Roboto Condensed"/>
      </rPr>
      <t xml:space="preserve">
</t>
    </r>
    <r>
      <rPr>
        <b/>
        <sz val="10"/>
        <color theme="1"/>
        <rFont val="Roboto Condensed"/>
      </rPr>
      <t>Buying a car</t>
    </r>
    <r>
      <rPr>
        <sz val="10"/>
        <color theme="1"/>
        <rFont val="Roboto Condensed"/>
      </rPr>
      <t xml:space="preserve"> (Charlie)
- Figma doc</t>
    </r>
  </si>
  <si>
    <r>
      <rPr>
        <b/>
        <sz val="10"/>
        <color theme="1"/>
        <rFont val="Roboto Condensed"/>
      </rPr>
      <t>Journey Helper</t>
    </r>
    <r>
      <rPr>
        <sz val="10"/>
        <color theme="1"/>
        <rFont val="Roboto Condensed"/>
      </rPr>
      <t xml:space="preserve"> (Vitto)
-Design iteration, esp Web
</t>
    </r>
    <r>
      <rPr>
        <b/>
        <sz val="10"/>
        <color theme="1"/>
        <rFont val="Roboto Condensed"/>
      </rPr>
      <t>RSU vehicle</t>
    </r>
    <r>
      <rPr>
        <sz val="10"/>
        <color theme="1"/>
        <rFont val="Roboto Condensed"/>
      </rPr>
      <t xml:space="preserve"> (Charlie)
- RSU review of figma (Vitto)
</t>
    </r>
    <r>
      <rPr>
        <b/>
        <sz val="10"/>
        <color theme="1"/>
        <rFont val="Roboto Condensed"/>
      </rPr>
      <t>Journey illustrations</t>
    </r>
    <r>
      <rPr>
        <sz val="10"/>
        <color theme="1"/>
        <rFont val="Roboto Condensed"/>
      </rPr>
      <t>(Charlie)
- Backgrounds x 4
- Celebrations x 4</t>
    </r>
  </si>
  <si>
    <r>
      <rPr>
        <b/>
        <sz val="10"/>
        <color theme="1"/>
        <rFont val="Roboto Condensed"/>
      </rPr>
      <t>Detached vehicles</t>
    </r>
    <r>
      <rPr>
        <sz val="10"/>
        <color theme="1"/>
        <rFont val="Roboto Condensed"/>
      </rPr>
      <t xml:space="preserve"> (Vitto)
- Design iteration
</t>
    </r>
    <r>
      <rPr>
        <b/>
        <sz val="10"/>
        <color theme="1"/>
        <rFont val="Roboto Condensed"/>
      </rPr>
      <t>Journey Helper</t>
    </r>
    <r>
      <rPr>
        <sz val="10"/>
        <color theme="1"/>
        <rFont val="Roboto Condensed"/>
      </rPr>
      <t xml:space="preserve"> (Vitto)
-Figma documentation
</t>
    </r>
    <r>
      <rPr>
        <b/>
        <sz val="10"/>
        <color theme="1"/>
        <rFont val="Roboto Condensed"/>
      </rPr>
      <t>RSU vehicle</t>
    </r>
    <r>
      <rPr>
        <sz val="10"/>
        <color theme="1"/>
        <rFont val="Roboto Condensed"/>
      </rPr>
      <t xml:space="preserve"> (Charlie)
- Figma documentation
</t>
    </r>
    <r>
      <rPr>
        <b/>
        <sz val="10"/>
        <color theme="1"/>
        <rFont val="Roboto Condensed"/>
      </rPr>
      <t>Savings illustrations</t>
    </r>
    <r>
      <rPr>
        <sz val="10"/>
        <color theme="1"/>
        <rFont val="Roboto Condensed"/>
      </rPr>
      <t xml:space="preserve"> (Charlie)</t>
    </r>
  </si>
  <si>
    <r>
      <rPr>
        <b/>
        <sz val="10"/>
        <color theme="1"/>
        <rFont val="Roboto Condensed"/>
      </rPr>
      <t>Detached vehicles</t>
    </r>
    <r>
      <rPr>
        <sz val="10"/>
        <color theme="1"/>
        <rFont val="Roboto Condensed"/>
      </rPr>
      <t xml:space="preserve"> (Vitto)
- Design iteration, prototype, web designs
</t>
    </r>
    <r>
      <rPr>
        <b/>
        <sz val="10"/>
        <color theme="1"/>
        <rFont val="Roboto Condensed"/>
      </rPr>
      <t xml:space="preserve">Savings vehicle
-  </t>
    </r>
    <r>
      <rPr>
        <sz val="10"/>
        <color theme="1"/>
        <rFont val="Roboto Condensed"/>
      </rPr>
      <t xml:space="preserve">figma documentation (Charlie)
</t>
    </r>
    <r>
      <rPr>
        <b/>
        <sz val="10"/>
        <color theme="1"/>
        <rFont val="Roboto Condensed"/>
      </rPr>
      <t>User content ratings</t>
    </r>
    <r>
      <rPr>
        <sz val="10"/>
        <color theme="1"/>
        <rFont val="Roboto Condensed"/>
      </rPr>
      <t xml:space="preserve"> (Charlie) - Exploration
</t>
    </r>
    <r>
      <rPr>
        <b/>
        <sz val="10"/>
        <color theme="1"/>
        <rFont val="Roboto Condensed"/>
      </rPr>
      <t>RSU</t>
    </r>
    <r>
      <rPr>
        <sz val="10"/>
        <color theme="1"/>
        <rFont val="Roboto Condensed"/>
      </rPr>
      <t xml:space="preserve"> (Charlie)
- incorporate user feedback
</t>
    </r>
  </si>
  <si>
    <r>
      <rPr>
        <b/>
        <sz val="10"/>
        <color rgb="FF990000"/>
        <rFont val="Roboto Condensed"/>
      </rPr>
      <t xml:space="preserve">Charlie supporting UST deck
</t>
    </r>
    <r>
      <rPr>
        <b/>
        <sz val="10"/>
        <color theme="1"/>
        <rFont val="Roboto Condensed"/>
      </rPr>
      <t xml:space="preserve">Detached vehicles (Vitto)
</t>
    </r>
    <r>
      <rPr>
        <sz val="10"/>
        <color theme="1"/>
        <rFont val="Roboto Condensed"/>
      </rPr>
      <t xml:space="preserve">- Design for EMF, Savings, Checkings
</t>
    </r>
    <r>
      <rPr>
        <b/>
        <sz val="10"/>
        <color theme="1"/>
        <rFont val="Roboto Condensed"/>
      </rPr>
      <t>EMF goal (</t>
    </r>
    <r>
      <rPr>
        <sz val="10"/>
        <color theme="1"/>
        <rFont val="Roboto Condensed"/>
      </rPr>
      <t>Vitto</t>
    </r>
    <r>
      <rPr>
        <b/>
        <sz val="10"/>
        <color theme="1"/>
        <rFont val="Roboto Condensed"/>
      </rPr>
      <t xml:space="preserve">)
Savings &amp; Checkings </t>
    </r>
    <r>
      <rPr>
        <sz val="10"/>
        <color theme="1"/>
        <rFont val="Roboto Condensed"/>
      </rPr>
      <t>(Vitto) - Iteration</t>
    </r>
    <r>
      <rPr>
        <b/>
        <sz val="10"/>
        <color theme="1"/>
        <rFont val="Roboto Condensed"/>
      </rPr>
      <t xml:space="preserve">
</t>
    </r>
  </si>
  <si>
    <r>
      <rPr>
        <b/>
        <sz val="10"/>
        <color rgb="FF990000"/>
        <rFont val="Roboto Condensed"/>
      </rPr>
      <t xml:space="preserve">Charlie supporint UST 1wk
</t>
    </r>
    <r>
      <rPr>
        <b/>
        <sz val="10"/>
        <color theme="1"/>
        <rFont val="Roboto Condensed"/>
      </rPr>
      <t>Savings &amp; Checkings (</t>
    </r>
    <r>
      <rPr>
        <sz val="10"/>
        <color theme="1"/>
        <rFont val="Roboto Condensed"/>
      </rPr>
      <t>Vitto</t>
    </r>
    <r>
      <rPr>
        <b/>
        <sz val="10"/>
        <color theme="1"/>
        <rFont val="Roboto Condensed"/>
      </rPr>
      <t xml:space="preserve">) - </t>
    </r>
    <r>
      <rPr>
        <sz val="10"/>
        <color theme="1"/>
        <rFont val="Roboto Condensed"/>
      </rPr>
      <t xml:space="preserve">Finalization
</t>
    </r>
    <r>
      <rPr>
        <b/>
        <sz val="10"/>
        <color theme="1"/>
        <rFont val="Roboto Condensed"/>
      </rPr>
      <t xml:space="preserve">Detached vehicle </t>
    </r>
    <r>
      <rPr>
        <sz val="10"/>
        <color theme="1"/>
        <rFont val="Roboto Condensed"/>
      </rPr>
      <t xml:space="preserve">(Vitto)
- backtrack designs to savings, checking, brokerage, bah, retirement, emf
</t>
    </r>
    <r>
      <rPr>
        <b/>
        <sz val="10"/>
        <color theme="1"/>
        <rFont val="Roboto Condensed"/>
      </rPr>
      <t xml:space="preserve">RSU Detached Vehicle Friendly </t>
    </r>
    <r>
      <rPr>
        <sz val="10"/>
        <color theme="1"/>
        <rFont val="Roboto Condensed"/>
      </rPr>
      <t>(Vitto)
- design updates</t>
    </r>
    <r>
      <rPr>
        <b/>
        <sz val="10"/>
        <color theme="1"/>
        <rFont val="Roboto Condensed"/>
      </rPr>
      <t xml:space="preserve">
Journey Helper</t>
    </r>
    <r>
      <rPr>
        <sz val="10"/>
        <color theme="1"/>
        <rFont val="Roboto Condensed"/>
      </rPr>
      <t xml:space="preserve"> (Vitto)
- Dev Support
</t>
    </r>
    <r>
      <rPr>
        <b/>
        <sz val="10"/>
        <color theme="1"/>
        <rFont val="Roboto Condensed"/>
      </rPr>
      <t>Buying a car</t>
    </r>
    <r>
      <rPr>
        <sz val="10"/>
        <color theme="1"/>
        <rFont val="Roboto Condensed"/>
      </rPr>
      <t xml:space="preserve"> (Vitto)
- Detached vehicle friendly</t>
    </r>
  </si>
  <si>
    <r>
      <rPr>
        <b/>
        <sz val="10"/>
        <color rgb="FF990000"/>
        <rFont val="Roboto Condensed"/>
      </rPr>
      <t xml:space="preserve">Charlie supporting UST
Vitto PTO Mar21-22, 28-29
</t>
    </r>
    <r>
      <rPr>
        <b/>
        <sz val="10"/>
        <color theme="1"/>
        <rFont val="Roboto Condensed"/>
      </rPr>
      <t>Journes (</t>
    </r>
    <r>
      <rPr>
        <sz val="10"/>
        <color theme="1"/>
        <rFont val="Roboto Condensed"/>
      </rPr>
      <t xml:space="preserve">Vitto)
- UAT Support
</t>
    </r>
    <r>
      <rPr>
        <b/>
        <sz val="10"/>
        <color theme="1"/>
        <rFont val="Roboto Condensed"/>
      </rPr>
      <t xml:space="preserve">Mock-up for strategy deck </t>
    </r>
    <r>
      <rPr>
        <sz val="10"/>
        <color theme="1"/>
        <rFont val="Roboto Condensed"/>
      </rPr>
      <t xml:space="preserve">(Vitto)
- Insurance, Goals trade-offs
</t>
    </r>
    <r>
      <rPr>
        <b/>
        <sz val="10"/>
        <color theme="1"/>
        <rFont val="Roboto Condensed"/>
      </rPr>
      <t xml:space="preserve">Detached vehicle </t>
    </r>
    <r>
      <rPr>
        <sz val="10"/>
        <color theme="1"/>
        <rFont val="Roboto Condensed"/>
      </rPr>
      <t>(Vitto)</t>
    </r>
    <r>
      <rPr>
        <b/>
        <sz val="10"/>
        <color theme="1"/>
        <rFont val="Roboto Condensed"/>
      </rPr>
      <t xml:space="preserve">
</t>
    </r>
    <r>
      <rPr>
        <sz val="10"/>
        <color theme="1"/>
        <rFont val="Roboto Condensed"/>
      </rPr>
      <t xml:space="preserve">- inform user of change of target dates
- backtrack to bac, bah, retirment, emf, saving, checking, rsu, brokerage
</t>
    </r>
  </si>
  <si>
    <r>
      <rPr>
        <b/>
        <sz val="10"/>
        <color rgb="FF990000"/>
        <rFont val="Roboto Condensed"/>
      </rPr>
      <t xml:space="preserve">Charlie on UST
</t>
    </r>
    <r>
      <rPr>
        <b/>
        <sz val="10"/>
        <color theme="1"/>
        <rFont val="Roboto Condensed"/>
      </rPr>
      <t>Insurance dashboard (</t>
    </r>
    <r>
      <rPr>
        <sz val="10"/>
        <color theme="1"/>
        <rFont val="Roboto Condensed"/>
      </rPr>
      <t>Vitto</t>
    </r>
    <r>
      <rPr>
        <b/>
        <sz val="10"/>
        <color theme="1"/>
        <rFont val="Roboto Condensed"/>
      </rPr>
      <t xml:space="preserve">)
- </t>
    </r>
    <r>
      <rPr>
        <sz val="10"/>
        <color theme="1"/>
        <rFont val="Roboto Condensed"/>
      </rPr>
      <t xml:space="preserve">Exploration
</t>
    </r>
    <r>
      <rPr>
        <b/>
        <sz val="10"/>
        <color theme="1"/>
        <rFont val="Roboto Condensed"/>
      </rPr>
      <t>Detached vechiles (</t>
    </r>
    <r>
      <rPr>
        <sz val="10"/>
        <color theme="1"/>
        <rFont val="Roboto Condensed"/>
      </rPr>
      <t>Vitto</t>
    </r>
    <r>
      <rPr>
        <b/>
        <sz val="10"/>
        <color theme="1"/>
        <rFont val="Roboto Condensed"/>
      </rPr>
      <t xml:space="preserve">)
</t>
    </r>
    <r>
      <rPr>
        <sz val="10"/>
        <color theme="1"/>
        <rFont val="Roboto Condensed"/>
      </rPr>
      <t xml:space="preserve">- Dev support
</t>
    </r>
    <r>
      <rPr>
        <b/>
        <strike/>
        <sz val="10"/>
        <color theme="1"/>
        <rFont val="Roboto Condensed"/>
      </rPr>
      <t xml:space="preserve">RSUs (Charlie)
</t>
    </r>
    <r>
      <rPr>
        <strike/>
        <sz val="10"/>
        <color theme="1"/>
        <rFont val="Roboto Condensed"/>
      </rPr>
      <t xml:space="preserve">- incorporate user testing
</t>
    </r>
    <r>
      <rPr>
        <b/>
        <strike/>
        <sz val="10"/>
        <color theme="1"/>
        <rFont val="Roboto Condensed"/>
      </rPr>
      <t>Illustrations (</t>
    </r>
    <r>
      <rPr>
        <strike/>
        <sz val="10"/>
        <color theme="1"/>
        <rFont val="Roboto Condensed"/>
      </rPr>
      <t>Charlie)
- Suggestions page web
- Benefits page web</t>
    </r>
    <r>
      <rPr>
        <sz val="10"/>
        <color theme="1"/>
        <rFont val="Roboto Condensed"/>
      </rPr>
      <t xml:space="preserve">
</t>
    </r>
  </si>
  <si>
    <r>
      <rPr>
        <b/>
        <sz val="10"/>
        <color rgb="FF980000"/>
        <rFont val="Roboto Condensed"/>
      </rPr>
      <t xml:space="preserve">Charlie on UST
</t>
    </r>
    <r>
      <rPr>
        <b/>
        <sz val="10"/>
        <color rgb="FF000000"/>
        <rFont val="Roboto Condensed"/>
      </rPr>
      <t>Insurance dashboard (</t>
    </r>
    <r>
      <rPr>
        <sz val="10"/>
        <color rgb="FF000000"/>
        <rFont val="Roboto Condensed"/>
      </rPr>
      <t>Vitto)</t>
    </r>
    <r>
      <rPr>
        <b/>
        <sz val="10"/>
        <color rgb="FF000000"/>
        <rFont val="Roboto Condensed"/>
      </rPr>
      <t xml:space="preserve">
</t>
    </r>
    <r>
      <rPr>
        <sz val="10"/>
        <color rgb="FF000000"/>
        <rFont val="Roboto Condensed"/>
      </rPr>
      <t>- iteration</t>
    </r>
    <r>
      <rPr>
        <b/>
        <sz val="10"/>
        <color rgb="FF000000"/>
        <rFont val="Roboto Condensed"/>
      </rPr>
      <t xml:space="preserve">
User content ratings </t>
    </r>
    <r>
      <rPr>
        <sz val="10"/>
        <color rgb="FF000000"/>
        <rFont val="Roboto Condensed"/>
      </rPr>
      <t>(Vitto) 
- Finalization</t>
    </r>
  </si>
  <si>
    <r>
      <rPr>
        <b/>
        <sz val="10"/>
        <color rgb="FF990000"/>
        <rFont val="Roboto Condensed"/>
      </rPr>
      <t xml:space="preserve">Charlie on PTO
</t>
    </r>
    <r>
      <rPr>
        <b/>
        <sz val="10"/>
        <color rgb="FF000000"/>
        <rFont val="Roboto Condensed"/>
      </rPr>
      <t>UX Detached Vehicles</t>
    </r>
    <r>
      <rPr>
        <sz val="10"/>
        <color rgb="FF000000"/>
        <rFont val="Roboto Condensed"/>
      </rPr>
      <t xml:space="preserve"> (Vitto)
- slow loading
- update to magic number
</t>
    </r>
    <r>
      <rPr>
        <b/>
        <sz val="10"/>
        <color rgb="FF000000"/>
        <rFont val="Roboto Condensed"/>
      </rPr>
      <t xml:space="preserve">
Insurance dashboard
(</t>
    </r>
    <r>
      <rPr>
        <sz val="10"/>
        <color rgb="FF000000"/>
        <rFont val="Roboto Condensed"/>
      </rPr>
      <t>Vitto</t>
    </r>
    <r>
      <rPr>
        <b/>
        <sz val="10"/>
        <color rgb="FF000000"/>
        <rFont val="Roboto Condensed"/>
      </rPr>
      <t xml:space="preserve">)
</t>
    </r>
    <r>
      <rPr>
        <sz val="10"/>
        <color rgb="FF000000"/>
        <rFont val="Roboto Condensed"/>
      </rPr>
      <t>- Iteration</t>
    </r>
  </si>
  <si>
    <r>
      <rPr>
        <b/>
        <sz val="10"/>
        <color rgb="FF990000"/>
        <rFont val="Roboto Condensed"/>
      </rPr>
      <t xml:space="preserve">Charlie on Leave
</t>
    </r>
    <r>
      <rPr>
        <b/>
        <sz val="10"/>
        <color rgb="FF000000"/>
        <rFont val="Roboto Condensed"/>
      </rPr>
      <t xml:space="preserve">
Profile builder</t>
    </r>
    <r>
      <rPr>
        <sz val="10"/>
        <color rgb="FF000000"/>
        <rFont val="Roboto Condensed"/>
      </rPr>
      <t xml:space="preserve"> (Vitto)</t>
    </r>
    <r>
      <rPr>
        <b/>
        <sz val="10"/>
        <color rgb="FF000000"/>
        <rFont val="Roboto Condensed"/>
      </rPr>
      <t xml:space="preserve">
</t>
    </r>
    <r>
      <rPr>
        <sz val="10"/>
        <color rgb="FF000000"/>
        <rFont val="Roboto Condensed"/>
      </rPr>
      <t xml:space="preserve">-Exploration
</t>
    </r>
  </si>
  <si>
    <r>
      <rPr>
        <b/>
        <sz val="10"/>
        <color rgb="FF990000"/>
        <rFont val="Roboto Condensed"/>
      </rPr>
      <t xml:space="preserve">Charlie on Leave
</t>
    </r>
    <r>
      <rPr>
        <b/>
        <sz val="10"/>
        <color rgb="FF000000"/>
        <rFont val="Roboto Condensed"/>
      </rPr>
      <t xml:space="preserve">Profile builder </t>
    </r>
    <r>
      <rPr>
        <sz val="10"/>
        <color rgb="FF000000"/>
        <rFont val="Roboto Condensed"/>
      </rPr>
      <t>(Vitto)</t>
    </r>
    <r>
      <rPr>
        <b/>
        <sz val="10"/>
        <color rgb="FF000000"/>
        <rFont val="Roboto Condensed"/>
      </rPr>
      <t xml:space="preserve">
</t>
    </r>
    <r>
      <rPr>
        <sz val="10"/>
        <color rgb="FF000000"/>
        <rFont val="Roboto Condensed"/>
      </rPr>
      <t xml:space="preserve">-Proto of mobile 
</t>
    </r>
  </si>
  <si>
    <r>
      <rPr>
        <b/>
        <strike/>
        <sz val="10"/>
        <color rgb="FF990000"/>
        <rFont val="Roboto Condensed"/>
      </rPr>
      <t xml:space="preserve">Charlie on Leave
</t>
    </r>
    <r>
      <rPr>
        <b/>
        <sz val="10"/>
        <color rgb="FF990000"/>
        <rFont val="Roboto Condensed"/>
      </rPr>
      <t xml:space="preserve">
</t>
    </r>
    <r>
      <rPr>
        <b/>
        <sz val="10"/>
        <color rgb="FF000000"/>
        <rFont val="Roboto Condensed"/>
      </rPr>
      <t xml:space="preserve">Profile builder
</t>
    </r>
    <r>
      <rPr>
        <sz val="10"/>
        <color rgb="FF000000"/>
        <rFont val="Roboto Condensed"/>
      </rPr>
      <t xml:space="preserve">- iteration &amp; prototype
</t>
    </r>
    <r>
      <rPr>
        <b/>
        <sz val="10"/>
        <color rgb="FF000000"/>
        <rFont val="Roboto Condensed"/>
      </rPr>
      <t xml:space="preserve">CMS benefit content standardization
</t>
    </r>
    <r>
      <rPr>
        <sz val="10"/>
        <color rgb="FF000000"/>
        <rFont val="Roboto Condensed"/>
      </rPr>
      <t xml:space="preserve">- Cover image (Vitto)
- Titles and CTAs (Michael)
</t>
    </r>
    <r>
      <rPr>
        <b/>
        <sz val="10"/>
        <color rgb="FF000000"/>
        <rFont val="Roboto Condensed"/>
      </rPr>
      <t xml:space="preserve">Insurance dashboard
</t>
    </r>
    <r>
      <rPr>
        <sz val="10"/>
        <color rgb="FF000000"/>
        <rFont val="Roboto Condensed"/>
      </rPr>
      <t xml:space="preserve">(Vitto)
- Iteration
</t>
    </r>
  </si>
  <si>
    <r>
      <rPr>
        <b/>
        <sz val="10"/>
        <color rgb="FF980000"/>
        <rFont val="Roboto Condensed"/>
      </rPr>
      <t xml:space="preserve">Vitto on PTO Jun24-Jul5
</t>
    </r>
    <r>
      <rPr>
        <b/>
        <sz val="10"/>
        <color rgb="FF000000"/>
        <rFont val="Roboto Condensed"/>
      </rPr>
      <t>Dev support
RSU content</t>
    </r>
    <r>
      <rPr>
        <sz val="10"/>
        <color rgb="FF000000"/>
        <rFont val="Roboto Condensed"/>
      </rPr>
      <t xml:space="preserve"> (Michael)
- Finalization</t>
    </r>
  </si>
  <si>
    <r>
      <rPr>
        <b/>
        <sz val="10"/>
        <color rgb="FF000000"/>
        <rFont val="Roboto Condensed"/>
      </rPr>
      <t xml:space="preserve">Profile builder </t>
    </r>
    <r>
      <rPr>
        <sz val="10"/>
        <color rgb="FF000000"/>
        <rFont val="Roboto Condensed"/>
      </rPr>
      <t xml:space="preserve">(Vitto)
- Figma finalization
</t>
    </r>
    <r>
      <rPr>
        <b/>
        <sz val="10"/>
        <color rgb="FF000000"/>
        <rFont val="Roboto Condensed"/>
      </rPr>
      <t>Page-to-page UX</t>
    </r>
    <r>
      <rPr>
        <sz val="10"/>
        <color rgb="FF000000"/>
        <rFont val="Roboto Condensed"/>
      </rPr>
      <t xml:space="preserve"> (Vitto)
- Exploration
</t>
    </r>
    <r>
      <rPr>
        <b/>
        <sz val="10"/>
        <color rgb="FF000000"/>
        <rFont val="Roboto Condensed"/>
      </rPr>
      <t xml:space="preserve">Insurance dashboard
</t>
    </r>
    <r>
      <rPr>
        <sz val="10"/>
        <color rgb="FF000000"/>
        <rFont val="Roboto Condensed"/>
      </rPr>
      <t>(Vitto)
- Iteration</t>
    </r>
  </si>
  <si>
    <r>
      <rPr>
        <b/>
        <sz val="10"/>
        <color rgb="FF000000"/>
        <rFont val="Roboto Condensed"/>
      </rPr>
      <t xml:space="preserve">Page-to-page UX </t>
    </r>
    <r>
      <rPr>
        <sz val="10"/>
        <color rgb="FF000000"/>
        <rFont val="Roboto Condensed"/>
      </rPr>
      <t>(Vitto)</t>
    </r>
    <r>
      <rPr>
        <b/>
        <sz val="10"/>
        <color rgb="FF000000"/>
        <rFont val="Roboto Condensed"/>
      </rPr>
      <t xml:space="preserve">
- </t>
    </r>
    <r>
      <rPr>
        <sz val="10"/>
        <color rgb="FF000000"/>
        <rFont val="Roboto Condensed"/>
      </rPr>
      <t>Iteration</t>
    </r>
    <r>
      <rPr>
        <b/>
        <sz val="10"/>
        <color rgb="FF000000"/>
        <rFont val="Roboto Condensed"/>
      </rPr>
      <t xml:space="preserve">
Insurance dashboard
</t>
    </r>
    <r>
      <rPr>
        <sz val="10"/>
        <color rgb="FF000000"/>
        <rFont val="Roboto Condensed"/>
      </rPr>
      <t xml:space="preserve">(Vitto)
- Mobile &amp; final web
</t>
    </r>
    <r>
      <rPr>
        <b/>
        <sz val="10"/>
        <color rgb="FF000000"/>
        <rFont val="Roboto Condensed"/>
      </rPr>
      <t xml:space="preserve">Detach Veh support
- </t>
    </r>
  </si>
  <si>
    <r>
      <rPr>
        <b/>
        <sz val="10"/>
        <color rgb="FF000000"/>
        <rFont val="Roboto Condensed"/>
      </rPr>
      <t xml:space="preserve">Page-to-page UX </t>
    </r>
    <r>
      <rPr>
        <sz val="10"/>
        <color rgb="FF000000"/>
        <rFont val="Roboto Condensed"/>
      </rPr>
      <t>(Vitto)</t>
    </r>
    <r>
      <rPr>
        <b/>
        <sz val="10"/>
        <color rgb="FF000000"/>
        <rFont val="Roboto Condensed"/>
      </rPr>
      <t xml:space="preserve">
- </t>
    </r>
    <r>
      <rPr>
        <sz val="10"/>
        <color rgb="FF000000"/>
        <rFont val="Roboto Condensed"/>
      </rPr>
      <t>Finalziation</t>
    </r>
    <r>
      <rPr>
        <b/>
        <sz val="10"/>
        <color rgb="FF000000"/>
        <rFont val="Roboto Condensed"/>
      </rPr>
      <t xml:space="preserve">
</t>
    </r>
    <r>
      <rPr>
        <b/>
        <strike/>
        <sz val="10"/>
        <color rgb="FF980000"/>
        <rFont val="Roboto Condensed"/>
      </rPr>
      <t xml:space="preserve">Multi-tenancy audit
</t>
    </r>
    <r>
      <rPr>
        <strike/>
        <sz val="10"/>
        <color rgb="FF980000"/>
        <rFont val="Roboto Condensed"/>
      </rPr>
      <t>(Vitto)</t>
    </r>
    <r>
      <rPr>
        <b/>
        <sz val="10"/>
        <color rgb="FF000000"/>
        <rFont val="Roboto Condensed"/>
      </rPr>
      <t xml:space="preserve">
</t>
    </r>
  </si>
  <si>
    <r>
      <rPr>
        <b/>
        <sz val="10"/>
        <color theme="1"/>
        <rFont val="Roboto Condensed"/>
      </rPr>
      <t>Estates dashboard</t>
    </r>
    <r>
      <rPr>
        <sz val="10"/>
        <color theme="1"/>
        <rFont val="Roboto Condensed"/>
      </rPr>
      <t xml:space="preserve"> (Vitto)
</t>
    </r>
  </si>
  <si>
    <r>
      <rPr>
        <b/>
        <sz val="10"/>
        <color theme="1"/>
        <rFont val="Roboto Condensed"/>
      </rPr>
      <t>Estates dashboard</t>
    </r>
    <r>
      <rPr>
        <sz val="10"/>
        <color theme="1"/>
        <rFont val="Roboto Condensed"/>
      </rPr>
      <t xml:space="preserve"> (Vitto)
</t>
    </r>
    <r>
      <rPr>
        <b/>
        <sz val="10"/>
        <color theme="1"/>
        <rFont val="Roboto Condensed"/>
      </rPr>
      <t xml:space="preserve">Benefit provider collections
</t>
    </r>
    <r>
      <rPr>
        <sz val="10"/>
        <color theme="1"/>
        <rFont val="Roboto Condensed"/>
      </rPr>
      <t xml:space="preserve"> (Vitto)
</t>
    </r>
  </si>
  <si>
    <r>
      <rPr>
        <b/>
        <sz val="10"/>
        <color theme="1"/>
        <rFont val="Roboto Condensed"/>
      </rPr>
      <t>Estates dashboard</t>
    </r>
    <r>
      <rPr>
        <sz val="10"/>
        <color theme="1"/>
        <rFont val="Roboto Condensed"/>
      </rPr>
      <t xml:space="preserve"> (Vitto)
</t>
    </r>
    <r>
      <rPr>
        <b/>
        <sz val="10"/>
        <color theme="1"/>
        <rFont val="Roboto Condensed"/>
      </rPr>
      <t xml:space="preserve">Wrap up with A1
HSA vehicle </t>
    </r>
    <r>
      <rPr>
        <sz val="10"/>
        <color theme="1"/>
        <rFont val="Roboto Condensed"/>
      </rPr>
      <t>(Vitto)
- illustrations for gloria
Dev support</t>
    </r>
  </si>
  <si>
    <r>
      <rPr>
        <b/>
        <sz val="10"/>
        <color rgb="FF980000"/>
        <rFont val="Roboto Condensed"/>
      </rPr>
      <t xml:space="preserve">VItto on PTO Sept25-Oct5
</t>
    </r>
    <r>
      <rPr>
        <sz val="10"/>
        <color rgb="FF000000"/>
        <rFont val="Roboto Condensed"/>
      </rPr>
      <t xml:space="preserve">
</t>
    </r>
    <r>
      <rPr>
        <b/>
        <sz val="10"/>
        <color rgb="FF000000"/>
        <rFont val="Roboto Condensed"/>
      </rPr>
      <t>Wrap up other projects
Dev support</t>
    </r>
  </si>
  <si>
    <r>
      <rPr>
        <b/>
        <sz val="10"/>
        <color rgb="FF000000"/>
        <rFont val="Roboto Condensed"/>
      </rPr>
      <t xml:space="preserve">Wellness Score </t>
    </r>
    <r>
      <rPr>
        <sz val="10"/>
        <color rgb="FF000000"/>
        <rFont val="Roboto Condensed"/>
      </rPr>
      <t xml:space="preserve">(Vitto)
-Iteration
</t>
    </r>
    <r>
      <rPr>
        <b/>
        <sz val="10"/>
        <color rgb="FF000000"/>
        <rFont val="Roboto Condensed"/>
      </rPr>
      <t>Dev support</t>
    </r>
  </si>
  <si>
    <r>
      <rPr>
        <b/>
        <sz val="10"/>
        <color rgb="FF000000"/>
        <rFont val="Roboto Condensed"/>
      </rPr>
      <t xml:space="preserve">Wellness Score </t>
    </r>
    <r>
      <rPr>
        <sz val="10"/>
        <color rgb="FF000000"/>
        <rFont val="Roboto Condensed"/>
      </rPr>
      <t xml:space="preserve">(Vitto)
-Finalization
</t>
    </r>
    <r>
      <rPr>
        <b/>
        <sz val="10"/>
        <color rgb="FF000000"/>
        <rFont val="Roboto Condensed"/>
      </rPr>
      <t>Dev support</t>
    </r>
  </si>
  <si>
    <t>Vertical article layout (Vitto)</t>
  </si>
  <si>
    <t>Polls revisitable</t>
  </si>
  <si>
    <t>Dashboard</t>
  </si>
  <si>
    <r>
      <rPr>
        <b/>
        <sz val="10"/>
        <color rgb="FF6AA84F"/>
        <rFont val="Roboto Condensed"/>
      </rPr>
      <t xml:space="preserve">Wallet + Net worth chart </t>
    </r>
    <r>
      <rPr>
        <sz val="10"/>
        <color rgb="FF6AA84F"/>
        <rFont val="Roboto Condensed"/>
      </rPr>
      <t xml:space="preserve">(Vitto)
</t>
    </r>
    <r>
      <rPr>
        <b/>
        <sz val="10"/>
        <color rgb="FF000000"/>
        <rFont val="Roboto Condensed"/>
      </rPr>
      <t xml:space="preserve">
</t>
    </r>
    <r>
      <rPr>
        <b/>
        <strike/>
        <sz val="10"/>
        <color rgb="FF980000"/>
        <rFont val="Roboto Condensed"/>
      </rPr>
      <t>Illustrations (Charlie)
- Suggestions page web
- Benefits page web</t>
    </r>
  </si>
  <si>
    <r>
      <rPr>
        <b/>
        <sz val="10"/>
        <color rgb="FF38761D"/>
        <rFont val="Roboto Condensed"/>
      </rPr>
      <t xml:space="preserve">Wallet + Net worth chart </t>
    </r>
    <r>
      <rPr>
        <sz val="10"/>
        <color rgb="FF38761D"/>
        <rFont val="Roboto Condensed"/>
      </rPr>
      <t xml:space="preserve">(Vitto)
</t>
    </r>
  </si>
  <si>
    <r>
      <rPr>
        <b/>
        <sz val="10"/>
        <color rgb="FF980000"/>
        <rFont val="Roboto Condensed"/>
      </rPr>
      <t xml:space="preserve">Holidays
</t>
    </r>
    <r>
      <rPr>
        <b/>
        <sz val="10"/>
        <color rgb="FF000000"/>
        <rFont val="Roboto Condensed"/>
      </rPr>
      <t xml:space="preserve">401k/IRA vehicles (Vitto)
</t>
    </r>
    <r>
      <rPr>
        <sz val="10"/>
        <color rgb="FF000000"/>
        <rFont val="Roboto Condensed"/>
      </rPr>
      <t>- prepare for FE update</t>
    </r>
  </si>
  <si>
    <r>
      <rPr>
        <b/>
        <sz val="10"/>
        <color rgb="FF000000"/>
        <rFont val="Roboto Condensed"/>
      </rPr>
      <t xml:space="preserve">401k/IRA vehicles (Vitto)
</t>
    </r>
    <r>
      <rPr>
        <sz val="10"/>
        <color rgb="FF000000"/>
        <rFont val="Roboto Condensed"/>
      </rPr>
      <t>- prepare for FE update</t>
    </r>
  </si>
  <si>
    <r>
      <rPr>
        <b/>
        <sz val="10"/>
        <color theme="1"/>
        <rFont val="Roboto Condensed"/>
      </rPr>
      <t>Badges revisit (</t>
    </r>
    <r>
      <rPr>
        <sz val="10"/>
        <color theme="1"/>
        <rFont val="Roboto Condensed"/>
      </rPr>
      <t>TBD</t>
    </r>
    <r>
      <rPr>
        <b/>
        <sz val="10"/>
        <color theme="1"/>
        <rFont val="Roboto Condensed"/>
      </rPr>
      <t xml:space="preserve">)
</t>
    </r>
  </si>
  <si>
    <r>
      <rPr>
        <b/>
        <sz val="10"/>
        <color theme="1"/>
        <rFont val="Roboto Condensed"/>
      </rPr>
      <t xml:space="preserve">Home equity vehicle </t>
    </r>
    <r>
      <rPr>
        <sz val="10"/>
        <color theme="1"/>
        <rFont val="Roboto Condensed"/>
      </rPr>
      <t>(TBD)</t>
    </r>
  </si>
  <si>
    <r>
      <rPr>
        <b/>
        <sz val="10"/>
        <color theme="1"/>
        <rFont val="Roboto Condensed"/>
      </rPr>
      <t>White Label audit (</t>
    </r>
    <r>
      <rPr>
        <sz val="10"/>
        <color theme="1"/>
        <rFont val="Roboto Condensed"/>
      </rPr>
      <t>Vitto</t>
    </r>
    <r>
      <rPr>
        <b/>
        <sz val="10"/>
        <color theme="1"/>
        <rFont val="Roboto Condensed"/>
      </rPr>
      <t xml:space="preserve">)
Home equity vehicle </t>
    </r>
    <r>
      <rPr>
        <sz val="10"/>
        <color theme="1"/>
        <rFont val="Roboto Condensed"/>
      </rPr>
      <t xml:space="preserve">(TBD)
</t>
    </r>
    <r>
      <rPr>
        <b/>
        <sz val="10"/>
        <color theme="1"/>
        <rFont val="Roboto Condensed"/>
      </rPr>
      <t xml:space="preserve">Kids Ed goal </t>
    </r>
    <r>
      <rPr>
        <sz val="10"/>
        <color theme="1"/>
        <rFont val="Roboto Condensed"/>
      </rPr>
      <t xml:space="preserve">(Vitto)
- prepare for FE update
</t>
    </r>
    <r>
      <rPr>
        <b/>
        <sz val="10"/>
        <color theme="1"/>
        <rFont val="Roboto Condensed"/>
      </rPr>
      <t xml:space="preserve">
Other vehicles
</t>
    </r>
    <r>
      <rPr>
        <sz val="10"/>
        <color theme="1"/>
        <rFont val="Roboto Condensed"/>
      </rPr>
      <t>(Vitto)
- prepare for FE update</t>
    </r>
    <r>
      <rPr>
        <b/>
        <sz val="10"/>
        <color theme="1"/>
        <rFont val="Roboto Condensed"/>
      </rPr>
      <t xml:space="preserve">
Budget enh </t>
    </r>
    <r>
      <rPr>
        <sz val="10"/>
        <color theme="1"/>
        <rFont val="Roboto Condensed"/>
      </rPr>
      <t>(Vitto)
- prepare for FE update</t>
    </r>
  </si>
  <si>
    <r>
      <rPr>
        <b/>
        <sz val="10"/>
        <color rgb="FF000000"/>
        <rFont val="Roboto Condensed"/>
      </rPr>
      <t>Accont Linking (</t>
    </r>
    <r>
      <rPr>
        <sz val="10"/>
        <color rgb="FF000000"/>
        <rFont val="Roboto Condensed"/>
      </rPr>
      <t xml:space="preserve">Vitto)
</t>
    </r>
  </si>
  <si>
    <r>
      <rPr>
        <b/>
        <sz val="10"/>
        <color theme="1"/>
        <rFont val="Roboto Condensed"/>
      </rPr>
      <t>RSU design</t>
    </r>
    <r>
      <rPr>
        <sz val="10"/>
        <color theme="1"/>
        <rFont val="Roboto Condensed"/>
      </rPr>
      <t xml:space="preserve"> (Ankita)
- Prod Client Questions
</t>
    </r>
    <r>
      <rPr>
        <b/>
        <sz val="10"/>
        <color theme="1"/>
        <rFont val="Roboto Condensed"/>
      </rPr>
      <t>Journey Helper</t>
    </r>
    <r>
      <rPr>
        <sz val="10"/>
        <color theme="1"/>
        <rFont val="Roboto Condensed"/>
      </rPr>
      <t xml:space="preserve"> (Mariano)
- Req's 
</t>
    </r>
    <r>
      <rPr>
        <b/>
        <sz val="10"/>
        <color theme="1"/>
        <rFont val="Roboto Condensed"/>
      </rPr>
      <t>Account Linking &amp; detached vehicles</t>
    </r>
    <r>
      <rPr>
        <sz val="10"/>
        <color theme="1"/>
        <rFont val="Roboto Condensed"/>
      </rPr>
      <t xml:space="preserve"> (Ankita+Mariano)
- Prod support</t>
    </r>
  </si>
  <si>
    <r>
      <rPr>
        <b/>
        <sz val="10"/>
        <color theme="1"/>
        <rFont val="Roboto Condensed"/>
      </rPr>
      <t>Journey Helper (</t>
    </r>
    <r>
      <rPr>
        <sz val="10"/>
        <color theme="1"/>
        <rFont val="Roboto Condensed"/>
      </rPr>
      <t>Mariano</t>
    </r>
    <r>
      <rPr>
        <b/>
        <sz val="10"/>
        <color theme="1"/>
        <rFont val="Roboto Condensed"/>
      </rPr>
      <t xml:space="preserve">)
</t>
    </r>
    <r>
      <rPr>
        <sz val="10"/>
        <color theme="1"/>
        <rFont val="Roboto Condensed"/>
      </rPr>
      <t xml:space="preserve">- Support 
</t>
    </r>
    <r>
      <rPr>
        <b/>
        <sz val="10"/>
        <color theme="1"/>
        <rFont val="Roboto Condensed"/>
      </rPr>
      <t>Year end data story</t>
    </r>
    <r>
      <rPr>
        <sz val="10"/>
        <color theme="1"/>
        <rFont val="Roboto Condensed"/>
      </rPr>
      <t xml:space="preserve"> (Mariano)
</t>
    </r>
    <r>
      <rPr>
        <b/>
        <sz val="10"/>
        <color theme="1"/>
        <rFont val="Roboto Condensed"/>
      </rPr>
      <t xml:space="preserve">Wellness Score </t>
    </r>
    <r>
      <rPr>
        <sz val="10"/>
        <color theme="1"/>
        <rFont val="Roboto Condensed"/>
      </rPr>
      <t xml:space="preserve">(Leif)
- investigation &amp; audit 
</t>
    </r>
    <r>
      <rPr>
        <b/>
        <sz val="10"/>
        <color theme="1"/>
        <rFont val="Roboto Condensed"/>
      </rPr>
      <t>RSU design</t>
    </r>
    <r>
      <rPr>
        <sz val="10"/>
        <color theme="1"/>
        <rFont val="Roboto Condensed"/>
      </rPr>
      <t xml:space="preserve"> (Ankita)
- Design Support
</t>
    </r>
    <r>
      <rPr>
        <b/>
        <sz val="10"/>
        <color theme="1"/>
        <rFont val="Roboto Condensed"/>
      </rPr>
      <t>Detached vehicles</t>
    </r>
    <r>
      <rPr>
        <sz val="10"/>
        <color theme="1"/>
        <rFont val="Roboto Condensed"/>
      </rPr>
      <t xml:space="preserve"> (Ankita)
- Prod support
</t>
    </r>
    <r>
      <rPr>
        <b/>
        <sz val="10"/>
        <color theme="1"/>
        <rFont val="Roboto Condensed"/>
      </rPr>
      <t>Check out Looker Studio Pro</t>
    </r>
  </si>
  <si>
    <r>
      <rPr>
        <b/>
        <sz val="10"/>
        <color theme="1"/>
        <rFont val="Roboto Condensed"/>
      </rPr>
      <t xml:space="preserve">Journey Helper </t>
    </r>
    <r>
      <rPr>
        <sz val="10"/>
        <color theme="1"/>
        <rFont val="Roboto Condensed"/>
      </rPr>
      <t xml:space="preserve">(Mariano)
- Support 
</t>
    </r>
    <r>
      <rPr>
        <b/>
        <sz val="10"/>
        <color theme="1"/>
        <rFont val="Roboto Condensed"/>
      </rPr>
      <t>In-app feeback &amp; article Share</t>
    </r>
    <r>
      <rPr>
        <sz val="10"/>
        <color theme="1"/>
        <rFont val="Roboto Condensed"/>
      </rPr>
      <t xml:space="preserve"> (Mariano)
- Req's
</t>
    </r>
    <r>
      <rPr>
        <b/>
        <sz val="10"/>
        <color theme="1"/>
        <rFont val="Roboto Condensed"/>
      </rPr>
      <t xml:space="preserve">
Detached vehicles</t>
    </r>
    <r>
      <rPr>
        <sz val="10"/>
        <color theme="1"/>
        <rFont val="Roboto Condensed"/>
      </rPr>
      <t xml:space="preserve"> (Ankita+Mariano)
- Prod support
</t>
    </r>
    <r>
      <rPr>
        <b/>
        <sz val="10"/>
        <color theme="1"/>
        <rFont val="Roboto Condensed"/>
      </rPr>
      <t>RSU design</t>
    </r>
    <r>
      <rPr>
        <sz val="10"/>
        <color theme="1"/>
        <rFont val="Roboto Condensed"/>
      </rPr>
      <t xml:space="preserve"> (Ankita)
- Design/ Prototype Support
</t>
    </r>
    <r>
      <rPr>
        <b/>
        <sz val="10"/>
        <color theme="1"/>
        <rFont val="Roboto Condensed"/>
      </rPr>
      <t>Wellness Score</t>
    </r>
    <r>
      <rPr>
        <sz val="10"/>
        <color theme="1"/>
        <rFont val="Roboto Condensed"/>
      </rPr>
      <t xml:space="preserve"> (Leif)
- address limitations - tech review</t>
    </r>
  </si>
  <si>
    <r>
      <rPr>
        <b/>
        <sz val="10"/>
        <color theme="1"/>
        <rFont val="Roboto Condensed"/>
      </rPr>
      <t xml:space="preserve">Wellness Score </t>
    </r>
    <r>
      <rPr>
        <sz val="10"/>
        <color theme="1"/>
        <rFont val="Roboto Condensed"/>
      </rPr>
      <t xml:space="preserve">(Leif)
- Req's 
</t>
    </r>
    <r>
      <rPr>
        <b/>
        <sz val="10"/>
        <color theme="1"/>
        <rFont val="Roboto Condensed"/>
      </rPr>
      <t>In-app feeback</t>
    </r>
    <r>
      <rPr>
        <sz val="10"/>
        <color theme="1"/>
        <rFont val="Roboto Condensed"/>
      </rPr>
      <t xml:space="preserve"> &amp; </t>
    </r>
    <r>
      <rPr>
        <b/>
        <sz val="10"/>
        <color theme="1"/>
        <rFont val="Roboto Condensed"/>
      </rPr>
      <t xml:space="preserve">Sharing </t>
    </r>
    <r>
      <rPr>
        <sz val="10"/>
        <color theme="1"/>
        <rFont val="Roboto Condensed"/>
      </rPr>
      <t xml:space="preserve">(Mariano)
- Support
</t>
    </r>
    <r>
      <rPr>
        <b/>
        <sz val="10"/>
        <color theme="1"/>
        <rFont val="Roboto Condensed"/>
      </rPr>
      <t>Savings Vehicle</t>
    </r>
    <r>
      <rPr>
        <sz val="10"/>
        <color theme="1"/>
        <rFont val="Roboto Condensed"/>
      </rPr>
      <t xml:space="preserve"> (Ankita)
- Prod support
</t>
    </r>
    <r>
      <rPr>
        <b/>
        <sz val="10"/>
        <color theme="1"/>
        <rFont val="Roboto Condensed"/>
      </rPr>
      <t>Detached vehicles</t>
    </r>
    <r>
      <rPr>
        <sz val="10"/>
        <color theme="1"/>
        <rFont val="Roboto Condensed"/>
      </rPr>
      <t xml:space="preserve"> (Ankita)
- Prod support
</t>
    </r>
    <r>
      <rPr>
        <b/>
        <sz val="10"/>
        <color theme="1"/>
        <rFont val="Roboto Condensed"/>
      </rPr>
      <t>ES fixes and stratetgy</t>
    </r>
    <r>
      <rPr>
        <sz val="10"/>
        <color theme="1"/>
        <rFont val="Roboto Condensed"/>
      </rPr>
      <t xml:space="preserve"> (Mariano)
</t>
    </r>
  </si>
  <si>
    <r>
      <rPr>
        <b/>
        <sz val="10"/>
        <color theme="1"/>
        <rFont val="Roboto Condensed"/>
      </rPr>
      <t xml:space="preserve">Wellness Score </t>
    </r>
    <r>
      <rPr>
        <sz val="10"/>
        <color theme="1"/>
        <rFont val="Roboto Condensed"/>
      </rPr>
      <t xml:space="preserve">(Leif)
- Support
</t>
    </r>
    <r>
      <rPr>
        <b/>
        <sz val="10"/>
        <color theme="1"/>
        <rFont val="Roboto Condensed"/>
      </rPr>
      <t xml:space="preserve">Insurance &amp; estates. </t>
    </r>
    <r>
      <rPr>
        <sz val="10"/>
        <color theme="1"/>
        <rFont val="Roboto Condensed"/>
      </rPr>
      <t xml:space="preserve">(Ankita)
- Research
</t>
    </r>
    <r>
      <rPr>
        <b/>
        <sz val="10"/>
        <color theme="1"/>
        <rFont val="Roboto Condensed"/>
      </rPr>
      <t xml:space="preserve">Detached vehicles </t>
    </r>
    <r>
      <rPr>
        <sz val="10"/>
        <color theme="1"/>
        <rFont val="Roboto Condensed"/>
      </rPr>
      <t xml:space="preserve">(Ankita)
- Prod Support
</t>
    </r>
    <r>
      <rPr>
        <b/>
        <sz val="10"/>
        <color theme="1"/>
        <rFont val="Roboto Condensed"/>
      </rPr>
      <t>ES fixes and stratetgy (</t>
    </r>
    <r>
      <rPr>
        <sz val="10"/>
        <color theme="1"/>
        <rFont val="Roboto Condensed"/>
      </rPr>
      <t>Mariano</t>
    </r>
    <r>
      <rPr>
        <b/>
        <sz val="10"/>
        <color theme="1"/>
        <rFont val="Roboto Condensed"/>
      </rPr>
      <t xml:space="preserve">)
</t>
    </r>
  </si>
  <si>
    <r>
      <rPr>
        <b/>
        <sz val="10"/>
        <color theme="1"/>
        <rFont val="Roboto Condensed"/>
      </rPr>
      <t xml:space="preserve">User content ratings </t>
    </r>
    <r>
      <rPr>
        <sz val="10"/>
        <color theme="1"/>
        <rFont val="Roboto Condensed"/>
      </rPr>
      <t xml:space="preserve">(Mariano)
</t>
    </r>
    <r>
      <rPr>
        <b/>
        <sz val="10"/>
        <color theme="1"/>
        <rFont val="Roboto Condensed"/>
      </rPr>
      <t>Detached vehicles</t>
    </r>
    <r>
      <rPr>
        <sz val="10"/>
        <color theme="1"/>
        <rFont val="Roboto Condensed"/>
      </rPr>
      <t xml:space="preserve"> (Ankita)
- Prod Support
</t>
    </r>
    <r>
      <rPr>
        <b/>
        <sz val="10"/>
        <color theme="1"/>
        <rFont val="Roboto Condensed"/>
      </rPr>
      <t>Insurance &amp; estates.</t>
    </r>
    <r>
      <rPr>
        <sz val="10"/>
        <color theme="1"/>
        <rFont val="Roboto Condensed"/>
      </rPr>
      <t xml:space="preserve"> (Ankita)
- Research
</t>
    </r>
    <r>
      <rPr>
        <b/>
        <sz val="10"/>
        <color theme="1"/>
        <rFont val="Roboto Condensed"/>
      </rPr>
      <t>ES implemtnation</t>
    </r>
    <r>
      <rPr>
        <sz val="10"/>
        <color theme="1"/>
        <rFont val="Roboto Condensed"/>
      </rPr>
      <t xml:space="preserve"> (Mariano)
Review Kogito rules for Journeys</t>
    </r>
  </si>
  <si>
    <r>
      <rPr>
        <b/>
        <sz val="10"/>
        <color rgb="FF990000"/>
        <rFont val="Roboto Condensed"/>
      </rPr>
      <t xml:space="preserve">Mariano PTO Mar21-22
Leif PTO Mar26-29
Ankita PTO Mar 15
</t>
    </r>
    <r>
      <rPr>
        <b/>
        <sz val="10"/>
        <color rgb="FF34A853"/>
        <rFont val="Roboto Condensed"/>
      </rPr>
      <t>Quarterly Planning
Journeys launch prep
UST decks and meetings</t>
    </r>
    <r>
      <rPr>
        <sz val="10"/>
        <color theme="1"/>
        <rFont val="Roboto Condensed"/>
      </rPr>
      <t xml:space="preserve">
</t>
    </r>
    <r>
      <rPr>
        <b/>
        <sz val="10"/>
        <color theme="1"/>
        <rFont val="Roboto Condensed"/>
      </rPr>
      <t xml:space="preserve">Detached Vehicles </t>
    </r>
    <r>
      <rPr>
        <sz val="10"/>
        <color theme="1"/>
        <rFont val="Roboto Condensed"/>
      </rPr>
      <t xml:space="preserve">(Ankita)
- Prod Support
</t>
    </r>
    <r>
      <rPr>
        <b/>
        <sz val="10"/>
        <color theme="1"/>
        <rFont val="Roboto Condensed"/>
      </rPr>
      <t>Insurance &amp; estates.</t>
    </r>
    <r>
      <rPr>
        <sz val="10"/>
        <color theme="1"/>
        <rFont val="Roboto Condensed"/>
      </rPr>
      <t xml:space="preserve"> (Ankita)
- Prod req's</t>
    </r>
  </si>
  <si>
    <r>
      <rPr>
        <b/>
        <sz val="10"/>
        <color rgb="FF990000"/>
        <rFont val="Roboto Condensed"/>
      </rPr>
      <t xml:space="preserve">Mariano PTO Apr (8,9),10,11,12
Leif PTO Apr1-2
Ankita resigned Apr9
</t>
    </r>
    <r>
      <rPr>
        <sz val="10"/>
        <color theme="1"/>
        <rFont val="Roboto Condensed"/>
      </rPr>
      <t xml:space="preserve">
</t>
    </r>
    <r>
      <rPr>
        <b/>
        <sz val="10"/>
        <color theme="1"/>
        <rFont val="Roboto Condensed"/>
      </rPr>
      <t>Journeys UAT and launch prep</t>
    </r>
    <r>
      <rPr>
        <sz val="10"/>
        <color theme="1"/>
        <rFont val="Roboto Condensed"/>
      </rPr>
      <t xml:space="preserve"> (Mariano)
</t>
    </r>
    <r>
      <rPr>
        <b/>
        <sz val="10"/>
        <color rgb="FF38761D"/>
        <rFont val="Roboto Condensed"/>
      </rPr>
      <t xml:space="preserve">Quarterly planning
UST decks and meetings
</t>
    </r>
    <r>
      <rPr>
        <sz val="10"/>
        <color theme="1"/>
        <rFont val="Roboto Condensed"/>
      </rPr>
      <t xml:space="preserve">
</t>
    </r>
    <r>
      <rPr>
        <b/>
        <sz val="10"/>
        <color theme="1"/>
        <rFont val="Roboto Condensed"/>
      </rPr>
      <t>Insurance &amp; Estates</t>
    </r>
    <r>
      <rPr>
        <sz val="10"/>
        <color theme="1"/>
        <rFont val="Roboto Condensed"/>
      </rPr>
      <t xml:space="preserve"> (Leif)
- Prod Support
</t>
    </r>
    <r>
      <rPr>
        <b/>
        <sz val="10"/>
        <color theme="1"/>
        <rFont val="Roboto Condensed"/>
      </rPr>
      <t xml:space="preserve">Tagging strategy </t>
    </r>
    <r>
      <rPr>
        <sz val="10"/>
        <color theme="1"/>
        <rFont val="Roboto Condensed"/>
      </rPr>
      <t>(Leif)</t>
    </r>
  </si>
  <si>
    <r>
      <rPr>
        <sz val="10"/>
        <color theme="1"/>
        <rFont val="Roboto Condensed"/>
      </rPr>
      <t xml:space="preserve">
</t>
    </r>
    <r>
      <rPr>
        <b/>
        <sz val="10"/>
        <color theme="1"/>
        <rFont val="Roboto Condensed"/>
      </rPr>
      <t>Tagging strategy Dev sup</t>
    </r>
  </si>
  <si>
    <r>
      <rPr>
        <b/>
        <sz val="10"/>
        <color theme="1"/>
        <rFont val="Roboto Condensed"/>
      </rPr>
      <t xml:space="preserve">Elastic search strategy
</t>
    </r>
    <r>
      <rPr>
        <sz val="10"/>
        <color theme="1"/>
        <rFont val="Roboto Condensed"/>
      </rPr>
      <t>Profile builder
- req's
Insurance dashboard
- design support, client testing
Journeys Dev support</t>
    </r>
  </si>
  <si>
    <t>Profile builder (Mariano)
- Req's
Life@ logo change
ES Tags re-upload
Journeys 
- Launch support</t>
  </si>
  <si>
    <t xml:space="preserve">Profile builder
- Req's
Detach veh 
-Dev support
</t>
  </si>
  <si>
    <r>
      <rPr>
        <b/>
        <sz val="10"/>
        <color rgb="FF34A853"/>
        <rFont val="Roboto Condensed"/>
      </rPr>
      <t xml:space="preserve">Quarterly Planning
+ analytics
</t>
    </r>
    <r>
      <rPr>
        <sz val="10"/>
        <color theme="1"/>
        <rFont val="Roboto Condensed"/>
      </rPr>
      <t>Detach veh 
-Dev support
Page-to-Page UX
- Reqs</t>
    </r>
  </si>
  <si>
    <r>
      <rPr>
        <b/>
        <sz val="10"/>
        <color rgb="FF34A853"/>
        <rFont val="Roboto Condensed"/>
      </rPr>
      <t xml:space="preserve">Quarterly Planning
+ analytics
</t>
    </r>
    <r>
      <rPr>
        <sz val="10"/>
        <color theme="1"/>
        <rFont val="Roboto Condensed"/>
      </rPr>
      <t xml:space="preserve">Detach veh 
-Dev support
Page-to-Page UX
- support
Content exploration
- Benefits 
- Chatgpt
add external links to all content types in CMS
</t>
    </r>
  </si>
  <si>
    <t>Detach Veh pt 1 UAT
-Mariano
Profile builder (Mariano)
- support
Insurance (Leif)
- support
Page-to-Page UX (Leif)
- support
Content exploration
- Benefits 
- Chatgpt</t>
  </si>
  <si>
    <t xml:space="preserve">Detach Veh pt 1 UAT
-Mariano
Meta decks (Leif)
- Business Review for Mercer
- Referall info for Mercer
- Semi-annual review
Insurance (Leif)
- support
Page-to-Page UX (Leif)
- support
Content support
- newsletter
- push
Analytics
- Goals usage
- Content </t>
  </si>
  <si>
    <r>
      <rPr>
        <sz val="10"/>
        <color theme="1"/>
        <rFont val="Arial"/>
      </rPr>
      <t xml:space="preserve">Detach Veh pt2
- Support
Estates (Leif)
- Reqs
Page-to-Page UX (Leif)
- support
Scored questionnaires (Mariano)
- Exploration
</t>
    </r>
    <r>
      <rPr>
        <strike/>
        <sz val="10"/>
        <color theme="1"/>
        <rFont val="Arial"/>
      </rPr>
      <t>Content exploration
- Benefits 
- Chatgpt</t>
    </r>
  </si>
  <si>
    <t xml:space="preserve">Detach Veh pt2
- Support
Estates (Leif)
- Support
</t>
  </si>
  <si>
    <r>
      <rPr>
        <b/>
        <sz val="10"/>
        <color rgb="FF000000"/>
        <rFont val="Roboto Condensed"/>
      </rPr>
      <t xml:space="preserve">Detach Veh pt2
</t>
    </r>
    <r>
      <rPr>
        <sz val="10"/>
        <color rgb="FF000000"/>
        <rFont val="Roboto Condensed"/>
      </rPr>
      <t xml:space="preserve">- UAT
</t>
    </r>
    <r>
      <rPr>
        <b/>
        <sz val="10"/>
        <color rgb="FF000000"/>
        <rFont val="Roboto Condensed"/>
      </rPr>
      <t xml:space="preserve">Estates (Leif)
</t>
    </r>
    <r>
      <rPr>
        <sz val="10"/>
        <color rgb="FF000000"/>
        <rFont val="Roboto Condensed"/>
      </rPr>
      <t xml:space="preserve">- Support
</t>
    </r>
    <r>
      <rPr>
        <b/>
        <sz val="10"/>
        <color rgb="FF000000"/>
        <rFont val="Roboto Condensed"/>
      </rPr>
      <t xml:space="preserve">
FInalizing release (Mariano)
wrapping up A1 (Mariano)
onboarding UST India</t>
    </r>
  </si>
  <si>
    <r>
      <rPr>
        <b/>
        <sz val="10"/>
        <color rgb="FF000000"/>
        <rFont val="Roboto Condensed"/>
      </rPr>
      <t xml:space="preserve">Detach Veh pt2
</t>
    </r>
    <r>
      <rPr>
        <sz val="10"/>
        <color rgb="FF000000"/>
        <rFont val="Roboto Condensed"/>
      </rPr>
      <t xml:space="preserve">- UAT
</t>
    </r>
    <r>
      <rPr>
        <b/>
        <sz val="10"/>
        <color rgb="FF000000"/>
        <rFont val="Roboto Condensed"/>
      </rPr>
      <t xml:space="preserve">Estates (Leif)
</t>
    </r>
    <r>
      <rPr>
        <sz val="10"/>
        <color rgb="FF000000"/>
        <rFont val="Roboto Condensed"/>
      </rPr>
      <t xml:space="preserve">- Support
</t>
    </r>
    <r>
      <rPr>
        <b/>
        <sz val="10"/>
        <color rgb="FF000000"/>
        <rFont val="Roboto Condensed"/>
      </rPr>
      <t>Quarterly plan
FInalizing release (Mariano)
wrapping up A1 (Mariano)
onboarding UST India</t>
    </r>
  </si>
  <si>
    <t>Net worth chart - Wallet (Leif)
Wellness Score (Mariano
- Reqs</t>
  </si>
  <si>
    <r>
      <rPr>
        <b/>
        <sz val="10"/>
        <color rgb="FF980000"/>
        <rFont val="Roboto Condensed"/>
      </rPr>
      <t xml:space="preserve">Leif PTO Nov4-13
Mariano PTO Oct28-Nov4
</t>
    </r>
    <r>
      <rPr>
        <b/>
        <sz val="10"/>
        <color rgb="FF000000"/>
        <rFont val="Roboto Condensed"/>
      </rPr>
      <t xml:space="preserve">
</t>
    </r>
  </si>
  <si>
    <t xml:space="preserve">Quarterly Planning
</t>
  </si>
  <si>
    <t xml:space="preserve">Net worth chart - Wallet
(Leif)
</t>
  </si>
  <si>
    <t>Budget enh (TBD)
- Nudges (mobile)
- more
Prep for refreshes (TBD)
- Vehicles
- Kids Ed</t>
  </si>
  <si>
    <t>Cost of Sims (TBD)
Rent v Buy sim (TBD)</t>
  </si>
  <si>
    <r>
      <rPr>
        <sz val="10"/>
        <color rgb="FF000000"/>
        <rFont val="Roboto Condensed"/>
      </rPr>
      <t xml:space="preserve">
Cost of Sim (Leif)
- Req's
add external links to all content types in CMS
Repurpose Sims for other stories
</t>
    </r>
    <r>
      <rPr>
        <b/>
        <sz val="10"/>
        <color rgb="FF000000"/>
        <rFont val="Roboto Condensed"/>
      </rPr>
      <t xml:space="preserve">White Label </t>
    </r>
    <r>
      <rPr>
        <sz val="10"/>
        <color rgb="FF000000"/>
        <rFont val="Roboto Condensed"/>
      </rPr>
      <t xml:space="preserve">(Leif)
- Investigation &amp; Audit
</t>
    </r>
    <r>
      <rPr>
        <b/>
        <sz val="10"/>
        <color rgb="FF000000"/>
        <rFont val="Roboto Condensed"/>
      </rPr>
      <t>Account Linking</t>
    </r>
  </si>
  <si>
    <r>
      <rPr>
        <b/>
        <sz val="10"/>
        <color rgb="FF000000"/>
        <rFont val="Roboto Condensed"/>
      </rPr>
      <t xml:space="preserve">Multi-tenancy audit
</t>
    </r>
    <r>
      <rPr>
        <sz val="10"/>
        <color rgb="FF000000"/>
        <rFont val="Roboto Condensed"/>
      </rPr>
      <t xml:space="preserve">(Vitto)
</t>
    </r>
    <r>
      <rPr>
        <b/>
        <sz val="10"/>
        <color rgb="FF000000"/>
        <rFont val="Roboto Condensed"/>
      </rPr>
      <t xml:space="preserve">Net worth chart </t>
    </r>
    <r>
      <rPr>
        <sz val="10"/>
        <color rgb="FF000000"/>
        <rFont val="Roboto Condensed"/>
      </rPr>
      <t xml:space="preserve">(Ankita)
</t>
    </r>
    <r>
      <rPr>
        <b/>
        <sz val="10"/>
        <color rgb="FF000000"/>
        <rFont val="Roboto Condensed"/>
      </rPr>
      <t>Multi-tenancy handbook/prep (</t>
    </r>
    <r>
      <rPr>
        <sz val="10"/>
        <color rgb="FF000000"/>
        <rFont val="Roboto Condensed"/>
      </rPr>
      <t>Mariano)</t>
    </r>
    <r>
      <rPr>
        <b/>
        <sz val="10"/>
        <color rgb="FF000000"/>
        <rFont val="Roboto Condensed"/>
      </rPr>
      <t xml:space="preserve">
</t>
    </r>
  </si>
  <si>
    <r>
      <rPr>
        <b/>
        <sz val="10"/>
        <color rgb="FF38761D"/>
        <rFont val="Roboto Condensed"/>
      </rPr>
      <t xml:space="preserve">Cost of... sims (TBD)
</t>
    </r>
    <r>
      <rPr>
        <b/>
        <sz val="10"/>
        <color rgb="FF000000"/>
        <rFont val="Roboto Condensed"/>
      </rPr>
      <t xml:space="preserve">
TBD </t>
    </r>
    <r>
      <rPr>
        <sz val="10"/>
        <color rgb="FF000000"/>
        <rFont val="Roboto Condensed"/>
      </rPr>
      <t xml:space="preserve">(TBD)
</t>
    </r>
    <r>
      <rPr>
        <b/>
        <sz val="10"/>
        <color rgb="FF000000"/>
        <rFont val="Roboto Condensed"/>
      </rPr>
      <t xml:space="preserve">
Index the Feature pages for 'Search' 
- keywords on page titles??
Action card tool-tips (Mariano)</t>
    </r>
  </si>
  <si>
    <r>
      <rPr>
        <b/>
        <sz val="10"/>
        <color rgb="FF000000"/>
        <rFont val="Roboto Condensed"/>
      </rPr>
      <t>Cost of... sims</t>
    </r>
    <r>
      <rPr>
        <sz val="10"/>
        <color rgb="FF000000"/>
        <rFont val="Roboto Condensed"/>
      </rPr>
      <t xml:space="preserve"> (TBD)</t>
    </r>
    <r>
      <rPr>
        <b/>
        <sz val="10"/>
        <color rgb="FF000000"/>
        <rFont val="Roboto Condensed"/>
      </rPr>
      <t xml:space="preserve">
</t>
    </r>
    <r>
      <rPr>
        <b/>
        <sz val="10"/>
        <color rgb="FF38761D"/>
        <rFont val="Roboto Condensed"/>
      </rPr>
      <t xml:space="preserve">Big trip goal </t>
    </r>
    <r>
      <rPr>
        <sz val="10"/>
        <color rgb="FF38761D"/>
        <rFont val="Roboto Condensed"/>
      </rPr>
      <t>(TBD)</t>
    </r>
  </si>
  <si>
    <r>
      <rPr>
        <b/>
        <sz val="10"/>
        <color theme="1"/>
        <rFont val="Roboto Condensed"/>
      </rPr>
      <t>White Label audit (</t>
    </r>
    <r>
      <rPr>
        <sz val="10"/>
        <color theme="1"/>
        <rFont val="Roboto Condensed"/>
      </rPr>
      <t>Vitto</t>
    </r>
    <r>
      <rPr>
        <b/>
        <sz val="10"/>
        <color theme="1"/>
        <rFont val="Roboto Condensed"/>
      </rPr>
      <t xml:space="preserve">)
Home equity vehicle </t>
    </r>
    <r>
      <rPr>
        <sz val="10"/>
        <color theme="1"/>
        <rFont val="Roboto Condensed"/>
      </rPr>
      <t>(TBD)</t>
    </r>
  </si>
  <si>
    <r>
      <rPr>
        <b/>
        <sz val="10"/>
        <color theme="1"/>
        <rFont val="Roboto Condensed"/>
      </rPr>
      <t>Badges revisit (</t>
    </r>
    <r>
      <rPr>
        <sz val="10"/>
        <color theme="1"/>
        <rFont val="Roboto Condensed"/>
      </rPr>
      <t>TBD</t>
    </r>
    <r>
      <rPr>
        <b/>
        <sz val="10"/>
        <color theme="1"/>
        <rFont val="Roboto Condensed"/>
      </rPr>
      <t xml:space="preserve">)
Account linking </t>
    </r>
    <r>
      <rPr>
        <sz val="10"/>
        <color theme="1"/>
        <rFont val="Roboto Condensed"/>
      </rPr>
      <t>(TBD)</t>
    </r>
  </si>
  <si>
    <t>Interdependent goals - review with gauri and create plan
User content ratings - checkin with Gauri for plan</t>
  </si>
  <si>
    <t>User content ratings - heuristic review
Interedependent goals - heuristic review</t>
  </si>
  <si>
    <t>Wellness Score - heurestic review</t>
  </si>
  <si>
    <r>
      <rPr>
        <b/>
        <sz val="10"/>
        <color theme="1"/>
        <rFont val="Roboto Condensed"/>
      </rPr>
      <t xml:space="preserve">Insurance dashboard
</t>
    </r>
    <r>
      <rPr>
        <sz val="10"/>
        <color theme="1"/>
        <rFont val="Roboto Condensed"/>
      </rPr>
      <t>- Light testing</t>
    </r>
  </si>
  <si>
    <r>
      <rPr>
        <b/>
        <sz val="10"/>
        <color theme="1"/>
        <rFont val="Roboto Condensed"/>
      </rPr>
      <t>Budget enhance</t>
    </r>
    <r>
      <rPr>
        <sz val="10"/>
        <color theme="1"/>
        <rFont val="Roboto Condensed"/>
      </rPr>
      <t>- Light testing</t>
    </r>
  </si>
  <si>
    <r>
      <rPr>
        <u/>
        <sz val="10"/>
        <color theme="1"/>
        <rFont val="Roboto Condensed"/>
      </rPr>
      <t xml:space="preserve">Added data to pipeline
</t>
    </r>
    <r>
      <rPr>
        <sz val="10"/>
        <color theme="1"/>
        <rFont val="Roboto Condensed"/>
      </rPr>
      <t>-Goals onboarding
-Retirement
-AppOnboarding
-Home refresh
-Data for Management dashboard</t>
    </r>
  </si>
  <si>
    <t xml:space="preserve">Add charts to Looker dash
- Goal onboarding
- Home refresh
- App Onboarding
</t>
  </si>
  <si>
    <r>
      <rPr>
        <sz val="10"/>
        <rFont val="Roboto Condensed"/>
      </rPr>
      <t xml:space="preserve">- 6month lookback since roadmap pivot - </t>
    </r>
    <r>
      <rPr>
        <u/>
        <sz val="10"/>
        <color rgb="FF1155CC"/>
        <rFont val="Roboto Condensed"/>
      </rPr>
      <t xml:space="preserve">here
</t>
    </r>
    <r>
      <rPr>
        <sz val="10"/>
        <rFont val="Roboto Condensed"/>
      </rPr>
      <t xml:space="preserve">- reviewed content entry points &amp; topics - </t>
    </r>
    <r>
      <rPr>
        <u/>
        <sz val="10"/>
        <color rgb="FF1155CC"/>
        <rFont val="Roboto Condensed"/>
      </rPr>
      <t>here</t>
    </r>
  </si>
  <si>
    <t>Write reqs for Journeys events
Monthly analytics report</t>
  </si>
  <si>
    <t>Add chart to Looker dash
- Journeys</t>
  </si>
  <si>
    <t>Monthly analytics report</t>
  </si>
  <si>
    <t>Jackie supporting UST</t>
  </si>
  <si>
    <r>
      <rPr>
        <b/>
        <sz val="10"/>
        <color theme="1"/>
        <rFont val="Roboto Condensed"/>
      </rPr>
      <t>RSU vehicle</t>
    </r>
    <r>
      <rPr>
        <sz val="10"/>
        <color theme="1"/>
        <rFont val="Roboto Condensed"/>
      </rPr>
      <t xml:space="preserve"> (tbd)
- Finalize content
</t>
    </r>
  </si>
  <si>
    <r>
      <rPr>
        <b/>
        <sz val="10"/>
        <color theme="1"/>
        <rFont val="Roboto Condensed"/>
      </rPr>
      <t>Detached vehicles</t>
    </r>
    <r>
      <rPr>
        <sz val="10"/>
        <color theme="1"/>
        <rFont val="Roboto Condensed"/>
      </rPr>
      <t xml:space="preserve"> (Jackie)
</t>
    </r>
    <r>
      <rPr>
        <b/>
        <sz val="10"/>
        <color theme="1"/>
        <rFont val="Roboto Condensed"/>
      </rPr>
      <t>Insurance dashboard</t>
    </r>
    <r>
      <rPr>
        <sz val="10"/>
        <color theme="1"/>
        <rFont val="Roboto Condensed"/>
      </rPr>
      <t xml:space="preserve"> (Elijah)
- Content Iteration</t>
    </r>
  </si>
  <si>
    <r>
      <rPr>
        <b/>
        <sz val="10"/>
        <color theme="1"/>
        <rFont val="Roboto Condensed"/>
      </rPr>
      <t>Detached vehicles</t>
    </r>
    <r>
      <rPr>
        <sz val="10"/>
        <color theme="1"/>
        <rFont val="Roboto Condensed"/>
      </rPr>
      <t xml:space="preserve"> (Jackie)
- User testing
</t>
    </r>
    <r>
      <rPr>
        <b/>
        <sz val="10"/>
        <color theme="1"/>
        <rFont val="Roboto Condensed"/>
      </rPr>
      <t>RSU vehicle</t>
    </r>
    <r>
      <rPr>
        <sz val="10"/>
        <color theme="1"/>
        <rFont val="Roboto Condensed"/>
      </rPr>
      <t xml:space="preserve"> (Jackie)
- Final
</t>
    </r>
  </si>
  <si>
    <r>
      <rPr>
        <b/>
        <sz val="10"/>
        <color theme="1"/>
        <rFont val="Roboto Condensed"/>
      </rPr>
      <t>Detached vehicles</t>
    </r>
    <r>
      <rPr>
        <sz val="10"/>
        <color theme="1"/>
        <rFont val="Roboto Condensed"/>
      </rPr>
      <t xml:space="preserve"> (Jackie)
</t>
    </r>
    <r>
      <rPr>
        <b/>
        <sz val="10"/>
        <color theme="1"/>
        <rFont val="Roboto Condensed"/>
      </rPr>
      <t>Savings figma completion</t>
    </r>
    <r>
      <rPr>
        <sz val="10"/>
        <color theme="1"/>
        <rFont val="Roboto Condensed"/>
      </rPr>
      <t xml:space="preserve"> ()</t>
    </r>
  </si>
  <si>
    <r>
      <rPr>
        <b/>
        <sz val="10"/>
        <color theme="1"/>
        <rFont val="Roboto Condensed"/>
      </rPr>
      <t>In-app feedback (</t>
    </r>
    <r>
      <rPr>
        <sz val="10"/>
        <color theme="1"/>
        <rFont val="Roboto Condensed"/>
      </rPr>
      <t>TBD</t>
    </r>
    <r>
      <rPr>
        <b/>
        <sz val="10"/>
        <color theme="1"/>
        <rFont val="Roboto Condensed"/>
      </rPr>
      <t>)</t>
    </r>
  </si>
  <si>
    <r>
      <rPr>
        <b/>
        <sz val="10"/>
        <color theme="1"/>
        <rFont val="Roboto Condensed"/>
      </rPr>
      <t xml:space="preserve">Dynamic Polls conclusion
Insurance dashboard (Elijah)
</t>
    </r>
    <r>
      <rPr>
        <sz val="10"/>
        <color theme="1"/>
        <rFont val="Roboto Condensed"/>
      </rPr>
      <t>- Design Iteration
- Prototype</t>
    </r>
  </si>
  <si>
    <r>
      <rPr>
        <b/>
        <sz val="10"/>
        <color theme="1"/>
        <rFont val="Roboto Condensed"/>
      </rPr>
      <t xml:space="preserve">Insurance dashboard </t>
    </r>
    <r>
      <rPr>
        <sz val="10"/>
        <color theme="1"/>
        <rFont val="Roboto Condensed"/>
      </rPr>
      <t>(Elijah)
- Finalize content</t>
    </r>
  </si>
  <si>
    <t>Budget enhance. (Vitto)
White Label audit (Vitto)</t>
  </si>
  <si>
    <t>Research / ED</t>
  </si>
  <si>
    <t>Push notification strategy</t>
  </si>
  <si>
    <t>Sat</t>
  </si>
  <si>
    <t>Sun</t>
  </si>
  <si>
    <t>Mon</t>
  </si>
  <si>
    <t>Tues</t>
  </si>
  <si>
    <t>Wed</t>
  </si>
  <si>
    <t>Thur</t>
  </si>
  <si>
    <t>Fri</t>
  </si>
  <si>
    <t>User content ratings (web)</t>
  </si>
  <si>
    <t>Release</t>
  </si>
  <si>
    <t>Goals refactor &amp; BAC</t>
  </si>
  <si>
    <t>UAT</t>
  </si>
  <si>
    <t>QA</t>
  </si>
  <si>
    <t>Profile mobile - onboarding + profile</t>
  </si>
  <si>
    <t>Stage</t>
  </si>
  <si>
    <t>Profile web - onboarding</t>
  </si>
  <si>
    <t>Profile web - profile page</t>
  </si>
  <si>
    <t>SSO fail redirect to Paven.io</t>
  </si>
  <si>
    <t>submit</t>
  </si>
  <si>
    <t>article/polls bugs</t>
  </si>
  <si>
    <t>Null values bug in pipeline</t>
  </si>
  <si>
    <t>Content gating</t>
  </si>
  <si>
    <t>Revisitable polls</t>
  </si>
  <si>
    <t>Vertical article layout</t>
  </si>
  <si>
    <t>Pre-prod</t>
  </si>
  <si>
    <t>HSA</t>
  </si>
  <si>
    <t>Estates dashboard</t>
  </si>
  <si>
    <t xml:space="preserve"> </t>
  </si>
  <si>
    <t>Thurs</t>
  </si>
  <si>
    <t>Occcam's Web</t>
  </si>
  <si>
    <t>Release (Web)</t>
  </si>
  <si>
    <t>Home loading &amp; logout bug fix</t>
  </si>
  <si>
    <t>hotfix</t>
  </si>
  <si>
    <t>Bullet template (web)</t>
  </si>
  <si>
    <t>Dev</t>
  </si>
  <si>
    <t>Analytics - goals +</t>
  </si>
  <si>
    <t>BAH dash proj fix</t>
  </si>
  <si>
    <t>Dev (BE)</t>
  </si>
  <si>
    <t>Submit</t>
  </si>
  <si>
    <t>Editable tip title</t>
  </si>
  <si>
    <t>SSO-friendly links</t>
  </si>
  <si>
    <t>Spike</t>
  </si>
  <si>
    <t>Retirement dashboard</t>
  </si>
  <si>
    <t>Skeleton</t>
  </si>
  <si>
    <t>App onboarding (mobile)</t>
  </si>
  <si>
    <t>merging with FF booking &amp; bug fixing</t>
  </si>
  <si>
    <t>App onboarding (web)</t>
  </si>
  <si>
    <t>FF Booking change</t>
  </si>
  <si>
    <t>Suggestion drawer (android)</t>
  </si>
  <si>
    <t>Suggestion drawer (web)</t>
  </si>
  <si>
    <t>Suggestion drawer (iOS)</t>
  </si>
  <si>
    <t>Home &amp; Menu android &amp; BE</t>
  </si>
  <si>
    <t>Home &amp; menu Web</t>
  </si>
  <si>
    <t>Home &amp; Menu iOS</t>
  </si>
  <si>
    <t>Home &amp; Explore enhancements WEB</t>
  </si>
  <si>
    <t>Explore (android)</t>
  </si>
  <si>
    <t>Coach (mobile)</t>
  </si>
  <si>
    <t>Benefits (mobile)</t>
  </si>
  <si>
    <t>Search (mobile)</t>
  </si>
  <si>
    <t>Explore/Coach (web)</t>
  </si>
  <si>
    <t>Benefits (web)</t>
  </si>
  <si>
    <t>Journey helper (mobile/BE)</t>
  </si>
  <si>
    <t>App submit</t>
  </si>
  <si>
    <t>Journey helper (Web)</t>
  </si>
  <si>
    <t>Search (web)</t>
  </si>
  <si>
    <t>Bug fixing (BE)</t>
  </si>
  <si>
    <t>Fix Kogito rules for goal action card</t>
  </si>
  <si>
    <t>Bug fixing (Android)</t>
  </si>
  <si>
    <t>Life Path bug, App Onboading question text</t>
  </si>
  <si>
    <t>Bug fixing (iOS and Web)</t>
  </si>
  <si>
    <t>Add login in upper right to Splash, give article card carousel button</t>
  </si>
  <si>
    <t>Analytics - null users</t>
  </si>
  <si>
    <t>Error handling (FE)</t>
  </si>
  <si>
    <t>BE action cards enh</t>
  </si>
  <si>
    <t>EMF goal (detached)</t>
  </si>
  <si>
    <t>Questionnaires</t>
  </si>
  <si>
    <t>Account linking</t>
  </si>
  <si>
    <t>Wallet (detached)</t>
  </si>
  <si>
    <t>Brokerage (detached)</t>
  </si>
  <si>
    <t>Checkings (detached)</t>
  </si>
  <si>
    <t>Buying a Car (detached)</t>
  </si>
  <si>
    <t>White Label</t>
  </si>
  <si>
    <t>Insurance</t>
  </si>
  <si>
    <t>Sprint 30</t>
  </si>
  <si>
    <t xml:space="preserve">Sprint 31 </t>
  </si>
  <si>
    <t>Sprint 32</t>
  </si>
  <si>
    <t>Sprint 33</t>
  </si>
  <si>
    <t xml:space="preserve">Sprint 34 </t>
  </si>
  <si>
    <t xml:space="preserve">Sprint 35 </t>
  </si>
  <si>
    <t>Sprint 36</t>
  </si>
  <si>
    <t>Sprint 37</t>
  </si>
  <si>
    <t>Sprint 38</t>
  </si>
  <si>
    <t>Sprint 39</t>
  </si>
  <si>
    <t>Sprint 40</t>
  </si>
  <si>
    <t>Sprint 41</t>
  </si>
  <si>
    <t>Jul 6 - Jul 20</t>
  </si>
  <si>
    <t xml:space="preserve">Jul 20 - Aug 3 </t>
  </si>
  <si>
    <t>Aug 3 - Aug 17</t>
  </si>
  <si>
    <t>Aug 17 - Aug 31</t>
  </si>
  <si>
    <t>Aug 31 - Sep 14</t>
  </si>
  <si>
    <t>Sep 14 - Oct 5</t>
  </si>
  <si>
    <t>Oct 5 - Oct 12</t>
  </si>
  <si>
    <t>Oct 12 - Oct 26</t>
  </si>
  <si>
    <t>Oct 26 - Nov 9</t>
  </si>
  <si>
    <t>Nov 9 - Nov 23</t>
  </si>
  <si>
    <t>Nov 23 - Dec 7</t>
  </si>
  <si>
    <t>Dec 7 - Dec 21</t>
  </si>
  <si>
    <r>
      <rPr>
        <sz val="10"/>
        <color theme="1"/>
        <rFont val="Roboto Condensed"/>
      </rPr>
      <t xml:space="preserve">Web-only -Aug17 - </t>
    </r>
    <r>
      <rPr>
        <b/>
        <sz val="10"/>
        <color theme="1"/>
        <rFont val="Roboto Condensed"/>
      </rPr>
      <t xml:space="preserve">Occam's web
</t>
    </r>
    <r>
      <rPr>
        <sz val="10"/>
        <color rgb="FFCC0000"/>
        <rFont val="Roboto Condensed"/>
      </rPr>
      <t>tbd hot fix</t>
    </r>
    <r>
      <rPr>
        <sz val="10"/>
        <color theme="1"/>
        <rFont val="Roboto Condensed"/>
      </rPr>
      <t xml:space="preserve"> - Bug fixes</t>
    </r>
  </si>
  <si>
    <r>
      <rPr>
        <sz val="10"/>
        <color rgb="FF000000"/>
        <rFont val="Roboto Condensed"/>
      </rPr>
      <t>All platforms</t>
    </r>
    <r>
      <rPr>
        <b/>
        <sz val="10"/>
        <color rgb="FF000000"/>
        <rFont val="Roboto Condensed"/>
      </rPr>
      <t xml:space="preserve"> -</t>
    </r>
    <r>
      <rPr>
        <b/>
        <sz val="10"/>
        <color rgb="FF990000"/>
        <rFont val="Roboto Condensed"/>
      </rPr>
      <t xml:space="preserve"> Sept 21</t>
    </r>
    <r>
      <rPr>
        <sz val="10"/>
        <color rgb="FF000000"/>
        <rFont val="Roboto Condensed"/>
      </rPr>
      <t xml:space="preserve">
</t>
    </r>
    <r>
      <rPr>
        <b/>
        <sz val="10"/>
        <color rgb="FF000000"/>
        <rFont val="Roboto Condensed"/>
      </rPr>
      <t xml:space="preserve">Bugs &amp; Analytics &amp; SSO friendly links
- </t>
    </r>
    <r>
      <rPr>
        <sz val="10"/>
        <color rgb="FF000000"/>
        <rFont val="Roboto Condensed"/>
      </rPr>
      <t xml:space="preserve">Editable Tiptitles
</t>
    </r>
    <r>
      <rPr>
        <b/>
        <sz val="10"/>
        <color rgb="FF000000"/>
        <rFont val="Roboto Condensed"/>
      </rPr>
      <t xml:space="preserve">- </t>
    </r>
    <r>
      <rPr>
        <sz val="10"/>
        <color rgb="FF000000"/>
        <rFont val="Roboto Condensed"/>
      </rPr>
      <t xml:space="preserve">Bullet list template
</t>
    </r>
    <r>
      <rPr>
        <b/>
        <sz val="10"/>
        <color rgb="FF000000"/>
        <rFont val="Roboto Condensed"/>
      </rPr>
      <t>- I</t>
    </r>
    <r>
      <rPr>
        <sz val="10"/>
        <color rgb="FF000000"/>
        <rFont val="Roboto Condensed"/>
      </rPr>
      <t xml:space="preserve">mprove of buttons positioning on sim
</t>
    </r>
    <r>
      <rPr>
        <b/>
        <sz val="10"/>
        <color rgb="FF000000"/>
        <rFont val="Roboto Condensed"/>
      </rPr>
      <t>-</t>
    </r>
    <r>
      <rPr>
        <sz val="10"/>
        <color rgb="FF000000"/>
        <rFont val="Roboto Condensed"/>
      </rPr>
      <t xml:space="preserve"> Bug on baH Calculator
- Analytics on goals and vehicles
- Analytics on Articles</t>
    </r>
  </si>
  <si>
    <r>
      <rPr>
        <sz val="10"/>
        <color theme="1"/>
        <rFont val="Roboto Condensed"/>
      </rPr>
      <t xml:space="preserve">All platforms - Oct 20 - </t>
    </r>
    <r>
      <rPr>
        <b/>
        <sz val="10"/>
        <color theme="1"/>
        <rFont val="Roboto Condensed"/>
      </rPr>
      <t>Retirement dashboard, Skeleton</t>
    </r>
    <r>
      <rPr>
        <sz val="10"/>
        <color theme="1"/>
        <rFont val="Roboto Condensed"/>
      </rPr>
      <t xml:space="preserve"> </t>
    </r>
  </si>
  <si>
    <t xml:space="preserve">
</t>
  </si>
  <si>
    <r>
      <rPr>
        <sz val="10"/>
        <color theme="1"/>
        <rFont val="Roboto Condensed"/>
      </rPr>
      <t xml:space="preserve">All platforms - Dec 18
</t>
    </r>
    <r>
      <rPr>
        <b/>
        <sz val="10"/>
        <color theme="1"/>
        <rFont val="Roboto Condensed"/>
      </rPr>
      <t>app onboarding</t>
    </r>
  </si>
  <si>
    <t>Aug 2: Meta benefits team offsite
Aug 9: Meta Strategy meeting</t>
  </si>
  <si>
    <t>Open enrollment prep??</t>
  </si>
  <si>
    <t xml:space="preserve">Sept6 - Meta Strategy meeting
</t>
  </si>
  <si>
    <t>Sept20 - wide channel Meta announcement
Sept 27 - semi annual review with Julie and Kaye</t>
  </si>
  <si>
    <t>Oct 16 - Tax filing extension deadline</t>
  </si>
  <si>
    <t>Open Enroll opens Oct 23</t>
  </si>
  <si>
    <t>RSU Nov1-30 (Nov15 vesting)
Announce new 401k limits TBD</t>
  </si>
  <si>
    <t>Open Enrollment end Nov 10</t>
  </si>
  <si>
    <t>Deloitte deprecated Dec7</t>
  </si>
  <si>
    <t xml:space="preserve">Pending SoW
</t>
  </si>
  <si>
    <t>Bugs fixing - proj error, etc
Fix temporal user_id issues 
Small enhancements - Tip title</t>
  </si>
  <si>
    <t>Retirement dashboard
Article fixes</t>
  </si>
  <si>
    <t>Retirement dashboard cont'd
Analytics fixes
Skelton and loading</t>
  </si>
  <si>
    <t>Retirement &amp; Skelton 
App onboarding</t>
  </si>
  <si>
    <t>App onboarding - cont'd
Retirement (Web)</t>
  </si>
  <si>
    <t>App onboarding - cont'd
Suggestion drawer iOS</t>
  </si>
  <si>
    <t xml:space="preserve">Suggestion drawer Andr/web
</t>
  </si>
  <si>
    <t>Home &amp; Main Menu
Suggestion drawer Web / iOS</t>
  </si>
  <si>
    <t>Home &amp; Main Menu</t>
  </si>
  <si>
    <r>
      <rPr>
        <b/>
        <sz val="10"/>
        <color theme="1"/>
        <rFont val="Roboto Condensed"/>
      </rPr>
      <t xml:space="preserve">iac Upgrade
</t>
    </r>
    <r>
      <rPr>
        <sz val="10"/>
        <color theme="1"/>
        <rFont val="Roboto Condensed"/>
      </rPr>
      <t xml:space="preserve">- Auth0 Tenent config 
</t>
    </r>
    <r>
      <rPr>
        <b/>
        <sz val="10"/>
        <color theme="1"/>
        <rFont val="Roboto Condensed"/>
      </rPr>
      <t xml:space="preserve">Bug fixing
SSO friendly links </t>
    </r>
    <r>
      <rPr>
        <sz val="10"/>
        <color theme="1"/>
        <rFont val="Roboto Condensed"/>
      </rPr>
      <t>(Vishal)</t>
    </r>
  </si>
  <si>
    <r>
      <rPr>
        <b/>
        <sz val="10"/>
        <color theme="1"/>
        <rFont val="Roboto Condensed"/>
      </rPr>
      <t xml:space="preserve">SSO friendly links
</t>
    </r>
    <r>
      <rPr>
        <sz val="10"/>
        <color theme="1"/>
        <rFont val="Roboto Condensed"/>
      </rPr>
      <t xml:space="preserve">- Spike
</t>
    </r>
    <r>
      <rPr>
        <b/>
        <sz val="10"/>
        <color theme="1"/>
        <rFont val="Roboto Condensed"/>
      </rPr>
      <t xml:space="preserve">iac Upgrade
</t>
    </r>
    <r>
      <rPr>
        <sz val="10"/>
        <color theme="1"/>
        <rFont val="Roboto Condensed"/>
      </rPr>
      <t>-Github stack improvement</t>
    </r>
  </si>
  <si>
    <r>
      <rPr>
        <b/>
        <sz val="10"/>
        <color rgb="FF980000"/>
        <rFont val="Roboto Condensed"/>
      </rPr>
      <t xml:space="preserve">Vishal PTO Aug31-7
JD PTO Sept13
</t>
    </r>
    <r>
      <rPr>
        <b/>
        <sz val="10"/>
        <color theme="1"/>
        <rFont val="Roboto Condensed"/>
      </rPr>
      <t>Release Sept 7 or 12
Meta assessment</t>
    </r>
    <r>
      <rPr>
        <sz val="10"/>
        <color theme="1"/>
        <rFont val="Roboto Condensed"/>
      </rPr>
      <t xml:space="preserve"> (JD)
</t>
    </r>
    <r>
      <rPr>
        <b/>
        <sz val="10"/>
        <color theme="1"/>
        <rFont val="Roboto Condensed"/>
      </rPr>
      <t xml:space="preserve">SSO friendly links </t>
    </r>
    <r>
      <rPr>
        <sz val="10"/>
        <color theme="1"/>
        <rFont val="Roboto Condensed"/>
      </rPr>
      <t xml:space="preserve">(Vishal)
</t>
    </r>
    <r>
      <rPr>
        <b/>
        <sz val="10"/>
        <color theme="1"/>
        <rFont val="Roboto Condensed"/>
      </rPr>
      <t>FF booking plans</t>
    </r>
    <r>
      <rPr>
        <sz val="10"/>
        <color theme="1"/>
        <rFont val="Roboto Condensed"/>
      </rPr>
      <t xml:space="preserve"> (JD)</t>
    </r>
  </si>
  <si>
    <r>
      <rPr>
        <b/>
        <sz val="10"/>
        <color rgb="FF980000"/>
        <rFont val="Roboto Condensed"/>
      </rPr>
      <t xml:space="preserve">JD PTO Sept14-18
</t>
    </r>
    <r>
      <rPr>
        <b/>
        <sz val="10"/>
        <color theme="1"/>
        <rFont val="Roboto Condensed"/>
      </rPr>
      <t>Release prep
SSO friendly links
Analytics QA steup: null users
Update collge costs</t>
    </r>
    <r>
      <rPr>
        <sz val="10"/>
        <color theme="1"/>
        <rFont val="Roboto Condensed"/>
      </rPr>
      <t xml:space="preserve"> (Vishal)
</t>
    </r>
    <r>
      <rPr>
        <b/>
        <sz val="10"/>
        <color theme="1"/>
        <rFont val="Roboto Condensed"/>
      </rPr>
      <t xml:space="preserve">Key inventory upgrade </t>
    </r>
    <r>
      <rPr>
        <sz val="10"/>
        <color theme="1"/>
        <rFont val="Roboto Condensed"/>
      </rPr>
      <t>(Vishal)</t>
    </r>
  </si>
  <si>
    <t>Buying a Car spike
SSO friendly links
ES strategy &amp; plan
Faster pipeline to Prod</t>
  </si>
  <si>
    <t>Data pipeline: goals &amp; Notif. 
One Signal: automate load, more tags
General Infra improvements</t>
  </si>
  <si>
    <t>Booking integration FF
Web Deployment changed
Improved monitoring</t>
  </si>
  <si>
    <t>Booking integration FF
Detailed Error Logging 
Improved monitoring</t>
  </si>
  <si>
    <t>FF booking flow (Vishal +)
Pre-prod enviro (Mahesh +)
Detach vehicn arch (Mladen)</t>
  </si>
  <si>
    <t xml:space="preserve">
Analytics pipeline (JD)
- Vehicles, Session, Goals, Home/Featured, Content
Pre-prod enviro (Mahesh +)
Detach vehic arch (Mladen)</t>
  </si>
  <si>
    <r>
      <rPr>
        <b/>
        <sz val="10"/>
        <color theme="1"/>
        <rFont val="Roboto Condensed"/>
      </rPr>
      <t xml:space="preserve">App Onboarding: (Suri)
</t>
    </r>
    <r>
      <rPr>
        <sz val="10"/>
        <color theme="1"/>
        <rFont val="Roboto Condensed"/>
      </rPr>
      <t xml:space="preserve">- Problem definition
</t>
    </r>
    <r>
      <rPr>
        <b/>
        <sz val="10"/>
        <color theme="1"/>
        <rFont val="Roboto Condensed"/>
      </rPr>
      <t xml:space="preserve">Design Library Maintenance (Suri)
</t>
    </r>
    <r>
      <rPr>
        <sz val="10"/>
        <color theme="1"/>
        <rFont val="Roboto Condensed"/>
      </rPr>
      <t>- Handoff checklist
- Define key processes
- Detail New design hand off</t>
    </r>
    <r>
      <rPr>
        <b/>
        <sz val="10"/>
        <color theme="1"/>
        <rFont val="Roboto Condensed"/>
      </rPr>
      <t xml:space="preserve">
Rent Vs Buy (Suri)
</t>
    </r>
    <r>
      <rPr>
        <sz val="10"/>
        <color theme="1"/>
        <rFont val="Roboto Condensed"/>
      </rPr>
      <t xml:space="preserve">-Prototype adjustments
</t>
    </r>
    <r>
      <rPr>
        <b/>
        <sz val="10"/>
        <color theme="1"/>
        <rFont val="Roboto Condensed"/>
      </rPr>
      <t xml:space="preserve">Resiliance Badges (Charlie)
</t>
    </r>
    <r>
      <rPr>
        <sz val="10"/>
        <color theme="1"/>
        <rFont val="Roboto Condensed"/>
      </rPr>
      <t>- Finanlize Prototype
- Usability Testing
- Feedback incorporation
- Motion for Badges</t>
    </r>
  </si>
  <si>
    <r>
      <rPr>
        <b/>
        <sz val="10"/>
        <color theme="1"/>
        <rFont val="Roboto Condensed"/>
      </rPr>
      <t xml:space="preserve">App Onboarding: (Suri)
</t>
    </r>
    <r>
      <rPr>
        <sz val="10"/>
        <color theme="1"/>
        <rFont val="Roboto Condensed"/>
      </rPr>
      <t>- Design Exploration
- Prototype</t>
    </r>
    <r>
      <rPr>
        <b/>
        <sz val="10"/>
        <color theme="1"/>
        <rFont val="Roboto Condensed"/>
      </rPr>
      <t xml:space="preserve">
Design Library Maintenance
</t>
    </r>
    <r>
      <rPr>
        <sz val="10"/>
        <color theme="1"/>
        <rFont val="Roboto Condensed"/>
      </rPr>
      <t xml:space="preserve">- Prioritize Key Processes
</t>
    </r>
    <r>
      <rPr>
        <b/>
        <sz val="10"/>
        <color theme="1"/>
        <rFont val="Roboto Condensed"/>
      </rPr>
      <t xml:space="preserve">Resiliance Badges (Charlie)
</t>
    </r>
    <r>
      <rPr>
        <sz val="10"/>
        <color theme="1"/>
        <rFont val="Roboto Condensed"/>
      </rPr>
      <t xml:space="preserve">- Finalize design (mobile)
</t>
    </r>
    <r>
      <rPr>
        <b/>
        <sz val="10"/>
        <color theme="1"/>
        <rFont val="Roboto Condensed"/>
      </rPr>
      <t xml:space="preserve">Rent Vs. Buy (Charlie)
</t>
    </r>
    <r>
      <rPr>
        <sz val="10"/>
        <color theme="1"/>
        <rFont val="Roboto Condensed"/>
      </rPr>
      <t xml:space="preserve">- Create Illustrations
</t>
    </r>
  </si>
  <si>
    <r>
      <rPr>
        <b/>
        <sz val="10"/>
        <color theme="1"/>
        <rFont val="Roboto Condensed"/>
      </rPr>
      <t>App Onboarding (</t>
    </r>
    <r>
      <rPr>
        <sz val="10"/>
        <color theme="1"/>
        <rFont val="Roboto Condensed"/>
      </rPr>
      <t>Suri</t>
    </r>
    <r>
      <rPr>
        <b/>
        <sz val="10"/>
        <color theme="1"/>
        <rFont val="Roboto Condensed"/>
      </rPr>
      <t xml:space="preserve">): 
</t>
    </r>
    <r>
      <rPr>
        <sz val="10"/>
        <color theme="1"/>
        <rFont val="Roboto Condensed"/>
      </rPr>
      <t xml:space="preserve">- User testing
- Finalize mobile
</t>
    </r>
    <r>
      <rPr>
        <b/>
        <sz val="10"/>
        <color theme="1"/>
        <rFont val="Roboto Condensed"/>
      </rPr>
      <t>Resiliance Badges (</t>
    </r>
    <r>
      <rPr>
        <sz val="10"/>
        <color theme="1"/>
        <rFont val="Roboto Condensed"/>
      </rPr>
      <t>Charlie</t>
    </r>
    <r>
      <rPr>
        <b/>
        <sz val="10"/>
        <color theme="1"/>
        <rFont val="Roboto Condensed"/>
      </rPr>
      <t xml:space="preserve">)
</t>
    </r>
    <r>
      <rPr>
        <sz val="10"/>
        <color theme="1"/>
        <rFont val="Roboto Condensed"/>
      </rPr>
      <t>- Finalize design (web)</t>
    </r>
    <r>
      <rPr>
        <b/>
        <sz val="10"/>
        <color theme="1"/>
        <rFont val="Roboto Condensed"/>
      </rPr>
      <t xml:space="preserve">
Skeleton &amp; Loading screen improvement (</t>
    </r>
    <r>
      <rPr>
        <sz val="10"/>
        <color theme="1"/>
        <rFont val="Roboto Condensed"/>
      </rPr>
      <t>Charlie</t>
    </r>
    <r>
      <rPr>
        <b/>
        <sz val="10"/>
        <color theme="1"/>
        <rFont val="Roboto Condensed"/>
      </rPr>
      <t xml:space="preserve">)
</t>
    </r>
    <r>
      <rPr>
        <sz val="10"/>
        <color theme="1"/>
        <rFont val="Roboto Condensed"/>
      </rPr>
      <t xml:space="preserve">- Lottie Files
- Animations
</t>
    </r>
  </si>
  <si>
    <r>
      <rPr>
        <b/>
        <sz val="10"/>
        <color theme="1"/>
        <rFont val="Roboto Condensed"/>
      </rPr>
      <t>App Onboarding (</t>
    </r>
    <r>
      <rPr>
        <sz val="10"/>
        <color theme="1"/>
        <rFont val="Roboto Condensed"/>
      </rPr>
      <t>Suri</t>
    </r>
    <r>
      <rPr>
        <b/>
        <sz val="10"/>
        <color theme="1"/>
        <rFont val="Roboto Condensed"/>
      </rPr>
      <t xml:space="preserve">): 
</t>
    </r>
    <r>
      <rPr>
        <sz val="10"/>
        <color theme="1"/>
        <rFont val="Roboto Condensed"/>
      </rPr>
      <t xml:space="preserve">- Finalize web
</t>
    </r>
    <r>
      <rPr>
        <b/>
        <sz val="10"/>
        <color theme="1"/>
        <rFont val="Roboto Condensed"/>
      </rPr>
      <t>Suggestion drawer UX (</t>
    </r>
    <r>
      <rPr>
        <sz val="10"/>
        <color theme="1"/>
        <rFont val="Roboto Condensed"/>
      </rPr>
      <t>Mariano</t>
    </r>
    <r>
      <rPr>
        <b/>
        <sz val="10"/>
        <color theme="1"/>
        <rFont val="Roboto Condensed"/>
      </rPr>
      <t xml:space="preserve">)
</t>
    </r>
    <r>
      <rPr>
        <sz val="10"/>
        <color theme="1"/>
        <rFont val="Roboto Condensed"/>
      </rPr>
      <t xml:space="preserve">- Internal expert review (Sebas)
</t>
    </r>
    <r>
      <rPr>
        <b/>
        <sz val="10"/>
        <color rgb="FFCC0000"/>
        <rFont val="Roboto Condensed"/>
      </rPr>
      <t xml:space="preserve">Suri work remote from WI
</t>
    </r>
    <r>
      <rPr>
        <sz val="10"/>
        <color theme="1"/>
        <rFont val="Roboto Condensed"/>
      </rPr>
      <t xml:space="preserve">
</t>
    </r>
    <r>
      <rPr>
        <b/>
        <sz val="10"/>
        <color theme="1"/>
        <rFont val="Roboto Condensed"/>
      </rPr>
      <t>Home Layout Enhacements</t>
    </r>
    <r>
      <rPr>
        <sz val="10"/>
        <color theme="1"/>
        <rFont val="Roboto Condensed"/>
      </rPr>
      <t xml:space="preserve">  (Charlie)
- Problem defintion
- Design Iteration
</t>
    </r>
    <r>
      <rPr>
        <b/>
        <sz val="10"/>
        <color rgb="FFCC0000"/>
        <rFont val="Roboto Condensed"/>
      </rPr>
      <t xml:space="preserve">Charlie PTO (Aug18-22)
</t>
    </r>
  </si>
  <si>
    <r>
      <rPr>
        <b/>
        <sz val="10"/>
        <color theme="1"/>
        <rFont val="Roboto Condensed"/>
      </rPr>
      <t xml:space="preserve">App Onboarding </t>
    </r>
    <r>
      <rPr>
        <sz val="10"/>
        <color theme="1"/>
        <rFont val="Roboto Condensed"/>
      </rPr>
      <t xml:space="preserve">(Suri): 
- Incorporate ED feedback
</t>
    </r>
    <r>
      <rPr>
        <b/>
        <sz val="10"/>
        <color theme="1"/>
        <rFont val="Roboto Condensed"/>
      </rPr>
      <t>Suggestion drawer UX (</t>
    </r>
    <r>
      <rPr>
        <sz val="10"/>
        <color theme="1"/>
        <rFont val="Roboto Condensed"/>
      </rPr>
      <t>Suri</t>
    </r>
    <r>
      <rPr>
        <b/>
        <sz val="10"/>
        <color theme="1"/>
        <rFont val="Roboto Condensed"/>
      </rPr>
      <t xml:space="preserve">)
</t>
    </r>
    <r>
      <rPr>
        <sz val="10"/>
        <color theme="1"/>
        <rFont val="Roboto Condensed"/>
      </rPr>
      <t xml:space="preserve">- Finalize enhancements
</t>
    </r>
    <r>
      <rPr>
        <b/>
        <sz val="10"/>
        <color theme="1"/>
        <rFont val="Roboto Condensed"/>
      </rPr>
      <t>Home Layout Enhacements</t>
    </r>
    <r>
      <rPr>
        <sz val="10"/>
        <color theme="1"/>
        <rFont val="Roboto Condensed"/>
      </rPr>
      <t xml:space="preserve">  (Charlie)
- Prototype
- User Testing
</t>
    </r>
  </si>
  <si>
    <r>
      <rPr>
        <b/>
        <sz val="10"/>
        <color rgb="FF990000"/>
        <rFont val="Roboto Condensed"/>
      </rPr>
      <t xml:space="preserve">Saul PTO Sept 26-28
</t>
    </r>
    <r>
      <rPr>
        <b/>
        <sz val="10"/>
        <color theme="1"/>
        <rFont val="Roboto Condensed"/>
      </rPr>
      <t xml:space="preserve">Home layout </t>
    </r>
    <r>
      <rPr>
        <sz val="10"/>
        <color theme="1"/>
        <rFont val="Roboto Condensed"/>
      </rPr>
      <t xml:space="preserve">(Charlie  &amp; Suri)
- Finalize design 
</t>
    </r>
    <r>
      <rPr>
        <b/>
        <sz val="10"/>
        <color theme="1"/>
        <rFont val="Roboto Condensed"/>
      </rPr>
      <t>App onbarding</t>
    </r>
    <r>
      <rPr>
        <sz val="10"/>
        <color theme="1"/>
        <rFont val="Roboto Condensed"/>
      </rPr>
      <t xml:space="preserve"> (Suri)
- Figma documentation </t>
    </r>
  </si>
  <si>
    <r>
      <rPr>
        <b/>
        <sz val="10"/>
        <color rgb="FF6AA84F"/>
        <rFont val="Roboto Condensed"/>
      </rPr>
      <t xml:space="preserve">Vitto returns to Paven
</t>
    </r>
    <r>
      <rPr>
        <b/>
        <sz val="10"/>
        <color rgb="FF990000"/>
        <rFont val="Roboto Condensed"/>
      </rPr>
      <t>Suri goes to Bayada</t>
    </r>
    <r>
      <rPr>
        <b/>
        <sz val="10"/>
        <color rgb="FF6AA84F"/>
        <rFont val="Roboto Condensed"/>
      </rPr>
      <t xml:space="preserve">
</t>
    </r>
    <r>
      <rPr>
        <b/>
        <sz val="10"/>
        <color rgb="FF990000"/>
        <rFont val="Roboto Condensed"/>
      </rPr>
      <t xml:space="preserve">Saul PTO Sept28-Oct4
</t>
    </r>
    <r>
      <rPr>
        <b/>
        <sz val="10"/>
        <color rgb="FF6AA84F"/>
        <rFont val="Roboto Condensed"/>
      </rPr>
      <t xml:space="preserve">
</t>
    </r>
    <r>
      <rPr>
        <b/>
        <sz val="10"/>
        <color theme="1"/>
        <rFont val="Roboto Condensed"/>
      </rPr>
      <t>Home layout</t>
    </r>
    <r>
      <rPr>
        <sz val="10"/>
        <color theme="1"/>
        <rFont val="Roboto Condensed"/>
      </rPr>
      <t xml:space="preserve"> (Charlie  &amp; Suri)
- Explore, Main Menu, user Testing
</t>
    </r>
    <r>
      <rPr>
        <b/>
        <sz val="10"/>
        <color rgb="FF6AA84F"/>
        <rFont val="Roboto Condensed"/>
      </rPr>
      <t xml:space="preserve">
</t>
    </r>
    <r>
      <rPr>
        <b/>
        <sz val="10"/>
        <color theme="1"/>
        <rFont val="Roboto Condensed"/>
      </rPr>
      <t>Case study</t>
    </r>
    <r>
      <rPr>
        <sz val="10"/>
        <color theme="1"/>
        <rFont val="Roboto Condensed"/>
      </rPr>
      <t xml:space="preserve"> (Charlie/Suri)
- Nicky project
</t>
    </r>
  </si>
  <si>
    <r>
      <rPr>
        <b/>
        <sz val="10"/>
        <color theme="1"/>
        <rFont val="Roboto Condensed"/>
      </rPr>
      <t xml:space="preserve">
Home layout (Charlie  &amp; Suri)
</t>
    </r>
    <r>
      <rPr>
        <sz val="10"/>
        <color theme="1"/>
        <rFont val="Roboto Condensed"/>
      </rPr>
      <t xml:space="preserve">- Finalize design 
</t>
    </r>
    <r>
      <rPr>
        <b/>
        <sz val="10"/>
        <color theme="1"/>
        <rFont val="Roboto Condensed"/>
      </rPr>
      <t xml:space="preserve">Journey Helper (Vitto)
</t>
    </r>
    <r>
      <rPr>
        <sz val="10"/>
        <color theme="1"/>
        <rFont val="Roboto Condensed"/>
      </rPr>
      <t xml:space="preserve">- Exploration"
</t>
    </r>
    <r>
      <rPr>
        <b/>
        <sz val="10"/>
        <color theme="1"/>
        <rFont val="Roboto Condensed"/>
      </rPr>
      <t xml:space="preserve">Case study (Charlie/Suri)
</t>
    </r>
    <r>
      <rPr>
        <sz val="10"/>
        <color theme="1"/>
        <rFont val="Roboto Condensed"/>
      </rPr>
      <t xml:space="preserve">- Nicky project
</t>
    </r>
  </si>
  <si>
    <r>
      <rPr>
        <b/>
        <sz val="10"/>
        <color rgb="FF990000"/>
        <rFont val="Roboto Condensed"/>
      </rPr>
      <t xml:space="preserve">Charlie PTO Nov2-3
</t>
    </r>
    <r>
      <rPr>
        <b/>
        <sz val="10"/>
        <color theme="1"/>
        <rFont val="Roboto Condensed"/>
      </rPr>
      <t xml:space="preserve">Journey Helper
</t>
    </r>
    <r>
      <rPr>
        <sz val="10"/>
        <color theme="1"/>
        <rFont val="Roboto Condensed"/>
      </rPr>
      <t xml:space="preserve">- Finalize design
</t>
    </r>
    <r>
      <rPr>
        <b/>
        <sz val="10"/>
        <color theme="1"/>
        <rFont val="Roboto Condensed"/>
      </rPr>
      <t xml:space="preserve">Buying a car </t>
    </r>
    <r>
      <rPr>
        <sz val="10"/>
        <color theme="1"/>
        <rFont val="Roboto Condensed"/>
      </rPr>
      <t>(Charlie) 
- Design exploration</t>
    </r>
    <r>
      <rPr>
        <b/>
        <sz val="10"/>
        <color theme="1"/>
        <rFont val="Roboto Condensed"/>
      </rPr>
      <t xml:space="preserve">
</t>
    </r>
  </si>
  <si>
    <r>
      <rPr>
        <b/>
        <sz val="10"/>
        <color theme="1"/>
        <rFont val="Roboto Condensed"/>
      </rPr>
      <t xml:space="preserve">Buying a car (Charlie) 
</t>
    </r>
    <r>
      <rPr>
        <sz val="10"/>
        <color theme="1"/>
        <rFont val="Roboto Condensed"/>
      </rPr>
      <t xml:space="preserve">- Finalize design
</t>
    </r>
    <r>
      <rPr>
        <b/>
        <sz val="10"/>
        <color theme="1"/>
        <rFont val="Roboto Condensed"/>
      </rPr>
      <t xml:space="preserve">Journey Helper (Vitto)
</t>
    </r>
    <r>
      <rPr>
        <sz val="10"/>
        <color theme="1"/>
        <rFont val="Roboto Condensed"/>
      </rPr>
      <t xml:space="preserve">-Design iteration
</t>
    </r>
    <r>
      <rPr>
        <b/>
        <sz val="10"/>
        <color theme="1"/>
        <rFont val="Roboto Condensed"/>
      </rPr>
      <t xml:space="preserve">Home layout (Vitto)
</t>
    </r>
    <r>
      <rPr>
        <sz val="10"/>
        <color theme="1"/>
        <rFont val="Roboto Condensed"/>
      </rPr>
      <t>- Dev Support</t>
    </r>
  </si>
  <si>
    <r>
      <rPr>
        <b/>
        <sz val="10"/>
        <color theme="1"/>
        <rFont val="Roboto Condensed"/>
      </rPr>
      <t>RSU vehicle (</t>
    </r>
    <r>
      <rPr>
        <sz val="10"/>
        <color theme="1"/>
        <rFont val="Roboto Condensed"/>
      </rPr>
      <t>Charlie</t>
    </r>
    <r>
      <rPr>
        <b/>
        <sz val="10"/>
        <color theme="1"/>
        <rFont val="Roboto Condensed"/>
      </rPr>
      <t xml:space="preserve">)
</t>
    </r>
    <r>
      <rPr>
        <sz val="10"/>
        <color theme="1"/>
        <rFont val="Roboto Condensed"/>
      </rPr>
      <t xml:space="preserve">- Design exploration
</t>
    </r>
    <r>
      <rPr>
        <b/>
        <sz val="10"/>
        <color theme="1"/>
        <rFont val="Roboto Condensed"/>
      </rPr>
      <t>Journey Helper</t>
    </r>
    <r>
      <rPr>
        <sz val="10"/>
        <color theme="1"/>
        <rFont val="Roboto Condensed"/>
      </rPr>
      <t xml:space="preserve"> (Vitto)
-User testing 
-Iteration design
</t>
    </r>
  </si>
  <si>
    <r>
      <rPr>
        <b/>
        <sz val="10"/>
        <color rgb="FF990000"/>
        <rFont val="Roboto Condensed"/>
      </rPr>
      <t xml:space="preserve">Charlie went to Bayada
</t>
    </r>
    <r>
      <rPr>
        <b/>
        <sz val="10"/>
        <color theme="1"/>
        <rFont val="Roboto Condensed"/>
      </rPr>
      <t xml:space="preserve">Journey Helper </t>
    </r>
    <r>
      <rPr>
        <sz val="10"/>
        <color theme="1"/>
        <rFont val="Roboto Condensed"/>
      </rPr>
      <t>(Vitto)</t>
    </r>
    <r>
      <rPr>
        <b/>
        <sz val="10"/>
        <color theme="1"/>
        <rFont val="Roboto Condensed"/>
      </rPr>
      <t xml:space="preserve">
</t>
    </r>
    <r>
      <rPr>
        <sz val="10"/>
        <color theme="1"/>
        <rFont val="Roboto Condensed"/>
      </rPr>
      <t xml:space="preserve">-User testing 
</t>
    </r>
  </si>
  <si>
    <r>
      <rPr>
        <b/>
        <sz val="10"/>
        <color theme="1"/>
        <rFont val="Roboto Condensed"/>
      </rPr>
      <t xml:space="preserve">Home Layout
- </t>
    </r>
    <r>
      <rPr>
        <sz val="10"/>
        <color theme="1"/>
        <rFont val="Roboto Condensed"/>
      </rPr>
      <t xml:space="preserve">Requirement Definition
</t>
    </r>
    <r>
      <rPr>
        <b/>
        <sz val="10"/>
        <color theme="1"/>
        <rFont val="Roboto Condensed"/>
      </rPr>
      <t xml:space="preserve">- </t>
    </r>
    <r>
      <rPr>
        <sz val="10"/>
        <color theme="1"/>
        <rFont val="Roboto Condensed"/>
      </rPr>
      <t xml:space="preserve">Feature clarification
</t>
    </r>
    <r>
      <rPr>
        <b/>
        <sz val="10"/>
        <color theme="1"/>
        <rFont val="Roboto Condensed"/>
      </rPr>
      <t xml:space="preserve">Skeleton &amp; Loading screen
- </t>
    </r>
    <r>
      <rPr>
        <sz val="10"/>
        <color theme="1"/>
        <rFont val="Roboto Condensed"/>
      </rPr>
      <t xml:space="preserve">Requirement Definition
- Feature clarification
</t>
    </r>
    <r>
      <rPr>
        <b/>
        <sz val="10"/>
        <color theme="1"/>
        <rFont val="Roboto Condensed"/>
      </rPr>
      <t xml:space="preserve">App Onboarding (Leif)
</t>
    </r>
    <r>
      <rPr>
        <sz val="10"/>
        <color theme="1"/>
        <rFont val="Roboto Condensed"/>
      </rPr>
      <t xml:space="preserve">- product support
</t>
    </r>
    <r>
      <rPr>
        <b/>
        <sz val="10"/>
        <color theme="1"/>
        <rFont val="Roboto Condensed"/>
      </rPr>
      <t xml:space="preserve">Badges support (Leif)
</t>
    </r>
    <r>
      <rPr>
        <sz val="10"/>
        <color theme="1"/>
        <rFont val="Roboto Condensed"/>
      </rPr>
      <t>- Support</t>
    </r>
  </si>
  <si>
    <r>
      <rPr>
        <b/>
        <sz val="10"/>
        <color theme="1"/>
        <rFont val="Roboto Condensed"/>
      </rPr>
      <t>Home Layout (</t>
    </r>
    <r>
      <rPr>
        <sz val="10"/>
        <color theme="1"/>
        <rFont val="Roboto Condensed"/>
      </rPr>
      <t>Mariano</t>
    </r>
    <r>
      <rPr>
        <b/>
        <sz val="10"/>
        <color theme="1"/>
        <rFont val="Roboto Condensed"/>
      </rPr>
      <t xml:space="preserve">)
</t>
    </r>
    <r>
      <rPr>
        <sz val="10"/>
        <color theme="1"/>
        <rFont val="Roboto Condensed"/>
      </rPr>
      <t xml:space="preserve">- Requirement Definition
- Feature clarification
</t>
    </r>
    <r>
      <rPr>
        <b/>
        <sz val="10"/>
        <color theme="1"/>
        <rFont val="Roboto Condensed"/>
      </rPr>
      <t>Badges (</t>
    </r>
    <r>
      <rPr>
        <sz val="10"/>
        <color theme="1"/>
        <rFont val="Roboto Condensed"/>
      </rPr>
      <t>Leif</t>
    </r>
    <r>
      <rPr>
        <b/>
        <sz val="10"/>
        <color theme="1"/>
        <rFont val="Roboto Condensed"/>
      </rPr>
      <t>)</t>
    </r>
    <r>
      <rPr>
        <sz val="10"/>
        <color theme="1"/>
        <rFont val="Roboto Condensed"/>
      </rPr>
      <t xml:space="preserve">
- product support
</t>
    </r>
    <r>
      <rPr>
        <b/>
        <sz val="10"/>
        <color theme="1"/>
        <rFont val="Roboto Condensed"/>
      </rPr>
      <t xml:space="preserve">App Onboarding </t>
    </r>
    <r>
      <rPr>
        <sz val="10"/>
        <color theme="1"/>
        <rFont val="Roboto Condensed"/>
      </rPr>
      <t>(Leif)
- product support</t>
    </r>
  </si>
  <si>
    <r>
      <rPr>
        <b/>
        <sz val="10"/>
        <color rgb="FF990000"/>
        <rFont val="Roboto Condensed"/>
      </rPr>
      <t>Mariano in CA Aug17-26</t>
    </r>
    <r>
      <rPr>
        <b/>
        <sz val="10"/>
        <color rgb="FFCC0000"/>
        <rFont val="Roboto Condensed"/>
      </rPr>
      <t xml:space="preserve">
</t>
    </r>
    <r>
      <rPr>
        <b/>
        <sz val="10"/>
        <color theme="1"/>
        <rFont val="Roboto Condensed"/>
      </rPr>
      <t>Home Layout (</t>
    </r>
    <r>
      <rPr>
        <sz val="10"/>
        <color theme="1"/>
        <rFont val="Roboto Condensed"/>
      </rPr>
      <t>Mariano</t>
    </r>
    <r>
      <rPr>
        <b/>
        <sz val="10"/>
        <color theme="1"/>
        <rFont val="Roboto Condensed"/>
      </rPr>
      <t xml:space="preserve">)
</t>
    </r>
    <r>
      <rPr>
        <sz val="10"/>
        <color theme="1"/>
        <rFont val="Roboto Condensed"/>
      </rPr>
      <t xml:space="preserve">- Product support
</t>
    </r>
    <r>
      <rPr>
        <b/>
        <sz val="10"/>
        <color theme="1"/>
        <rFont val="Roboto Condensed"/>
      </rPr>
      <t>Suggestion drawer UX (</t>
    </r>
    <r>
      <rPr>
        <sz val="10"/>
        <color theme="1"/>
        <rFont val="Roboto Condensed"/>
      </rPr>
      <t>Mariano</t>
    </r>
    <r>
      <rPr>
        <b/>
        <sz val="10"/>
        <color theme="1"/>
        <rFont val="Roboto Condensed"/>
      </rPr>
      <t xml:space="preserve">)
</t>
    </r>
    <r>
      <rPr>
        <sz val="10"/>
        <color theme="1"/>
        <rFont val="Roboto Condensed"/>
      </rPr>
      <t xml:space="preserve">- Support expert review &amp; req's
</t>
    </r>
  </si>
  <si>
    <r>
      <rPr>
        <b/>
        <sz val="10"/>
        <color rgb="FF990000"/>
        <rFont val="Roboto Condensed"/>
      </rPr>
      <t xml:space="preserve">Mariano PTO: 
Tues5,6,7,8,
Mon11,12,13,14
</t>
    </r>
    <r>
      <rPr>
        <b/>
        <sz val="10"/>
        <color rgb="FF000000"/>
        <rFont val="Roboto Condensed"/>
      </rPr>
      <t>Home Layout (</t>
    </r>
    <r>
      <rPr>
        <sz val="10"/>
        <color rgb="FF000000"/>
        <rFont val="Roboto Condensed"/>
      </rPr>
      <t>Leif</t>
    </r>
    <r>
      <rPr>
        <b/>
        <sz val="10"/>
        <color rgb="FF000000"/>
        <rFont val="Roboto Condensed"/>
      </rPr>
      <t xml:space="preserve">)
</t>
    </r>
    <r>
      <rPr>
        <sz val="10"/>
        <color rgb="FF000000"/>
        <rFont val="Roboto Condensed"/>
      </rPr>
      <t xml:space="preserve">- Product support
</t>
    </r>
    <r>
      <rPr>
        <b/>
        <sz val="10"/>
        <color rgb="FF000000"/>
        <rFont val="Roboto Condensed"/>
      </rPr>
      <t>Suggestion drawer UX (</t>
    </r>
    <r>
      <rPr>
        <sz val="10"/>
        <color rgb="FF000000"/>
        <rFont val="Roboto Condensed"/>
      </rPr>
      <t>Mariano</t>
    </r>
    <r>
      <rPr>
        <b/>
        <sz val="10"/>
        <color rgb="FF000000"/>
        <rFont val="Roboto Condensed"/>
      </rPr>
      <t xml:space="preserve">)
</t>
    </r>
    <r>
      <rPr>
        <sz val="10"/>
        <color rgb="FF000000"/>
        <rFont val="Roboto Condensed"/>
      </rPr>
      <t>- Support expert review &amp; req's</t>
    </r>
  </si>
  <si>
    <r>
      <rPr>
        <b/>
        <sz val="10"/>
        <color rgb="FF990000"/>
        <rFont val="Roboto Condensed"/>
      </rPr>
      <t xml:space="preserve">Mariano PTO: Sept 19
</t>
    </r>
    <r>
      <rPr>
        <b/>
        <sz val="10"/>
        <color theme="1"/>
        <rFont val="Roboto Condensed"/>
      </rPr>
      <t xml:space="preserve">Home Layout </t>
    </r>
    <r>
      <rPr>
        <sz val="10"/>
        <color theme="1"/>
        <rFont val="Roboto Condensed"/>
      </rPr>
      <t>(Mariano)</t>
    </r>
    <r>
      <rPr>
        <b/>
        <sz val="10"/>
        <color theme="1"/>
        <rFont val="Roboto Condensed"/>
      </rPr>
      <t xml:space="preserve">
</t>
    </r>
    <r>
      <rPr>
        <sz val="10"/>
        <color theme="1"/>
        <rFont val="Roboto Condensed"/>
      </rPr>
      <t xml:space="preserve">- Product support
</t>
    </r>
    <r>
      <rPr>
        <b/>
        <sz val="10"/>
        <color theme="1"/>
        <rFont val="Roboto Condensed"/>
      </rPr>
      <t>Suggestion drawer UX (</t>
    </r>
    <r>
      <rPr>
        <sz val="10"/>
        <color theme="1"/>
        <rFont val="Roboto Condensed"/>
      </rPr>
      <t>Mariano</t>
    </r>
    <r>
      <rPr>
        <b/>
        <sz val="10"/>
        <color theme="1"/>
        <rFont val="Roboto Condensed"/>
      </rPr>
      <t xml:space="preserve">)
</t>
    </r>
    <r>
      <rPr>
        <sz val="10"/>
        <color theme="1"/>
        <rFont val="Roboto Condensed"/>
      </rPr>
      <t xml:space="preserve">- product support
</t>
    </r>
  </si>
  <si>
    <r>
      <rPr>
        <b/>
        <sz val="10"/>
        <color rgb="FF980000"/>
        <rFont val="Roboto Condensed"/>
      </rPr>
      <t xml:space="preserve">Leif PTO Oct3-Oct12
</t>
    </r>
    <r>
      <rPr>
        <b/>
        <sz val="10"/>
        <color theme="1"/>
        <rFont val="Roboto Condensed"/>
      </rPr>
      <t>Journey Helper (</t>
    </r>
    <r>
      <rPr>
        <sz val="10"/>
        <color theme="1"/>
        <rFont val="Roboto Condensed"/>
      </rPr>
      <t>Mariano</t>
    </r>
    <r>
      <rPr>
        <b/>
        <sz val="10"/>
        <color theme="1"/>
        <rFont val="Roboto Condensed"/>
      </rPr>
      <t>)</t>
    </r>
    <r>
      <rPr>
        <sz val="10"/>
        <color theme="1"/>
        <rFont val="Roboto Condensed"/>
      </rPr>
      <t xml:space="preserve">
- Requirement Definition
- Feature clarification
</t>
    </r>
    <r>
      <rPr>
        <b/>
        <sz val="10"/>
        <color theme="1"/>
        <rFont val="Roboto Condensed"/>
      </rPr>
      <t>ES Strategy (</t>
    </r>
    <r>
      <rPr>
        <sz val="10"/>
        <color theme="1"/>
        <rFont val="Roboto Condensed"/>
      </rPr>
      <t>Leif+Mariano</t>
    </r>
    <r>
      <rPr>
        <b/>
        <sz val="10"/>
        <color theme="1"/>
        <rFont val="Roboto Condensed"/>
      </rPr>
      <t xml:space="preserve">)
</t>
    </r>
    <r>
      <rPr>
        <sz val="10"/>
        <color theme="1"/>
        <rFont val="Roboto Condensed"/>
      </rPr>
      <t xml:space="preserve">-kickoff meeting
</t>
    </r>
    <r>
      <rPr>
        <b/>
        <sz val="10"/>
        <color theme="1"/>
        <rFont val="Roboto Condensed"/>
      </rPr>
      <t>RSU vehicle</t>
    </r>
    <r>
      <rPr>
        <sz val="10"/>
        <color theme="1"/>
        <rFont val="Roboto Condensed"/>
      </rPr>
      <t xml:space="preserve"> (Ankita)
- Research
</t>
    </r>
  </si>
  <si>
    <r>
      <rPr>
        <b/>
        <sz val="10"/>
        <color rgb="FF980000"/>
        <rFont val="Roboto Condensed"/>
      </rPr>
      <t xml:space="preserve">Leif PTO Oct12-Oct15
</t>
    </r>
    <r>
      <rPr>
        <sz val="10"/>
        <color theme="1"/>
        <rFont val="Roboto Condensed"/>
      </rPr>
      <t xml:space="preserve">
</t>
    </r>
    <r>
      <rPr>
        <b/>
        <sz val="10"/>
        <color theme="1"/>
        <rFont val="Roboto Condensed"/>
      </rPr>
      <t xml:space="preserve">Journey Helper </t>
    </r>
    <r>
      <rPr>
        <sz val="10"/>
        <color theme="1"/>
        <rFont val="Roboto Condensed"/>
      </rPr>
      <t xml:space="preserve">(mariano)
- Design support
</t>
    </r>
    <r>
      <rPr>
        <b/>
        <sz val="10"/>
        <color theme="1"/>
        <rFont val="Roboto Condensed"/>
      </rPr>
      <t>ES strategy</t>
    </r>
    <r>
      <rPr>
        <sz val="10"/>
        <color theme="1"/>
        <rFont val="Roboto Condensed"/>
      </rPr>
      <t xml:space="preserve"> (Leif)
- Planning
</t>
    </r>
    <r>
      <rPr>
        <b/>
        <sz val="10"/>
        <color theme="1"/>
        <rFont val="Roboto Condensed"/>
      </rPr>
      <t>Buying a car goal</t>
    </r>
    <r>
      <rPr>
        <sz val="10"/>
        <color theme="1"/>
        <rFont val="Roboto Condensed"/>
      </rPr>
      <t xml:space="preserve"> (Leif)
- Req's definition
</t>
    </r>
    <r>
      <rPr>
        <b/>
        <sz val="10"/>
        <color theme="1"/>
        <rFont val="Roboto Condensed"/>
      </rPr>
      <t>RSU vehicle (</t>
    </r>
    <r>
      <rPr>
        <sz val="10"/>
        <color theme="1"/>
        <rFont val="Roboto Condensed"/>
      </rPr>
      <t>Ankita)</t>
    </r>
    <r>
      <rPr>
        <b/>
        <sz val="10"/>
        <color theme="1"/>
        <rFont val="Roboto Condensed"/>
      </rPr>
      <t xml:space="preserve">
</t>
    </r>
    <r>
      <rPr>
        <sz val="10"/>
        <color theme="1"/>
        <rFont val="Roboto Condensed"/>
      </rPr>
      <t>- Req definition</t>
    </r>
  </si>
  <si>
    <r>
      <rPr>
        <b/>
        <sz val="10"/>
        <color theme="1"/>
        <rFont val="Roboto Condensed"/>
      </rPr>
      <t xml:space="preserve">Jounrney Helper </t>
    </r>
    <r>
      <rPr>
        <sz val="10"/>
        <color theme="1"/>
        <rFont val="Roboto Condensed"/>
      </rPr>
      <t xml:space="preserve">(mariano)
- Design support
</t>
    </r>
    <r>
      <rPr>
        <b/>
        <sz val="10"/>
        <color theme="1"/>
        <rFont val="Roboto Condensed"/>
      </rPr>
      <t xml:space="preserve">Buying a car goal </t>
    </r>
    <r>
      <rPr>
        <sz val="10"/>
        <color theme="1"/>
        <rFont val="Roboto Condensed"/>
      </rPr>
      <t>(Leif)</t>
    </r>
    <r>
      <rPr>
        <b/>
        <sz val="10"/>
        <color theme="1"/>
        <rFont val="Roboto Condensed"/>
      </rPr>
      <t xml:space="preserve">
</t>
    </r>
    <r>
      <rPr>
        <sz val="10"/>
        <color theme="1"/>
        <rFont val="Roboto Condensed"/>
      </rPr>
      <t xml:space="preserve">- Prod support
</t>
    </r>
    <r>
      <rPr>
        <b/>
        <sz val="10"/>
        <color theme="1"/>
        <rFont val="Roboto Condensed"/>
      </rPr>
      <t>RSU vehicle</t>
    </r>
    <r>
      <rPr>
        <sz val="10"/>
        <color theme="1"/>
        <rFont val="Roboto Condensed"/>
      </rPr>
      <t xml:space="preserve"> (Ankita)</t>
    </r>
    <r>
      <rPr>
        <b/>
        <sz val="10"/>
        <color theme="1"/>
        <rFont val="Roboto Condensed"/>
      </rPr>
      <t xml:space="preserve">
</t>
    </r>
    <r>
      <rPr>
        <sz val="10"/>
        <color theme="1"/>
        <rFont val="Roboto Condensed"/>
      </rPr>
      <t>- Req definition</t>
    </r>
  </si>
  <si>
    <r>
      <rPr>
        <b/>
        <sz val="10"/>
        <color theme="1"/>
        <rFont val="Roboto Condensed"/>
      </rPr>
      <t>Buying a car goal (</t>
    </r>
    <r>
      <rPr>
        <sz val="10"/>
        <color theme="1"/>
        <rFont val="Roboto Condensed"/>
      </rPr>
      <t>Leif</t>
    </r>
    <r>
      <rPr>
        <b/>
        <sz val="10"/>
        <color theme="1"/>
        <rFont val="Roboto Condensed"/>
      </rPr>
      <t xml:space="preserve">)
</t>
    </r>
    <r>
      <rPr>
        <sz val="10"/>
        <color theme="1"/>
        <rFont val="Roboto Condensed"/>
      </rPr>
      <t xml:space="preserve">- Prod support
</t>
    </r>
    <r>
      <rPr>
        <b/>
        <sz val="10"/>
        <color theme="1"/>
        <rFont val="Roboto Condensed"/>
      </rPr>
      <t xml:space="preserve">
Account Linking &amp; Detached vehicle </t>
    </r>
    <r>
      <rPr>
        <sz val="10"/>
        <color theme="1"/>
        <rFont val="Roboto Condensed"/>
      </rPr>
      <t>(Leif+Ankita)</t>
    </r>
    <r>
      <rPr>
        <b/>
        <sz val="10"/>
        <color theme="1"/>
        <rFont val="Roboto Condensed"/>
      </rPr>
      <t xml:space="preserve">
-</t>
    </r>
    <r>
      <rPr>
        <sz val="10"/>
        <color rgb="FF666666"/>
        <rFont val="Roboto Condensed"/>
      </rPr>
      <t xml:space="preserve"> Exploration
</t>
    </r>
  </si>
  <si>
    <r>
      <rPr>
        <b/>
        <sz val="10"/>
        <color rgb="FF990000"/>
        <rFont val="Roboto Condensed"/>
      </rPr>
      <t xml:space="preserve">Ankita PTO Nov17-25
</t>
    </r>
    <r>
      <rPr>
        <b/>
        <sz val="10"/>
        <color theme="1"/>
        <rFont val="Roboto Condensed"/>
      </rPr>
      <t>Journey Helper (</t>
    </r>
    <r>
      <rPr>
        <sz val="10"/>
        <color theme="1"/>
        <rFont val="Roboto Condensed"/>
      </rPr>
      <t>Mariano</t>
    </r>
    <r>
      <rPr>
        <b/>
        <sz val="10"/>
        <color theme="1"/>
        <rFont val="Roboto Condensed"/>
      </rPr>
      <t xml:space="preserve">)
</t>
    </r>
    <r>
      <rPr>
        <b/>
        <sz val="10"/>
        <color rgb="FF990000"/>
        <rFont val="Roboto Condensed"/>
      </rPr>
      <t xml:space="preserve">
</t>
    </r>
    <r>
      <rPr>
        <b/>
        <sz val="10"/>
        <color theme="1"/>
        <rFont val="Roboto Condensed"/>
      </rPr>
      <t>RSU vehicle (</t>
    </r>
    <r>
      <rPr>
        <sz val="10"/>
        <color theme="1"/>
        <rFont val="Roboto Condensed"/>
      </rPr>
      <t>Ankita</t>
    </r>
    <r>
      <rPr>
        <b/>
        <sz val="10"/>
        <color theme="1"/>
        <rFont val="Roboto Condensed"/>
      </rPr>
      <t xml:space="preserve">)
</t>
    </r>
    <r>
      <rPr>
        <sz val="10"/>
        <color theme="1"/>
        <rFont val="Roboto Condensed"/>
      </rPr>
      <t xml:space="preserve">- Prod support
</t>
    </r>
    <r>
      <rPr>
        <b/>
        <sz val="10"/>
        <color theme="1"/>
        <rFont val="Roboto Condensed"/>
      </rPr>
      <t>Account Linking &amp; detached vehicles (</t>
    </r>
    <r>
      <rPr>
        <sz val="10"/>
        <color theme="1"/>
        <rFont val="Roboto Condensed"/>
      </rPr>
      <t>Ankita+Mariano</t>
    </r>
    <r>
      <rPr>
        <b/>
        <sz val="10"/>
        <color theme="1"/>
        <rFont val="Roboto Condensed"/>
      </rPr>
      <t xml:space="preserve">)
</t>
    </r>
    <r>
      <rPr>
        <sz val="10"/>
        <color theme="1"/>
        <rFont val="Roboto Condensed"/>
      </rPr>
      <t>- Req. Definition</t>
    </r>
  </si>
  <si>
    <r>
      <rPr>
        <b/>
        <sz val="10"/>
        <color theme="1"/>
        <rFont val="Roboto Condensed"/>
      </rPr>
      <t>Journey Helper (</t>
    </r>
    <r>
      <rPr>
        <sz val="10"/>
        <color theme="1"/>
        <rFont val="Roboto Condensed"/>
      </rPr>
      <t>Mariano</t>
    </r>
    <r>
      <rPr>
        <b/>
        <sz val="10"/>
        <color theme="1"/>
        <rFont val="Roboto Condensed"/>
      </rPr>
      <t>)
RSU vehicle</t>
    </r>
    <r>
      <rPr>
        <sz val="10"/>
        <color theme="1"/>
        <rFont val="Roboto Condensed"/>
      </rPr>
      <t xml:space="preserve"> (Ankita)
- Prod support
</t>
    </r>
    <r>
      <rPr>
        <b/>
        <sz val="10"/>
        <color theme="1"/>
        <rFont val="Roboto Condensed"/>
      </rPr>
      <t xml:space="preserve">Account Linking &amp; detached vehicles </t>
    </r>
    <r>
      <rPr>
        <sz val="10"/>
        <color theme="1"/>
        <rFont val="Roboto Condensed"/>
      </rPr>
      <t xml:space="preserve">(Ankita)
- Req. Definition
</t>
    </r>
    <r>
      <rPr>
        <b/>
        <sz val="10"/>
        <color theme="1"/>
        <rFont val="Roboto Condensed"/>
      </rPr>
      <t>ES strategy</t>
    </r>
    <r>
      <rPr>
        <sz val="10"/>
        <color theme="1"/>
        <rFont val="Roboto Condensed"/>
      </rPr>
      <t xml:space="preserve"> (Mariano)
- fixes + documentation</t>
    </r>
  </si>
  <si>
    <r>
      <rPr>
        <b/>
        <sz val="10"/>
        <color theme="1"/>
        <rFont val="Roboto Condensed"/>
      </rPr>
      <t xml:space="preserve">Journer Helper
</t>
    </r>
    <r>
      <rPr>
        <sz val="10"/>
        <color theme="1"/>
        <rFont val="Roboto Condensed"/>
      </rPr>
      <t>- User testing</t>
    </r>
  </si>
  <si>
    <r>
      <rPr>
        <b/>
        <sz val="10"/>
        <color theme="1"/>
        <rFont val="Roboto Condensed"/>
      </rPr>
      <t xml:space="preserve">RSU vehicle
</t>
    </r>
    <r>
      <rPr>
        <sz val="10"/>
        <color theme="1"/>
        <rFont val="Roboto Condensed"/>
      </rPr>
      <t xml:space="preserve">- Heuristic review
</t>
    </r>
    <r>
      <rPr>
        <b/>
        <sz val="10"/>
        <color theme="1"/>
        <rFont val="Roboto Condensed"/>
      </rPr>
      <t>Account linking &amp; Inter Goals Kickoff</t>
    </r>
  </si>
  <si>
    <r>
      <rPr>
        <b/>
        <sz val="10"/>
        <color theme="1"/>
        <rFont val="Roboto Condensed"/>
      </rPr>
      <t>Add wellness score</t>
    </r>
    <r>
      <rPr>
        <sz val="10"/>
        <color theme="1"/>
        <rFont val="Roboto Condensed"/>
      </rPr>
      <t xml:space="preserve"> (JD)
</t>
    </r>
    <r>
      <rPr>
        <b/>
        <sz val="10"/>
        <color theme="1"/>
        <rFont val="Roboto Condensed"/>
      </rPr>
      <t>Create basic goal dashboards</t>
    </r>
    <r>
      <rPr>
        <sz val="10"/>
        <color theme="1"/>
        <rFont val="Roboto Condensed"/>
      </rPr>
      <t xml:space="preserve"> (Mariano)
</t>
    </r>
    <r>
      <rPr>
        <b/>
        <sz val="10"/>
        <color theme="1"/>
        <rFont val="Roboto Condensed"/>
      </rPr>
      <t>Understand return freq behavior</t>
    </r>
    <r>
      <rPr>
        <sz val="10"/>
        <color theme="1"/>
        <rFont val="Roboto Condensed"/>
      </rPr>
      <t xml:space="preserve"> (weekly, monthly, etc)
</t>
    </r>
    <r>
      <rPr>
        <b/>
        <sz val="10"/>
        <color theme="1"/>
        <rFont val="Roboto Condensed"/>
      </rPr>
      <t>Add baseline #s for OKRs</t>
    </r>
    <r>
      <rPr>
        <sz val="10"/>
        <color theme="1"/>
        <rFont val="Roboto Condensed"/>
      </rPr>
      <t xml:space="preserve"> (Leif)</t>
    </r>
  </si>
  <si>
    <r>
      <rPr>
        <b/>
        <sz val="10"/>
        <color theme="1"/>
        <rFont val="Roboto Condensed"/>
      </rPr>
      <t xml:space="preserve">Clean up dashboard to improve load time
</t>
    </r>
    <r>
      <rPr>
        <sz val="10"/>
        <color theme="1"/>
        <rFont val="Roboto Condensed"/>
      </rPr>
      <t xml:space="preserve">
</t>
    </r>
  </si>
  <si>
    <t xml:space="preserve">- Raw FinWell score data </t>
  </si>
  <si>
    <t>*Update dashboards for:
- Goals
- Notifications</t>
  </si>
  <si>
    <t>Update dashboard to reflect new Onboarding</t>
  </si>
  <si>
    <r>
      <rPr>
        <b/>
        <sz val="10"/>
        <color theme="1"/>
        <rFont val="Roboto Condensed"/>
      </rPr>
      <t xml:space="preserve">Management dashboard
</t>
    </r>
    <r>
      <rPr>
        <sz val="10"/>
        <color theme="1"/>
        <rFont val="Roboto Condensed"/>
      </rPr>
      <t>- Req's</t>
    </r>
  </si>
  <si>
    <r>
      <rPr>
        <sz val="10"/>
        <rFont val="Roboto Condensed"/>
      </rPr>
      <t>Publications (</t>
    </r>
    <r>
      <rPr>
        <u/>
        <sz val="10"/>
        <color rgb="FF1155CC"/>
        <rFont val="Roboto Condensed"/>
      </rPr>
      <t>tracker</t>
    </r>
    <r>
      <rPr>
        <sz val="10"/>
        <rFont val="Roboto Condensed"/>
      </rPr>
      <t>)</t>
    </r>
  </si>
  <si>
    <t>Aug15: Wellthy: How to play your cards with elder care costs 
Aug 17: Goals 2</t>
  </si>
  <si>
    <t xml:space="preserve">Aug 22: New investing 2 
Aug 24 Lifemoments 2 
Aug 29: Sector Play 2
</t>
  </si>
  <si>
    <t xml:space="preserve">Aug 31: Benefit Spotlight 2
Sep 5: Timely Dispatch 3
Sep 7: Benefit trends 3
Sep 12: Benifit Strategy 3
</t>
  </si>
  <si>
    <t xml:space="preserve">Sep 14: Goals 3
Sep 19: New investing 3
Sep 21: Life moments 3
Sep 26: Sector play 3 
</t>
  </si>
  <si>
    <t xml:space="preserve">Sep 28: Benefits Spotlight 3
</t>
  </si>
  <si>
    <r>
      <rPr>
        <b/>
        <sz val="10"/>
        <color theme="1"/>
        <rFont val="Roboto Condensed"/>
      </rPr>
      <t>Resiliance Badges: (Elijah)</t>
    </r>
    <r>
      <rPr>
        <sz val="10"/>
        <color theme="1"/>
        <rFont val="Roboto Condensed"/>
      </rPr>
      <t xml:space="preserve">
- Finanlize Content
</t>
    </r>
    <r>
      <rPr>
        <b/>
        <sz val="10"/>
        <color theme="1"/>
        <rFont val="Roboto Condensed"/>
      </rPr>
      <t xml:space="preserve">App Onboarding (Jackie)
</t>
    </r>
    <r>
      <rPr>
        <sz val="10"/>
        <color theme="1"/>
        <rFont val="Roboto Condensed"/>
      </rPr>
      <t>-Review plan</t>
    </r>
  </si>
  <si>
    <r>
      <rPr>
        <b/>
        <sz val="10"/>
        <color theme="1"/>
        <rFont val="Roboto Condensed"/>
      </rPr>
      <t xml:space="preserve">Reilience badges (Elijah)
</t>
    </r>
    <r>
      <rPr>
        <sz val="10"/>
        <color theme="1"/>
        <rFont val="Roboto Condensed"/>
      </rPr>
      <t xml:space="preserve">- finalie content
</t>
    </r>
    <r>
      <rPr>
        <b/>
        <sz val="10"/>
        <color theme="1"/>
        <rFont val="Roboto Condensed"/>
      </rPr>
      <t xml:space="preserve">App Onboarding (Jackie) 
</t>
    </r>
    <r>
      <rPr>
        <sz val="10"/>
        <color theme="1"/>
        <rFont val="Roboto Condensed"/>
      </rPr>
      <t>- Content Exploration</t>
    </r>
  </si>
  <si>
    <r>
      <rPr>
        <b/>
        <sz val="10"/>
        <color theme="1"/>
        <rFont val="Roboto Condensed"/>
      </rPr>
      <t>App Onboarding (</t>
    </r>
    <r>
      <rPr>
        <sz val="10"/>
        <color theme="1"/>
        <rFont val="Roboto Condensed"/>
      </rPr>
      <t>Jackie</t>
    </r>
    <r>
      <rPr>
        <b/>
        <sz val="10"/>
        <color theme="1"/>
        <rFont val="Roboto Condensed"/>
      </rPr>
      <t xml:space="preserve">) 
</t>
    </r>
    <r>
      <rPr>
        <sz val="10"/>
        <color theme="1"/>
        <rFont val="Roboto Condensed"/>
      </rPr>
      <t xml:space="preserve">- Finalize content
</t>
    </r>
    <r>
      <rPr>
        <b/>
        <sz val="10"/>
        <color theme="1"/>
        <rFont val="Roboto Condensed"/>
      </rPr>
      <t>Skeleton Content (</t>
    </r>
    <r>
      <rPr>
        <sz val="10"/>
        <color theme="1"/>
        <rFont val="Roboto Condensed"/>
      </rPr>
      <t>Elijah</t>
    </r>
    <r>
      <rPr>
        <b/>
        <sz val="10"/>
        <color theme="1"/>
        <rFont val="Roboto Condensed"/>
      </rPr>
      <t>)
Home layout (</t>
    </r>
    <r>
      <rPr>
        <sz val="10"/>
        <color theme="1"/>
        <rFont val="Roboto Condensed"/>
      </rPr>
      <t>Elijah</t>
    </r>
    <r>
      <rPr>
        <b/>
        <sz val="10"/>
        <color theme="1"/>
        <rFont val="Roboto Condensed"/>
      </rPr>
      <t xml:space="preserve">)
</t>
    </r>
    <r>
      <rPr>
        <sz val="10"/>
        <color theme="1"/>
        <rFont val="Roboto Condensed"/>
      </rPr>
      <t>- Problem definition</t>
    </r>
  </si>
  <si>
    <r>
      <rPr>
        <b/>
        <sz val="10"/>
        <color theme="1"/>
        <rFont val="Roboto Condensed"/>
      </rPr>
      <t>Home layout (</t>
    </r>
    <r>
      <rPr>
        <sz val="10"/>
        <color theme="1"/>
        <rFont val="Roboto Condensed"/>
      </rPr>
      <t>Elijah</t>
    </r>
    <r>
      <rPr>
        <b/>
        <sz val="10"/>
        <color theme="1"/>
        <rFont val="Roboto Condensed"/>
      </rPr>
      <t xml:space="preserve">)
</t>
    </r>
    <r>
      <rPr>
        <sz val="10"/>
        <color theme="1"/>
        <rFont val="Roboto Condensed"/>
      </rPr>
      <t xml:space="preserve">- Content exploration
</t>
    </r>
    <r>
      <rPr>
        <b/>
        <sz val="10"/>
        <color theme="1"/>
        <rFont val="Roboto Condensed"/>
      </rPr>
      <t>Suggestion drawer  U</t>
    </r>
    <r>
      <rPr>
        <sz val="10"/>
        <color theme="1"/>
        <rFont val="Roboto Condensed"/>
      </rPr>
      <t>X (TBD)
- Problem definition support</t>
    </r>
  </si>
  <si>
    <r>
      <rPr>
        <b/>
        <sz val="10"/>
        <color theme="1"/>
        <rFont val="Roboto Condensed"/>
      </rPr>
      <t>App Onboarding (</t>
    </r>
    <r>
      <rPr>
        <sz val="10"/>
        <color theme="1"/>
        <rFont val="Roboto Condensed"/>
      </rPr>
      <t>Jackie</t>
    </r>
    <r>
      <rPr>
        <b/>
        <sz val="10"/>
        <color theme="1"/>
        <rFont val="Roboto Condensed"/>
      </rPr>
      <t xml:space="preserve">): 
</t>
    </r>
    <r>
      <rPr>
        <sz val="10"/>
        <color theme="1"/>
        <rFont val="Roboto Condensed"/>
      </rPr>
      <t xml:space="preserve">- Incorporate ED feedback
</t>
    </r>
    <r>
      <rPr>
        <b/>
        <sz val="10"/>
        <color theme="1"/>
        <rFont val="Roboto Condensed"/>
      </rPr>
      <t>Home layout (</t>
    </r>
    <r>
      <rPr>
        <sz val="10"/>
        <color theme="1"/>
        <rFont val="Roboto Condensed"/>
      </rPr>
      <t>Elijah</t>
    </r>
    <r>
      <rPr>
        <b/>
        <sz val="10"/>
        <color theme="1"/>
        <rFont val="Roboto Condensed"/>
      </rPr>
      <t xml:space="preserve">)
</t>
    </r>
    <r>
      <rPr>
        <sz val="10"/>
        <color theme="1"/>
        <rFont val="Roboto Condensed"/>
      </rPr>
      <t xml:space="preserve">- Content iteration
</t>
    </r>
    <r>
      <rPr>
        <b/>
        <sz val="10"/>
        <color theme="1"/>
        <rFont val="Roboto Condensed"/>
      </rPr>
      <t>Suggestion drawer  U</t>
    </r>
    <r>
      <rPr>
        <sz val="10"/>
        <color theme="1"/>
        <rFont val="Roboto Condensed"/>
      </rPr>
      <t>X (Eric)
- Content support</t>
    </r>
  </si>
  <si>
    <r>
      <rPr>
        <b/>
        <sz val="10"/>
        <color theme="1"/>
        <rFont val="Roboto Condensed"/>
      </rPr>
      <t>Home Layout</t>
    </r>
    <r>
      <rPr>
        <sz val="10"/>
        <color theme="1"/>
        <rFont val="Roboto Condensed"/>
      </rPr>
      <t xml:space="preserve"> (Elijah) 
- Finanlize Content
</t>
    </r>
    <r>
      <rPr>
        <b/>
        <sz val="10"/>
        <color theme="1"/>
        <rFont val="Roboto Condensed"/>
      </rPr>
      <t>Suggestion drawer  UX</t>
    </r>
    <r>
      <rPr>
        <sz val="10"/>
        <color theme="1"/>
        <rFont val="Roboto Condensed"/>
      </rPr>
      <t xml:space="preserve"> (Eric)
- Content support</t>
    </r>
  </si>
  <si>
    <r>
      <rPr>
        <b/>
        <sz val="10"/>
        <color rgb="FF990000"/>
        <rFont val="Roboto Condensed"/>
      </rPr>
      <t xml:space="preserve">Jackie PTO Oct 10,11
</t>
    </r>
    <r>
      <rPr>
        <b/>
        <sz val="10"/>
        <color theme="1"/>
        <rFont val="Roboto Condensed"/>
      </rPr>
      <t xml:space="preserve">
Journey Helper (</t>
    </r>
    <r>
      <rPr>
        <sz val="10"/>
        <color theme="1"/>
        <rFont val="Roboto Condensed"/>
      </rPr>
      <t>TBD</t>
    </r>
    <r>
      <rPr>
        <b/>
        <sz val="10"/>
        <color theme="1"/>
        <rFont val="Roboto Condensed"/>
      </rPr>
      <t>)</t>
    </r>
    <r>
      <rPr>
        <sz val="10"/>
        <color theme="1"/>
        <rFont val="Roboto Condensed"/>
      </rPr>
      <t xml:space="preserve">
- Content exploration
</t>
    </r>
    <r>
      <rPr>
        <b/>
        <sz val="10"/>
        <color theme="1"/>
        <rFont val="Roboto Condensed"/>
      </rPr>
      <t>Home Layout</t>
    </r>
    <r>
      <rPr>
        <sz val="10"/>
        <color theme="1"/>
        <rFont val="Roboto Condensed"/>
      </rPr>
      <t xml:space="preserve"> (Elijah) 
- Explore, Menu, etc</t>
    </r>
  </si>
  <si>
    <r>
      <rPr>
        <b/>
        <sz val="10"/>
        <color rgb="FF990000"/>
        <rFont val="Roboto Condensed"/>
      </rPr>
      <t xml:space="preserve">Jackie PTO Oct 12-30
</t>
    </r>
    <r>
      <rPr>
        <b/>
        <sz val="10"/>
        <color theme="1"/>
        <rFont val="Roboto Condensed"/>
      </rPr>
      <t xml:space="preserve">Journey Helper
</t>
    </r>
    <r>
      <rPr>
        <sz val="10"/>
        <color theme="1"/>
        <rFont val="Roboto Condensed"/>
      </rPr>
      <t xml:space="preserve">- Content iteration
</t>
    </r>
  </si>
  <si>
    <r>
      <rPr>
        <b/>
        <sz val="10"/>
        <color theme="1"/>
        <rFont val="Roboto Condensed"/>
      </rPr>
      <t>Journey Helper (</t>
    </r>
    <r>
      <rPr>
        <sz val="10"/>
        <color theme="1"/>
        <rFont val="Roboto Condensed"/>
      </rPr>
      <t>Elijah</t>
    </r>
    <r>
      <rPr>
        <b/>
        <sz val="10"/>
        <color theme="1"/>
        <rFont val="Roboto Condensed"/>
      </rPr>
      <t>)</t>
    </r>
    <r>
      <rPr>
        <sz val="10"/>
        <color theme="1"/>
        <rFont val="Roboto Condensed"/>
      </rPr>
      <t xml:space="preserve">
- content iteration
</t>
    </r>
    <r>
      <rPr>
        <b/>
        <sz val="10"/>
        <color theme="1"/>
        <rFont val="Roboto Condensed"/>
      </rPr>
      <t xml:space="preserve">Buying a car 
</t>
    </r>
    <r>
      <rPr>
        <sz val="10"/>
        <color theme="1"/>
        <rFont val="Roboto Condensed"/>
      </rPr>
      <t>- Content exploration</t>
    </r>
  </si>
  <si>
    <r>
      <rPr>
        <b/>
        <sz val="10"/>
        <color theme="1"/>
        <rFont val="Roboto Condensed"/>
      </rPr>
      <t>Journey helper (</t>
    </r>
    <r>
      <rPr>
        <sz val="10"/>
        <color theme="1"/>
        <rFont val="Roboto Condensed"/>
      </rPr>
      <t>Elijah</t>
    </r>
    <r>
      <rPr>
        <b/>
        <sz val="10"/>
        <color theme="1"/>
        <rFont val="Roboto Condensed"/>
      </rPr>
      <t xml:space="preserve">)
</t>
    </r>
    <r>
      <rPr>
        <sz val="10"/>
        <color theme="1"/>
        <rFont val="Roboto Condensed"/>
      </rPr>
      <t xml:space="preserve">- Finalize content
</t>
    </r>
    <r>
      <rPr>
        <b/>
        <sz val="10"/>
        <color theme="1"/>
        <rFont val="Roboto Condensed"/>
      </rPr>
      <t xml:space="preserve">
Buying a car (</t>
    </r>
    <r>
      <rPr>
        <sz val="10"/>
        <color theme="1"/>
        <rFont val="Roboto Condensed"/>
      </rPr>
      <t>tbd</t>
    </r>
    <r>
      <rPr>
        <b/>
        <sz val="10"/>
        <color theme="1"/>
        <rFont val="Roboto Condensed"/>
      </rPr>
      <t xml:space="preserve">)
</t>
    </r>
    <r>
      <rPr>
        <sz val="10"/>
        <color theme="1"/>
        <rFont val="Roboto Condensed"/>
      </rPr>
      <t>- Iteration</t>
    </r>
  </si>
  <si>
    <r>
      <rPr>
        <b/>
        <sz val="10"/>
        <color theme="1"/>
        <rFont val="Roboto Condensed"/>
      </rPr>
      <t>RSU vehicle (</t>
    </r>
    <r>
      <rPr>
        <sz val="10"/>
        <color theme="1"/>
        <rFont val="Roboto Condensed"/>
      </rPr>
      <t>Jackie</t>
    </r>
    <r>
      <rPr>
        <b/>
        <sz val="10"/>
        <color theme="1"/>
        <rFont val="Roboto Condensed"/>
      </rPr>
      <t xml:space="preserve">)
</t>
    </r>
    <r>
      <rPr>
        <sz val="10"/>
        <color theme="1"/>
        <rFont val="Roboto Condensed"/>
      </rPr>
      <t xml:space="preserve">- Content iteration
</t>
    </r>
    <r>
      <rPr>
        <b/>
        <sz val="10"/>
        <color theme="1"/>
        <rFont val="Roboto Condensed"/>
      </rPr>
      <t xml:space="preserve">Journey Helper </t>
    </r>
    <r>
      <rPr>
        <sz val="10"/>
        <color theme="1"/>
        <rFont val="Roboto Condensed"/>
      </rPr>
      <t>(Elijah)</t>
    </r>
    <r>
      <rPr>
        <b/>
        <sz val="10"/>
        <color theme="1"/>
        <rFont val="Roboto Condensed"/>
      </rPr>
      <t xml:space="preserve">
</t>
    </r>
    <r>
      <rPr>
        <sz val="10"/>
        <color theme="1"/>
        <rFont val="Roboto Condensed"/>
      </rPr>
      <t xml:space="preserve">- Content
</t>
    </r>
  </si>
  <si>
    <r>
      <rPr>
        <b/>
        <sz val="10"/>
        <color theme="1"/>
        <rFont val="Roboto Condensed"/>
      </rPr>
      <t>RSU vehicle</t>
    </r>
    <r>
      <rPr>
        <sz val="10"/>
        <color theme="1"/>
        <rFont val="Roboto Condensed"/>
      </rPr>
      <t xml:space="preserve"> (Jackie)
- Finalize content
</t>
    </r>
    <r>
      <rPr>
        <b/>
        <sz val="10"/>
        <color theme="1"/>
        <rFont val="Roboto Condensed"/>
      </rPr>
      <t xml:space="preserve">Journey helper </t>
    </r>
    <r>
      <rPr>
        <sz val="10"/>
        <color theme="1"/>
        <rFont val="Roboto Condensed"/>
      </rPr>
      <t>(Elijah)</t>
    </r>
    <r>
      <rPr>
        <b/>
        <sz val="10"/>
        <color theme="1"/>
        <rFont val="Roboto Condensed"/>
      </rPr>
      <t xml:space="preserve">
</t>
    </r>
    <r>
      <rPr>
        <sz val="10"/>
        <color theme="1"/>
        <rFont val="Roboto Condensed"/>
      </rPr>
      <t xml:space="preserve">- Content
</t>
    </r>
  </si>
  <si>
    <r>
      <rPr>
        <b/>
        <sz val="10"/>
        <color theme="1"/>
        <rFont val="Roboto Condensed"/>
      </rPr>
      <t xml:space="preserve">Badges:
</t>
    </r>
    <r>
      <rPr>
        <sz val="10"/>
        <color theme="1"/>
        <rFont val="Roboto Condensed"/>
      </rPr>
      <t xml:space="preserve">- ED design reviews
</t>
    </r>
    <r>
      <rPr>
        <b/>
        <sz val="10"/>
        <color theme="1"/>
        <rFont val="Roboto Condensed"/>
      </rPr>
      <t xml:space="preserve">App onboarding:
</t>
    </r>
    <r>
      <rPr>
        <sz val="10"/>
        <color theme="1"/>
        <rFont val="Roboto Condensed"/>
      </rPr>
      <t>- ED design reviews</t>
    </r>
  </si>
  <si>
    <r>
      <rPr>
        <b/>
        <sz val="10"/>
        <color theme="1"/>
        <rFont val="Roboto Condensed"/>
      </rPr>
      <t xml:space="preserve">App onboarding:
</t>
    </r>
    <r>
      <rPr>
        <sz val="10"/>
        <color theme="1"/>
        <rFont val="Roboto Condensed"/>
      </rPr>
      <t>- ED design reviews</t>
    </r>
  </si>
  <si>
    <r>
      <rPr>
        <b/>
        <sz val="10"/>
        <color theme="1"/>
        <rFont val="Roboto Condensed"/>
      </rPr>
      <t xml:space="preserve">Home layout:
</t>
    </r>
    <r>
      <rPr>
        <sz val="10"/>
        <color theme="1"/>
        <rFont val="Roboto Condensed"/>
      </rPr>
      <t>- ED design reviews</t>
    </r>
  </si>
  <si>
    <r>
      <rPr>
        <b/>
        <sz val="10"/>
        <color theme="1"/>
        <rFont val="Roboto Condensed"/>
      </rPr>
      <t>Journey Helper</t>
    </r>
    <r>
      <rPr>
        <sz val="10"/>
        <color theme="1"/>
        <rFont val="Roboto Condensed"/>
      </rPr>
      <t xml:space="preserve">
- followup questions on brief
</t>
    </r>
    <r>
      <rPr>
        <b/>
        <sz val="10"/>
        <color rgb="FF990000"/>
        <rFont val="Roboto Condensed"/>
      </rPr>
      <t>Rushil PTO wk of Sept18</t>
    </r>
  </si>
  <si>
    <r>
      <rPr>
        <b/>
        <sz val="10"/>
        <color theme="1"/>
        <rFont val="Roboto Condensed"/>
      </rPr>
      <t>Buying a car</t>
    </r>
    <r>
      <rPr>
        <sz val="10"/>
        <color theme="1"/>
        <rFont val="Roboto Condensed"/>
      </rPr>
      <t xml:space="preserve">
- Req's review</t>
    </r>
  </si>
  <si>
    <r>
      <rPr>
        <b/>
        <sz val="10"/>
        <color theme="1"/>
        <rFont val="Roboto Condensed"/>
      </rPr>
      <t xml:space="preserve">Journey Helper
</t>
    </r>
    <r>
      <rPr>
        <sz val="10"/>
        <color theme="1"/>
        <rFont val="Roboto Condensed"/>
      </rPr>
      <t xml:space="preserve">- ED design reviews
</t>
    </r>
    <r>
      <rPr>
        <b/>
        <sz val="10"/>
        <color theme="1"/>
        <rFont val="Roboto Condensed"/>
      </rPr>
      <t>Buying a car</t>
    </r>
    <r>
      <rPr>
        <sz val="10"/>
        <color theme="1"/>
        <rFont val="Roboto Condensed"/>
      </rPr>
      <t xml:space="preserve">
- ED design reviews</t>
    </r>
  </si>
  <si>
    <r>
      <rPr>
        <sz val="10"/>
        <color theme="1"/>
        <rFont val="Roboto Condensed"/>
      </rPr>
      <t xml:space="preserve">
</t>
    </r>
    <r>
      <rPr>
        <b/>
        <sz val="10"/>
        <color theme="1"/>
        <rFont val="Roboto Condensed"/>
      </rPr>
      <t xml:space="preserve">Insurance dashboard
</t>
    </r>
    <r>
      <rPr>
        <sz val="10"/>
        <color theme="1"/>
        <rFont val="Roboto Condensed"/>
      </rPr>
      <t>- ED brief or Reqs review</t>
    </r>
  </si>
  <si>
    <r>
      <rPr>
        <b/>
        <sz val="10"/>
        <color theme="1"/>
        <rFont val="Roboto Condensed"/>
      </rPr>
      <t xml:space="preserve">RSU vehicle
</t>
    </r>
    <r>
      <rPr>
        <sz val="10"/>
        <color theme="1"/>
        <rFont val="Roboto Condensed"/>
      </rPr>
      <t xml:space="preserve">- Design review
</t>
    </r>
    <r>
      <rPr>
        <b/>
        <sz val="10"/>
        <color theme="1"/>
        <rFont val="Roboto Condensed"/>
      </rPr>
      <t xml:space="preserve">Insurance dashboard
</t>
    </r>
    <r>
      <rPr>
        <sz val="10"/>
        <color theme="1"/>
        <rFont val="Roboto Condensed"/>
      </rPr>
      <t>- ED design reviews</t>
    </r>
  </si>
  <si>
    <r>
      <rPr>
        <b/>
        <sz val="10"/>
        <color theme="1"/>
        <rFont val="Roboto Condensed"/>
      </rPr>
      <t xml:space="preserve">Resiliance Badges: 
</t>
    </r>
    <r>
      <rPr>
        <sz val="10"/>
        <color theme="1"/>
        <rFont val="Roboto Condensed"/>
      </rPr>
      <t>- Motion</t>
    </r>
  </si>
  <si>
    <r>
      <rPr>
        <b/>
        <sz val="10"/>
        <color theme="1"/>
        <rFont val="Roboto Condensed"/>
      </rPr>
      <t xml:space="preserve">Rent v Buy
- </t>
    </r>
    <r>
      <rPr>
        <sz val="10"/>
        <color theme="1"/>
        <rFont val="Roboto Condensed"/>
      </rPr>
      <t>Motion</t>
    </r>
  </si>
  <si>
    <r>
      <rPr>
        <b/>
        <sz val="10"/>
        <color theme="1"/>
        <rFont val="Roboto Condensed"/>
      </rPr>
      <t xml:space="preserve">Badges
</t>
    </r>
    <r>
      <rPr>
        <sz val="10"/>
        <color theme="1"/>
        <rFont val="Roboto Condensed"/>
      </rPr>
      <t>- Nadia/Zohreh consulting</t>
    </r>
  </si>
  <si>
    <r>
      <rPr>
        <b/>
        <sz val="10"/>
        <color theme="1"/>
        <rFont val="Roboto Condensed"/>
      </rPr>
      <t xml:space="preserve">Lottie for onboarding
</t>
    </r>
    <r>
      <rPr>
        <sz val="10"/>
        <color theme="1"/>
        <rFont val="Roboto Condensed"/>
      </rPr>
      <t>- Nadia/Zohreh</t>
    </r>
  </si>
  <si>
    <r>
      <rPr>
        <b/>
        <sz val="10"/>
        <color rgb="FF000000"/>
        <rFont val="Roboto Condensed"/>
      </rPr>
      <t xml:space="preserve">Badges
</t>
    </r>
    <r>
      <rPr>
        <sz val="10"/>
        <color rgb="FF000000"/>
        <rFont val="Roboto Condensed"/>
      </rPr>
      <t>- Nadia/Zohreh</t>
    </r>
  </si>
  <si>
    <r>
      <rPr>
        <b/>
        <sz val="10"/>
        <color theme="1"/>
        <rFont val="Roboto Condensed"/>
      </rPr>
      <t>Journey Helper</t>
    </r>
    <r>
      <rPr>
        <sz val="10"/>
        <color theme="1"/>
        <rFont val="Roboto Condensed"/>
      </rPr>
      <t xml:space="preserve">
- Motion</t>
    </r>
  </si>
  <si>
    <t xml:space="preserve">Email:
Push:
Workplace:
</t>
  </si>
  <si>
    <t xml:space="preserve">- Meta Posts (traffic focus)
- Date on posts and names </t>
  </si>
  <si>
    <t>-Resilience badges carried over and pushed Home layout kickoff back by 1sprint
-Moved Buying a car ahead of Insurance dashboard due to Nicky's feedback on bizplan roadmap
Moved A1 start back to Aug17, which pushed back release dates.
Moved Insurance dashboard back 1sp to give more space to Home layout</t>
  </si>
  <si>
    <t>A1 FE 
(sprint)</t>
  </si>
  <si>
    <t>A1 BE
(sprint)</t>
  </si>
  <si>
    <t>RF BE
(sprint)</t>
  </si>
  <si>
    <t>Months</t>
  </si>
  <si>
    <t>Notes</t>
  </si>
  <si>
    <t>Break apart BaH - adjust calls for brokerage</t>
  </si>
  <si>
    <t>-</t>
  </si>
  <si>
    <t>April</t>
  </si>
  <si>
    <t>Break-apart Retirement - adjust calls for all retirement vehicles</t>
  </si>
  <si>
    <t>Brokerage visuals - graph &amp; assign goal</t>
  </si>
  <si>
    <t>June: might reduce effort for chart based on POCs around Apr10</t>
  </si>
  <si>
    <t>Release 1</t>
  </si>
  <si>
    <t>Aug</t>
  </si>
  <si>
    <t>First new vehicle prep</t>
  </si>
  <si>
    <t>1 BE resource</t>
  </si>
  <si>
    <t>Estimates need to be redone given the delays experienced in Release 1</t>
  </si>
  <si>
    <t>Checkings implementation</t>
  </si>
  <si>
    <t>the input/UI is almost identical to Brokerage</t>
  </si>
  <si>
    <t>Savings implementation</t>
  </si>
  <si>
    <t>First new goal prep</t>
  </si>
  <si>
    <t>define the logic of for a given vehicle, which goal do we use it for first?</t>
  </si>
  <si>
    <t xml:space="preserve">EMF goal - setup and dashboard </t>
  </si>
  <si>
    <t>Padding</t>
  </si>
  <si>
    <t>Release 2</t>
  </si>
  <si>
    <t>Oct</t>
  </si>
  <si>
    <t>Wallet - add account, vehicle list</t>
  </si>
  <si>
    <t>Budget - change list of goals to vehicles</t>
  </si>
  <si>
    <t>New vehicle cards</t>
  </si>
  <si>
    <t>Release 3</t>
  </si>
  <si>
    <t>Nov</t>
  </si>
  <si>
    <t>RSUs implementation</t>
  </si>
  <si>
    <t>TBD</t>
  </si>
  <si>
    <t>BAC goal - setup and dashboard</t>
  </si>
  <si>
    <t>Release 4</t>
  </si>
  <si>
    <t>Jan</t>
  </si>
  <si>
    <t>401k, IRA visuals - line graphs in goalless state</t>
  </si>
  <si>
    <t>Post-retirement visuals - graph</t>
  </si>
  <si>
    <t>529 visuals - graph</t>
  </si>
  <si>
    <t>Loved ones visuals - graph</t>
  </si>
  <si>
    <t>HSA vehicle implementation</t>
  </si>
  <si>
    <t>SS vehicle implementation</t>
  </si>
  <si>
    <t>Metrics</t>
  </si>
  <si>
    <t>Mission</t>
  </si>
  <si>
    <t>Objective</t>
  </si>
  <si>
    <t>Drivers</t>
  </si>
  <si>
    <t>2Q22</t>
  </si>
  <si>
    <t>3Q22</t>
  </si>
  <si>
    <t>4Q22</t>
  </si>
  <si>
    <t>1Q23</t>
  </si>
  <si>
    <t>Factors</t>
  </si>
  <si>
    <t>2Q23
Actual</t>
  </si>
  <si>
    <t>3Q23
Goal</t>
  </si>
  <si>
    <t>3Q23
Actual</t>
  </si>
  <si>
    <t>4Q23
Goal</t>
  </si>
  <si>
    <t>4Q23
Actual</t>
  </si>
  <si>
    <t>Accuracy</t>
  </si>
  <si>
    <t>1Q24
Goal</t>
  </si>
  <si>
    <t>1Q24
Actual</t>
  </si>
  <si>
    <t>Vs prev Q</t>
  </si>
  <si>
    <t>2Q24
Goal</t>
  </si>
  <si>
    <t>2Q24
Actual</t>
  </si>
  <si>
    <t>3Q24
Goal</t>
  </si>
  <si>
    <t>3Q24
Actual</t>
  </si>
  <si>
    <t>Notes on season and bigger context</t>
  </si>
  <si>
    <t>Layoffs
No beneift comms
No hiring</t>
  </si>
  <si>
    <t>Summer vacations
Minimal benefit comms
Slow hiring</t>
  </si>
  <si>
    <t>Open Enrollment
Holiday slowdown
Slow hiring</t>
  </si>
  <si>
    <t>New FF booking
Start of tax season</t>
  </si>
  <si>
    <t>End of tax season
Apr17 companywide post</t>
  </si>
  <si>
    <t>no major comms planned</t>
  </si>
  <si>
    <t>New users</t>
  </si>
  <si>
    <t>Reach of impact</t>
  </si>
  <si>
    <t>Increase adoption</t>
  </si>
  <si>
    <t>-comms</t>
  </si>
  <si>
    <t>One signal</t>
  </si>
  <si>
    <r>
      <rPr>
        <u/>
        <sz val="9"/>
        <color rgb="FF1155CC"/>
        <rFont val="Arial"/>
      </rPr>
      <t xml:space="preserve">Branch.io links
</t>
    </r>
    <r>
      <rPr>
        <sz val="9"/>
        <rFont val="Arial"/>
      </rPr>
      <t>Workplace Group
FYI People post</t>
    </r>
  </si>
  <si>
    <t>SSO friendly links
WP group promotion</t>
  </si>
  <si>
    <t>Cross promos with other benefit providers
External links in WP posts</t>
  </si>
  <si>
    <t>Share journeys</t>
  </si>
  <si>
    <t>expect slow hiring in summer</t>
  </si>
  <si>
    <t>Unique users</t>
  </si>
  <si>
    <t>Increase engagement frequency</t>
  </si>
  <si>
    <t>-comms
-email &amp; push</t>
  </si>
  <si>
    <t>Workplace Group
FYI People post</t>
  </si>
  <si>
    <t>Home Layout
App Onboarding
Suggestion drawer</t>
  </si>
  <si>
    <r>
      <rPr>
        <sz val="9"/>
        <color rgb="FF999999"/>
        <rFont val="Arial"/>
      </rPr>
      <t xml:space="preserve">Home layout
</t>
    </r>
    <r>
      <rPr>
        <strike/>
        <sz val="9"/>
        <color rgb="FF999999"/>
        <rFont val="Arial"/>
      </rPr>
      <t>Journeys</t>
    </r>
  </si>
  <si>
    <t>Total sessions</t>
  </si>
  <si>
    <t>Email newsletter</t>
  </si>
  <si>
    <t>Home Layout
App Onboarding
Email newsletter</t>
  </si>
  <si>
    <t>Journeys</t>
  </si>
  <si>
    <t>Avg sessions in qrtr</t>
  </si>
  <si>
    <t>Notifications
Workplace group</t>
  </si>
  <si>
    <t>Time in app in qrtr (Avg / min)</t>
  </si>
  <si>
    <t>Increase engagement depth</t>
  </si>
  <si>
    <t>-content
-usability (loading, nav, onboarding)</t>
  </si>
  <si>
    <t>New content
More benefit content</t>
  </si>
  <si>
    <t>BAH Goal
Brokerage
New content
More benefit content</t>
  </si>
  <si>
    <r>
      <rPr>
        <strike/>
        <sz val="9"/>
        <color rgb="FF999999"/>
        <rFont val="Arial"/>
      </rPr>
      <t>Journeys</t>
    </r>
    <r>
      <rPr>
        <sz val="9"/>
        <color rgb="FF999999"/>
        <rFont val="Arial"/>
      </rPr>
      <t xml:space="preserve">
ES fixes</t>
    </r>
  </si>
  <si>
    <t>Avg content reads per user</t>
  </si>
  <si>
    <t>Total opens of content</t>
  </si>
  <si>
    <t>FinWell &amp; reducing stress</t>
  </si>
  <si>
    <t>Increase finwell through learning</t>
  </si>
  <si>
    <t>-new users
-new content</t>
  </si>
  <si>
    <t>Dark/light</t>
  </si>
  <si>
    <t>More notifications
FYI People post
Polls
Dark/light</t>
  </si>
  <si>
    <t>App onboarding</t>
  </si>
  <si>
    <r>
      <rPr>
        <strike/>
        <sz val="9"/>
        <color rgb="FF999999"/>
        <rFont val="Arial"/>
      </rPr>
      <t>Journeys</t>
    </r>
    <r>
      <rPr>
        <sz val="9"/>
        <color rgb="FF999999"/>
        <rFont val="Arial"/>
      </rPr>
      <t xml:space="preserve">
ES fixes
Search fixes</t>
    </r>
  </si>
  <si>
    <t>Total opens of benefit content</t>
  </si>
  <si>
    <t>-quality of content
-relevancy of content</t>
  </si>
  <si>
    <t>Tip title</t>
  </si>
  <si>
    <t>Suggestion drawer
Newsletter</t>
  </si>
  <si>
    <t>Benefit content per user</t>
  </si>
  <si>
    <t>Overall Suggestions (avg clicks per user)</t>
  </si>
  <si>
    <t>Tip over intent-to-action gap through learning</t>
  </si>
  <si>
    <t>-quality of content
-relevancy of suggestion</t>
  </si>
  <si>
    <t xml:space="preserve">- benefit </t>
  </si>
  <si>
    <t>Benefit Redirects (avg clicks per user)</t>
  </si>
  <si>
    <t>Benefit redirects</t>
  </si>
  <si>
    <t>Benefits 
awareness &amp; Utilization</t>
  </si>
  <si>
    <t>Increase benefits utilitization</t>
  </si>
  <si>
    <t>Hyperlinks
Occam's</t>
  </si>
  <si>
    <t>Chats started</t>
  </si>
  <si>
    <t>Booking opens</t>
  </si>
  <si>
    <t>Bookings confirmed</t>
  </si>
  <si>
    <t>Avg goals per user</t>
  </si>
  <si>
    <t>-discoverability
-usability
- #/type of goals</t>
  </si>
  <si>
    <t>BAH goal</t>
  </si>
  <si>
    <t>BAH goal
App onboarding</t>
  </si>
  <si>
    <t>App onboarding
Home Layout</t>
  </si>
  <si>
    <t>Log-in fail rate</t>
  </si>
  <si>
    <t>Auth0 (Aug15)
Web logout fix</t>
  </si>
  <si>
    <t>Avg number of goals setup per user</t>
  </si>
  <si>
    <t>Increase finwell by planning</t>
  </si>
  <si>
    <t>-discoverability
-usability</t>
  </si>
  <si>
    <t>Debt goal
BAH goal</t>
  </si>
  <si>
    <t>All-time user's since Launch Mar 2022</t>
  </si>
  <si>
    <t>Users in Dormant (12mos+ since last activity)</t>
  </si>
  <si>
    <t>Users in Disengaged (180-365days)</t>
  </si>
  <si>
    <t>Users in Inactive group (90-180days)</t>
  </si>
  <si>
    <t>Users in Active (30-90days)</t>
  </si>
  <si>
    <t>Users  (7-30days)</t>
  </si>
  <si>
    <t>Users in lat week (1-7days)</t>
  </si>
  <si>
    <t>Users not signed up</t>
  </si>
  <si>
    <t>?</t>
  </si>
  <si>
    <t>Unique opens of benefit content</t>
  </si>
  <si>
    <t>Increase benefits awareness</t>
  </si>
  <si>
    <t>-new users
-sessions
-new benefit content</t>
  </si>
  <si>
    <t>Polls
Dark/light</t>
  </si>
  <si>
    <t>Avg number of vehicles setup per user</t>
  </si>
  <si>
    <t>-usability</t>
  </si>
  <si>
    <t>Brokerage</t>
  </si>
  <si>
    <t>Artcle opens on goal pages</t>
  </si>
  <si>
    <t>Avg number of simulator completion</t>
  </si>
  <si>
    <t>Occam's</t>
  </si>
  <si>
    <t xml:space="preserve">
Buy vs Rent
Entry point</t>
  </si>
  <si>
    <t>Median wellness score (for users over 30)</t>
  </si>
  <si>
    <t>Debt goal
Brokerage</t>
  </si>
  <si>
    <t>Retirement goal</t>
  </si>
  <si>
    <t>EMF goal</t>
  </si>
  <si>
    <t>Clicking suggestion in drawer</t>
  </si>
  <si>
    <t>Suggestion drawer UX</t>
  </si>
  <si>
    <t>Goals added</t>
  </si>
  <si>
    <t>Goal onboarding completion rate</t>
  </si>
  <si>
    <t>NA</t>
  </si>
  <si>
    <t>Goal events</t>
  </si>
  <si>
    <t>One Signal</t>
  </si>
  <si>
    <t>New Chat
New Booking</t>
  </si>
  <si>
    <t>Auth1</t>
  </si>
  <si>
    <t>Polls usage</t>
  </si>
  <si>
    <t>meta+null</t>
  </si>
  <si>
    <t>Hyperlink usage</t>
  </si>
  <si>
    <t>% of users with Retirement goal setup</t>
  </si>
  <si>
    <t>% of users with BAH goal setup</t>
  </si>
  <si>
    <t>% of users with EMF goal setup</t>
  </si>
  <si>
    <t>% of users with Debt goal setup</t>
  </si>
  <si>
    <t>% of users with Kids ed goal setup</t>
  </si>
  <si>
    <t>% of users with VEHICLE setup</t>
  </si>
  <si>
    <t>Docs</t>
  </si>
  <si>
    <t>Improves FinWell value prop</t>
  </si>
  <si>
    <t>Improves Benefits value prop</t>
  </si>
  <si>
    <t>Closes gap with competitors</t>
  </si>
  <si>
    <t>Creates a differentiator</t>
  </si>
  <si>
    <t>Invests where we see traction</t>
  </si>
  <si>
    <t>Small scope</t>
  </si>
  <si>
    <t>Reusable, platform feature</t>
  </si>
  <si>
    <t>Interdependent goals</t>
  </si>
  <si>
    <t>Product docs</t>
  </si>
  <si>
    <t>Yes</t>
  </si>
  <si>
    <t>No</t>
  </si>
  <si>
    <t>Today, Paven’s goals and vehicles are siloed, so the user can’t plan holistically, which is a major gap compared with other financial wellbeing and planning apps. This project removes those silos so vehicles/savings can be flexibly applied to multiple goals, better reflecting the real world.</t>
  </si>
  <si>
    <t>Yes, will speed up the addition of new goals and vehicles</t>
  </si>
  <si>
    <t>EMF goal dashboard</t>
  </si>
  <si>
    <t>This goal is critical to our financial wellbeing philosophy, and this project will apply Interdependent goal logic, address some pressing UX limitations, and update the look &amp; feel to match the rest of the app.</t>
  </si>
  <si>
    <t>Not really, but it does serve as next 'existing' goal to apply Interdepdendent goal logic</t>
  </si>
  <si>
    <t>Buying a car goal</t>
  </si>
  <si>
    <t>Today, most of Paven’s features (in particular our goals) take a long time horizon, which requires less visits and interactions within our app. This projects looks to increase engagement and takes a short term horizon, and will start to create a better mix of long-term and short-term. Buying a car is one of the largest purchases that people make, and this feature will help with that, along with our content series on the topic.</t>
  </si>
  <si>
    <t>Not really, but it does serve as first 'new' goal to apply interdepednent goal logic</t>
  </si>
  <si>
    <t>This project is an investment in a key benefit from the employer, RSUs</t>
  </si>
  <si>
    <t>This project addresses a gap with competitors, who have features on RSUs and equity compensation</t>
  </si>
  <si>
    <t>RSUs, which is also the most popular topic for articles in Paven.</t>
  </si>
  <si>
    <t>Not really, but it serves as first 'new' vehicle to apply interdependent goal logic</t>
  </si>
  <si>
    <t>Wellness Score in UI</t>
  </si>
  <si>
    <t xml:space="preserve">Possibly highglights differences in our </t>
  </si>
  <si>
    <t>We haven't written about this, so no sense of user traction but Meta stakeholders liked the idea</t>
  </si>
  <si>
    <t>Yes, we can continue to refine and improve the score in background as we add goals and other criteria</t>
  </si>
  <si>
    <t>User ratings of content</t>
  </si>
  <si>
    <t>Product docs coming by Feb2</t>
  </si>
  <si>
    <t>This project will give us ongoing, actionable insights into what content/topics users find most helpful, so that we can invest our content resources with the most impact.</t>
  </si>
  <si>
    <t>Today, Paven does not collect enough information about the user to understand their whole financial picture, which makes it harder to offer credible guidance or deliver on our key value propositions: personalization of the app (content/actions) and evaluation of Financial Wellbeing.</t>
  </si>
  <si>
    <t>Yes, we can get into new areas that aren't covered by competitors</t>
  </si>
  <si>
    <t>These questionnaires will give us the basis to gather this information; it will also enable us to request product feedback (critical to roadmap decisions) and showcase recent releases in a new way (increase engagement).</t>
  </si>
  <si>
    <r>
      <rPr>
        <u/>
        <sz val="11"/>
        <color rgb="FF000000"/>
        <rFont val="Arial"/>
      </rPr>
      <t xml:space="preserve">Product docs
</t>
    </r>
    <r>
      <rPr>
        <u/>
        <sz val="11"/>
        <rFont val="Arial"/>
      </rPr>
      <t>This feature gives users a consolidated view of their various insurance policies and estate plans.</t>
    </r>
  </si>
  <si>
    <t>It extends Paven into an important area of both FinWell generally and Employee Benefits: Insurance and Estates,</t>
  </si>
  <si>
    <t>Takes advantage of our existing library of content on this topic. It also will allow us to differentiate from and gain an advantage over competitors that focus on Budgeting, Net Worth, Investing, or Goal Setting</t>
  </si>
  <si>
    <t>Not really, but we do hope to build on this feature if it gets traction</t>
  </si>
  <si>
    <t>BE improvements for Action cards</t>
  </si>
  <si>
    <t>??</t>
  </si>
  <si>
    <t>Improves the loading performance and stability of the app</t>
  </si>
  <si>
    <t>Action card tooltips</t>
  </si>
  <si>
    <t>2sp design
1.5sp Eng</t>
  </si>
  <si>
    <t>Budget Nudges (mobile)</t>
  </si>
  <si>
    <t>1sp Design
2sp Eng</t>
  </si>
  <si>
    <t>401k/IRAs/529</t>
  </si>
  <si>
    <t>1sp Design
2.5sp Eng</t>
  </si>
  <si>
    <t>Other vehicles (Post-Ret work, FinAid, etc)</t>
  </si>
  <si>
    <t>Net worth chart in Wallet</t>
  </si>
  <si>
    <t>2sp Design
1-2sp Eng</t>
  </si>
  <si>
    <t>Kids ed goal</t>
  </si>
  <si>
    <t>0.5sp Design
1sp Eng</t>
  </si>
  <si>
    <t>Multitenancy App audit</t>
  </si>
  <si>
    <t>1sp Design
1sp Product</t>
  </si>
  <si>
    <t>Cost of...' sim</t>
  </si>
  <si>
    <t>2-3sp Design
2-3sp Eng</t>
  </si>
  <si>
    <t>New Goal - Big trip</t>
  </si>
  <si>
    <t>1sp Design
1sp Eng</t>
  </si>
  <si>
    <t>Rent vs Buy sim</t>
  </si>
  <si>
    <t>1sp Design
2-3sp Eng</t>
  </si>
  <si>
    <t>Home equity vehicle</t>
  </si>
  <si>
    <t>2sp Design
2sp Eng</t>
  </si>
  <si>
    <t>Badges</t>
  </si>
  <si>
    <t>1-2sp Design
3-4sp Eng</t>
  </si>
  <si>
    <t>how does it fit with Journeys? Wellness Score</t>
  </si>
  <si>
    <t>Account Linking</t>
  </si>
  <si>
    <t>Index goal dashboard and vehicle details and budget/Life Path for Search results</t>
  </si>
  <si>
    <t>0.5 Design
1.5sp Eng</t>
  </si>
  <si>
    <t>Social Security / Pension vehicle</t>
  </si>
  <si>
    <t>Loan vehicle</t>
  </si>
  <si>
    <t>Notiication center</t>
  </si>
  <si>
    <t>Budget enhancements</t>
  </si>
  <si>
    <t>time-limited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</si>
</sst>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d"/>
    <numFmt numFmtId="165" formatCode="m&quot;/&quot;d"/>
    <numFmt numFmtId="166" formatCode="0.0%"/>
    <numFmt numFmtId="167" formatCode="0.000"/>
    <numFmt numFmtId="168" formatCode="0.0"/>
  </numFmts>
  <fonts count="84">
    <font>
      <sz val="10"/>
      <color rgb="FF000000"/>
      <name val="Arial"/>
      <scheme val="minor"/>
    </font>
    <font>
      <sz val="10"/>
      <color theme="1"/>
      <name val="Roboto Condensed"/>
    </font>
    <font>
      <b/>
      <sz val="10"/>
      <color rgb="FFFFFFFF"/>
      <name val="Roboto Condensed"/>
    </font>
    <font>
      <b/>
      <sz val="10"/>
      <color theme="1"/>
      <name val="Roboto Condensed"/>
    </font>
    <font>
      <b/>
      <sz val="10"/>
      <color rgb="FF000000"/>
      <name val="Roboto Condensed"/>
    </font>
    <font>
      <i/>
      <sz val="10"/>
      <color theme="1"/>
      <name val="Roboto Condensed"/>
    </font>
    <font>
      <i/>
      <strike/>
      <sz val="10"/>
      <color theme="1"/>
      <name val="Roboto Condensed"/>
    </font>
    <font>
      <sz val="10"/>
      <color theme="1"/>
      <name val="Arial"/>
      <scheme val="minor"/>
    </font>
    <font>
      <b/>
      <sz val="10"/>
      <color rgb="FFCC0000"/>
      <name val="Roboto Condensed"/>
    </font>
    <font>
      <b/>
      <sz val="10"/>
      <color rgb="FF990000"/>
      <name val="Roboto Condensed"/>
    </font>
    <font>
      <sz val="10"/>
      <color rgb="FF000000"/>
      <name val="&quot;docs-Roboto Condensed&quot;"/>
    </font>
    <font>
      <b/>
      <sz val="10"/>
      <color rgb="FF980000"/>
      <name val="Arial"/>
      <scheme val="minor"/>
    </font>
    <font>
      <sz val="10"/>
      <color rgb="FF000000"/>
      <name val="Roboto Condensed"/>
    </font>
    <font>
      <u/>
      <sz val="10"/>
      <color rgb="FF0000FF"/>
      <name val="Roboto Condensed"/>
    </font>
    <font>
      <b/>
      <sz val="10"/>
      <color theme="1"/>
      <name val="Arial"/>
      <scheme val="minor"/>
    </font>
    <font>
      <u/>
      <sz val="10"/>
      <color rgb="FF0000FF"/>
      <name val="Arial"/>
    </font>
    <font>
      <sz val="10"/>
      <color rgb="FF000000"/>
      <name val="Arial"/>
    </font>
    <font>
      <b/>
      <sz val="10"/>
      <color rgb="FF0000FF"/>
      <name val="Arial"/>
      <scheme val="minor"/>
    </font>
    <font>
      <sz val="10"/>
      <color rgb="FF0000FF"/>
      <name val="Arial"/>
      <scheme val="minor"/>
    </font>
    <font>
      <sz val="10"/>
      <color rgb="FF38761D"/>
      <name val="Arial"/>
      <scheme val="minor"/>
    </font>
    <font>
      <b/>
      <sz val="10"/>
      <color rgb="FFFF0000"/>
      <name val="Arial"/>
      <scheme val="minor"/>
    </font>
    <font>
      <strike/>
      <sz val="10"/>
      <color theme="1"/>
      <name val="Arial"/>
      <scheme val="minor"/>
    </font>
    <font>
      <b/>
      <sz val="10"/>
      <color rgb="FF999999"/>
      <name val="Arial"/>
      <scheme val="minor"/>
    </font>
    <font>
      <sz val="10"/>
      <color rgb="FF999999"/>
      <name val="Arial"/>
      <scheme val="minor"/>
    </font>
    <font>
      <sz val="10"/>
      <color theme="1"/>
      <name val="Arial"/>
    </font>
    <font>
      <b/>
      <sz val="10"/>
      <color theme="1"/>
      <name val="Arial"/>
    </font>
    <font>
      <b/>
      <sz val="11"/>
      <color theme="1"/>
      <name val="Arial"/>
    </font>
    <font>
      <u/>
      <sz val="11"/>
      <color rgb="FF0000FF"/>
      <name val="Arial"/>
    </font>
    <font>
      <sz val="11"/>
      <color theme="1"/>
      <name val="Arial"/>
    </font>
    <font>
      <b/>
      <i/>
      <sz val="10"/>
      <color theme="1"/>
      <name val="Arial"/>
      <scheme val="minor"/>
    </font>
    <font>
      <i/>
      <sz val="10"/>
      <color theme="1"/>
      <name val="Arial"/>
      <scheme val="minor"/>
    </font>
    <font>
      <i/>
      <sz val="9"/>
      <color theme="1"/>
      <name val="Arial"/>
      <scheme val="minor"/>
    </font>
    <font>
      <i/>
      <sz val="9"/>
      <color rgb="FF999999"/>
      <name val="Arial"/>
      <scheme val="minor"/>
    </font>
    <font>
      <sz val="9"/>
      <color theme="1"/>
      <name val="Arial"/>
      <scheme val="minor"/>
    </font>
    <font>
      <u/>
      <sz val="9"/>
      <color rgb="FF0000FF"/>
      <name val="Arial"/>
    </font>
    <font>
      <sz val="9"/>
      <color rgb="FF999999"/>
      <name val="Arial"/>
      <scheme val="minor"/>
    </font>
    <font>
      <strike/>
      <sz val="9"/>
      <color rgb="FF999999"/>
      <name val="Arial"/>
      <scheme val="minor"/>
    </font>
    <font>
      <sz val="10"/>
      <color rgb="FF34A853"/>
      <name val="Arial"/>
      <scheme val="minor"/>
    </font>
    <font>
      <sz val="10"/>
      <color theme="7"/>
      <name val="Arial"/>
      <scheme val="minor"/>
    </font>
    <font>
      <sz val="9"/>
      <color rgb="FF000000"/>
      <name val="Arial"/>
    </font>
    <font>
      <sz val="9"/>
      <color rgb="FF990000"/>
      <name val="Arial"/>
      <scheme val="minor"/>
    </font>
    <font>
      <sz val="10"/>
      <color rgb="FF990000"/>
      <name val="Arial"/>
      <scheme val="minor"/>
    </font>
    <font>
      <sz val="10"/>
      <color rgb="FFCC0000"/>
      <name val="Roboto Condensed"/>
    </font>
    <font>
      <b/>
      <strike/>
      <sz val="10"/>
      <color rgb="FF990000"/>
      <name val="Roboto Condensed"/>
    </font>
    <font>
      <b/>
      <sz val="10"/>
      <color rgb="FFE06666"/>
      <name val="Roboto Condensed"/>
    </font>
    <font>
      <b/>
      <sz val="10"/>
      <color rgb="FFB45F06"/>
      <name val="Roboto Condensed"/>
    </font>
    <font>
      <b/>
      <sz val="10"/>
      <color rgb="FF980000"/>
      <name val="Arial"/>
    </font>
    <font>
      <sz val="10"/>
      <color rgb="FF434343"/>
      <name val="Arial"/>
    </font>
    <font>
      <b/>
      <sz val="10"/>
      <color rgb="FFA61C00"/>
      <name val="Roboto Condensed"/>
    </font>
    <font>
      <b/>
      <sz val="10"/>
      <color rgb="FF38761D"/>
      <name val="Roboto Condensed"/>
    </font>
    <font>
      <b/>
      <sz val="10"/>
      <color rgb="FF980000"/>
      <name val="Roboto Condensed"/>
    </font>
    <font>
      <b/>
      <strike/>
      <sz val="10"/>
      <color theme="1"/>
      <name val="Roboto Condensed"/>
    </font>
    <font>
      <strike/>
      <sz val="10"/>
      <color theme="1"/>
      <name val="Roboto Condensed"/>
    </font>
    <font>
      <sz val="10"/>
      <color rgb="FF990000"/>
      <name val="Roboto Condensed"/>
    </font>
    <font>
      <b/>
      <sz val="10"/>
      <color rgb="FF6AA84F"/>
      <name val="Roboto Condensed"/>
    </font>
    <font>
      <b/>
      <strike/>
      <sz val="10"/>
      <color rgb="FF980000"/>
      <name val="Roboto Condensed"/>
    </font>
    <font>
      <strike/>
      <sz val="10"/>
      <color rgb="FF980000"/>
      <name val="Roboto Condensed"/>
    </font>
    <font>
      <sz val="10"/>
      <color rgb="FF6AA84F"/>
      <name val="Roboto Condensed"/>
    </font>
    <font>
      <sz val="10"/>
      <color rgb="FF38761D"/>
      <name val="Roboto Condensed"/>
    </font>
    <font>
      <sz val="10"/>
      <color rgb="FF666666"/>
      <name val="Roboto Condensed"/>
    </font>
    <font>
      <b/>
      <sz val="10"/>
      <color rgb="FF34A853"/>
      <name val="Roboto Condensed"/>
    </font>
    <font>
      <strike/>
      <sz val="10"/>
      <color theme="1"/>
      <name val="Arial"/>
    </font>
    <font>
      <u/>
      <sz val="10"/>
      <color theme="1"/>
      <name val="Roboto Condensed"/>
    </font>
    <font>
      <sz val="10"/>
      <name val="Roboto Condensed"/>
    </font>
    <font>
      <u/>
      <sz val="10"/>
      <color rgb="FF1155CC"/>
      <name val="Roboto Condensed"/>
    </font>
    <font>
      <u/>
      <sz val="11"/>
      <color rgb="FF000000"/>
      <name val="Arial"/>
    </font>
    <font>
      <u/>
      <sz val="11"/>
      <name val="Arial"/>
    </font>
    <font>
      <u/>
      <sz val="9"/>
      <color rgb="FF1155CC"/>
      <name val="Arial"/>
    </font>
    <font>
      <sz val="9"/>
      <name val="Arial"/>
    </font>
    <font>
      <sz val="9"/>
      <color rgb="FF999999"/>
      <name val="Arial"/>
    </font>
    <font>
      <strike/>
      <sz val="9"/>
      <color rgb="FF999999"/>
      <name val="Arial"/>
    </font>
    <font>
      <b/>
      <sz val="10"/>
      <color rgb="FF000000"/>
      <name val="Roboto Condensed"/>
      <charset val="1"/>
    </font>
    <font>
      <sz val="10"/>
      <color theme="1" tint="0.499984740745262"/>
      <name val="Roboto Condensed"/>
    </font>
    <font>
      <sz val="10"/>
      <color theme="1" tint="0.499984740745262"/>
      <name val="Arial"/>
      <scheme val="minor"/>
    </font>
    <font>
      <b/>
      <sz val="10"/>
      <color rgb="FF000000"/>
      <name val="Arial"/>
      <scheme val="minor"/>
    </font>
    <font>
      <i/>
      <sz val="10"/>
      <color theme="1" tint="0.499984740745262"/>
      <name val="Arial"/>
      <scheme val="minor"/>
    </font>
    <font>
      <strike/>
      <sz val="10"/>
      <color rgb="FF000000"/>
      <name val="Arial"/>
      <scheme val="minor"/>
    </font>
    <font>
      <b/>
      <strike/>
      <sz val="10"/>
      <color rgb="FF000000"/>
      <name val="Arial"/>
      <scheme val="minor"/>
    </font>
    <font>
      <sz val="10"/>
      <color rgb="FF000000"/>
      <name val="Arial"/>
      <charset val="1"/>
    </font>
    <font>
      <u/>
      <sz val="10"/>
      <color theme="10"/>
      <name val="Arial"/>
      <scheme val="minor"/>
    </font>
    <font>
      <sz val="10"/>
      <color rgb="FFFF0000"/>
      <name val="Arial"/>
      <scheme val="minor"/>
    </font>
    <font>
      <strike/>
      <u/>
      <sz val="10"/>
      <color theme="10"/>
      <name val="Arial"/>
      <scheme val="minor"/>
    </font>
    <font>
      <b/>
      <sz val="10"/>
      <color theme="1" tint="0.499984740745262"/>
      <name val="Roboto Condensed"/>
    </font>
    <font>
      <strike/>
      <sz val="10"/>
      <color rgb="FFFF0000"/>
      <name val="Arial"/>
      <scheme val="minor"/>
    </font>
  </fonts>
  <fills count="42">
    <fill>
      <patternFill patternType="none"/>
    </fill>
    <fill>
      <patternFill patternType="gray125"/>
    </fill>
    <fill>
      <patternFill patternType="solid">
        <fgColor rgb="FF999999"/>
        <bgColor rgb="FF999999"/>
      </patternFill>
    </fill>
    <fill>
      <patternFill patternType="solid">
        <fgColor rgb="FF666666"/>
        <bgColor rgb="FF666666"/>
      </patternFill>
    </fill>
    <fill>
      <patternFill patternType="solid">
        <fgColor rgb="FFF4CCCC"/>
        <bgColor rgb="FFF4CCCC"/>
      </patternFill>
    </fill>
    <fill>
      <patternFill patternType="solid">
        <fgColor rgb="FFFFF2CC"/>
        <bgColor rgb="FFFFF2CC"/>
      </patternFill>
    </fill>
    <fill>
      <patternFill patternType="solid">
        <fgColor rgb="FFFFD966"/>
        <bgColor rgb="FFFFD966"/>
      </patternFill>
    </fill>
    <fill>
      <patternFill patternType="solid">
        <fgColor rgb="FFFCE5CD"/>
        <bgColor rgb="FFFCE5CD"/>
      </patternFill>
    </fill>
    <fill>
      <patternFill patternType="solid">
        <fgColor rgb="FFFFFFFF"/>
        <bgColor rgb="FFFFFFFF"/>
      </patternFill>
    </fill>
    <fill>
      <patternFill patternType="solid">
        <fgColor rgb="FFD0E0E3"/>
        <bgColor rgb="FFD0E0E3"/>
      </patternFill>
    </fill>
    <fill>
      <patternFill patternType="solid">
        <fgColor rgb="FF6AA84F"/>
        <bgColor rgb="FF6AA84F"/>
      </patternFill>
    </fill>
    <fill>
      <patternFill patternType="solid">
        <fgColor rgb="FFCFE2F3"/>
        <bgColor rgb="FFCFE2F3"/>
      </patternFill>
    </fill>
    <fill>
      <patternFill patternType="solid">
        <fgColor rgb="FFFFFF00"/>
        <bgColor rgb="FFFFFF00"/>
      </patternFill>
    </fill>
    <fill>
      <patternFill patternType="solid">
        <fgColor rgb="FFD9EAD3"/>
        <bgColor rgb="FFD9EAD3"/>
      </patternFill>
    </fill>
    <fill>
      <patternFill patternType="solid">
        <fgColor rgb="FFFF0000"/>
        <bgColor rgb="FFFF0000"/>
      </patternFill>
    </fill>
    <fill>
      <patternFill patternType="solid">
        <fgColor rgb="FFD9D2E9"/>
        <bgColor rgb="FFD9D2E9"/>
      </patternFill>
    </fill>
    <fill>
      <patternFill patternType="solid">
        <fgColor rgb="FF741B47"/>
        <bgColor rgb="FF741B47"/>
      </patternFill>
    </fill>
    <fill>
      <patternFill patternType="solid">
        <fgColor rgb="FFEFEFEF"/>
        <bgColor rgb="FFEFEFEF"/>
      </patternFill>
    </fill>
    <fill>
      <patternFill patternType="solid">
        <fgColor rgb="FF4A86E8"/>
        <bgColor rgb="FF4A86E8"/>
      </patternFill>
    </fill>
    <fill>
      <patternFill patternType="solid">
        <fgColor rgb="FF0B5394"/>
        <bgColor rgb="FF0B5394"/>
      </patternFill>
    </fill>
    <fill>
      <patternFill patternType="solid">
        <fgColor rgb="FFF9CB9C"/>
        <bgColor rgb="FFF9CB9C"/>
      </patternFill>
    </fill>
    <fill>
      <patternFill patternType="solid">
        <fgColor rgb="FF8E7CC3"/>
        <bgColor rgb="FF8E7CC3"/>
      </patternFill>
    </fill>
    <fill>
      <patternFill patternType="solid">
        <fgColor rgb="FFF3F3F3"/>
        <bgColor rgb="FFF3F3F3"/>
      </patternFill>
    </fill>
    <fill>
      <patternFill patternType="solid">
        <fgColor rgb="FFD9D9D9"/>
        <bgColor rgb="FFD9D9D9"/>
      </patternFill>
    </fill>
    <fill>
      <patternFill patternType="solid">
        <fgColor rgb="FFA4C2F4"/>
        <bgColor rgb="FFA4C2F4"/>
      </patternFill>
    </fill>
    <fill>
      <patternFill patternType="solid">
        <fgColor rgb="FF000000"/>
        <bgColor rgb="FF000000"/>
      </patternFill>
    </fill>
    <fill>
      <patternFill patternType="solid">
        <fgColor rgb="FFEAD1DC"/>
        <bgColor rgb="FFEAD1DC"/>
      </patternFill>
    </fill>
    <fill>
      <patternFill patternType="solid">
        <fgColor rgb="FFE6B8AF"/>
        <bgColor rgb="FFE6B8AF"/>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5" tint="-0.249977111117893"/>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theme="0"/>
        <bgColor indexed="64"/>
      </patternFill>
    </fill>
    <fill>
      <patternFill patternType="solid">
        <fgColor theme="5" tint="0.59999389629810485"/>
        <bgColor indexed="64"/>
      </patternFill>
    </fill>
  </fills>
  <borders count="7">
    <border>
      <left/>
      <right/>
      <top/>
      <bottom/>
      <diagonal/>
    </border>
    <border>
      <left style="dotted">
        <color rgb="FF980000"/>
      </left>
      <right style="dotted">
        <color rgb="FF980000"/>
      </right>
      <top style="dotted">
        <color rgb="FF980000"/>
      </top>
      <bottom style="dotted">
        <color rgb="FF980000"/>
      </bottom>
      <diagonal/>
    </border>
    <border>
      <left style="dotted">
        <color rgb="FF980000"/>
      </left>
      <right style="thin">
        <color rgb="FF000000"/>
      </right>
      <top style="dotted">
        <color rgb="FF980000"/>
      </top>
      <bottom style="dotted">
        <color rgb="FF980000"/>
      </bottom>
      <diagonal/>
    </border>
    <border>
      <left/>
      <right style="dotted">
        <color rgb="FF980000"/>
      </right>
      <top style="dotted">
        <color rgb="FF980000"/>
      </top>
      <bottom style="dotted">
        <color rgb="FF980000"/>
      </bottom>
      <diagonal/>
    </border>
    <border>
      <left/>
      <right style="thin">
        <color rgb="FF000000"/>
      </right>
      <top style="dotted">
        <color rgb="FF980000"/>
      </top>
      <bottom style="dotted">
        <color rgb="FF980000"/>
      </bottom>
      <diagonal/>
    </border>
    <border>
      <left/>
      <right style="thin">
        <color rgb="FF000000"/>
      </right>
      <top/>
      <bottom/>
      <diagonal/>
    </border>
    <border>
      <left/>
      <right/>
      <top style="dotted">
        <color rgb="FF980000"/>
      </top>
      <bottom/>
      <diagonal/>
    </border>
  </borders>
  <cellStyleXfs count="2">
    <xf numFmtId="0" fontId="0" fillId="0" borderId="0"/>
    <xf numFmtId="0" fontId="79" fillId="0" borderId="0" applyNumberFormat="0" applyFill="0" applyBorder="0" applyAlignment="0" applyProtection="0"/>
  </cellStyleXfs>
  <cellXfs count="316">
    <xf numFmtId="0" fontId="0" fillId="0" borderId="0" xfId="0"/>
    <xf numFmtId="0" fontId="1" fillId="0" borderId="0" xfId="0" applyFont="1" applyAlignment="1">
      <alignment wrapText="1"/>
    </xf>
    <xf numFmtId="0" fontId="2" fillId="2" borderId="1" xfId="0" applyFont="1" applyFill="1" applyBorder="1" applyAlignment="1">
      <alignment wrapText="1"/>
    </xf>
    <xf numFmtId="0" fontId="2" fillId="3" borderId="1" xfId="0" applyFont="1" applyFill="1" applyBorder="1" applyAlignment="1">
      <alignment wrapText="1"/>
    </xf>
    <xf numFmtId="0" fontId="2" fillId="4" borderId="1" xfId="0" applyFont="1" applyFill="1" applyBorder="1" applyAlignment="1">
      <alignment wrapText="1"/>
    </xf>
    <xf numFmtId="0" fontId="2" fillId="3" borderId="2" xfId="0" applyFont="1" applyFill="1" applyBorder="1" applyAlignment="1">
      <alignment wrapText="1"/>
    </xf>
    <xf numFmtId="0" fontId="2" fillId="3" borderId="3" xfId="0" applyFont="1" applyFill="1" applyBorder="1" applyAlignment="1">
      <alignment wrapText="1"/>
    </xf>
    <xf numFmtId="0" fontId="2" fillId="3" borderId="4" xfId="0" applyFont="1" applyFill="1" applyBorder="1" applyAlignment="1">
      <alignment wrapText="1"/>
    </xf>
    <xf numFmtId="0" fontId="1" fillId="5" borderId="1" xfId="0" applyFont="1" applyFill="1" applyBorder="1" applyAlignment="1">
      <alignment wrapText="1"/>
    </xf>
    <xf numFmtId="0" fontId="1" fillId="6" borderId="1" xfId="0" applyFont="1" applyFill="1" applyBorder="1" applyAlignment="1">
      <alignment wrapText="1"/>
    </xf>
    <xf numFmtId="0" fontId="1" fillId="4" borderId="0" xfId="0" applyFont="1" applyFill="1"/>
    <xf numFmtId="0" fontId="1" fillId="6" borderId="0" xfId="0" applyFont="1" applyFill="1"/>
    <xf numFmtId="0" fontId="1" fillId="6" borderId="5" xfId="0" applyFont="1" applyFill="1" applyBorder="1"/>
    <xf numFmtId="0" fontId="1" fillId="6" borderId="0" xfId="0" applyFont="1" applyFill="1" applyAlignment="1">
      <alignment wrapText="1"/>
    </xf>
    <xf numFmtId="0" fontId="3" fillId="7" borderId="0" xfId="0" applyFont="1" applyFill="1" applyAlignment="1">
      <alignment vertical="center" wrapText="1"/>
    </xf>
    <xf numFmtId="0" fontId="1" fillId="0" borderId="0" xfId="0" applyFont="1"/>
    <xf numFmtId="0" fontId="4" fillId="0" borderId="0" xfId="0" applyFont="1" applyAlignment="1">
      <alignment horizontal="left" wrapText="1"/>
    </xf>
    <xf numFmtId="0" fontId="1" fillId="0" borderId="0" xfId="0" applyFont="1" applyAlignment="1">
      <alignment vertical="top" wrapText="1"/>
    </xf>
    <xf numFmtId="0" fontId="3" fillId="0" borderId="0" xfId="0" applyFont="1" applyAlignment="1">
      <alignment vertical="top" wrapText="1"/>
    </xf>
    <xf numFmtId="0" fontId="1" fillId="0" borderId="0" xfId="0" applyFont="1" applyAlignment="1">
      <alignment vertical="top"/>
    </xf>
    <xf numFmtId="0" fontId="3" fillId="4" borderId="1" xfId="0" applyFont="1" applyFill="1" applyBorder="1" applyAlignment="1">
      <alignment vertical="top"/>
    </xf>
    <xf numFmtId="0" fontId="1" fillId="0" borderId="5" xfId="0" applyFont="1" applyBorder="1"/>
    <xf numFmtId="0" fontId="4" fillId="8" borderId="0" xfId="0" applyFont="1" applyFill="1" applyAlignment="1">
      <alignment horizontal="left" vertical="top"/>
    </xf>
    <xf numFmtId="0" fontId="5" fillId="0" borderId="0" xfId="0" applyFont="1" applyAlignment="1">
      <alignment vertical="top" wrapText="1"/>
    </xf>
    <xf numFmtId="0" fontId="6" fillId="0" borderId="0" xfId="0" applyFont="1" applyAlignment="1">
      <alignment vertical="top" wrapText="1"/>
    </xf>
    <xf numFmtId="0" fontId="1" fillId="0" borderId="5" xfId="0" applyFont="1" applyBorder="1" applyAlignment="1">
      <alignment wrapText="1"/>
    </xf>
    <xf numFmtId="0" fontId="3" fillId="9" borderId="0" xfId="0" applyFont="1" applyFill="1" applyAlignment="1">
      <alignment vertical="center" wrapText="1"/>
    </xf>
    <xf numFmtId="0" fontId="1" fillId="4" borderId="0" xfId="0" applyFont="1" applyFill="1" applyAlignment="1">
      <alignment vertical="top"/>
    </xf>
    <xf numFmtId="0" fontId="7" fillId="0" borderId="5" xfId="0" applyFont="1" applyBorder="1"/>
    <xf numFmtId="0" fontId="2" fillId="10" borderId="0" xfId="0" applyFont="1" applyFill="1" applyAlignment="1">
      <alignment vertical="center" wrapText="1"/>
    </xf>
    <xf numFmtId="0" fontId="1" fillId="0" borderId="1" xfId="0" applyFont="1" applyBorder="1" applyAlignment="1">
      <alignment wrapText="1"/>
    </xf>
    <xf numFmtId="0" fontId="8" fillId="0" borderId="0" xfId="0" applyFont="1"/>
    <xf numFmtId="0" fontId="3" fillId="0" borderId="1" xfId="0" applyFont="1" applyBorder="1" applyAlignment="1">
      <alignment vertical="top" wrapText="1"/>
    </xf>
    <xf numFmtId="0" fontId="3" fillId="0" borderId="0" xfId="0" applyFont="1" applyAlignment="1">
      <alignment vertical="top"/>
    </xf>
    <xf numFmtId="0" fontId="3" fillId="0" borderId="1" xfId="0" applyFont="1" applyBorder="1" applyAlignment="1">
      <alignment vertical="top"/>
    </xf>
    <xf numFmtId="0" fontId="4" fillId="0" borderId="0" xfId="0" applyFont="1" applyAlignment="1">
      <alignment horizontal="left" vertical="top"/>
    </xf>
    <xf numFmtId="0" fontId="3" fillId="0" borderId="5" xfId="0" applyFont="1" applyBorder="1" applyAlignment="1">
      <alignment vertical="top" wrapText="1"/>
    </xf>
    <xf numFmtId="0" fontId="9" fillId="0" borderId="5" xfId="0" applyFont="1" applyBorder="1" applyAlignment="1">
      <alignment vertical="top"/>
    </xf>
    <xf numFmtId="0" fontId="10" fillId="0" borderId="0" xfId="0" applyFont="1" applyAlignment="1">
      <alignment horizontal="left" vertical="top" wrapText="1"/>
    </xf>
    <xf numFmtId="0" fontId="11" fillId="0" borderId="0" xfId="0" applyFont="1" applyAlignment="1">
      <alignment vertical="top" wrapText="1"/>
    </xf>
    <xf numFmtId="0" fontId="1" fillId="0" borderId="5" xfId="0" applyFont="1" applyBorder="1" applyAlignment="1">
      <alignment vertical="top" wrapText="1"/>
    </xf>
    <xf numFmtId="0" fontId="1" fillId="5" borderId="0" xfId="0" applyFont="1" applyFill="1" applyAlignment="1">
      <alignment vertical="top" wrapText="1"/>
    </xf>
    <xf numFmtId="0" fontId="12" fillId="11" borderId="0" xfId="0" applyFont="1" applyFill="1" applyAlignment="1">
      <alignment horizontal="left" vertical="top"/>
    </xf>
    <xf numFmtId="0" fontId="3" fillId="12" borderId="0" xfId="0" applyFont="1" applyFill="1" applyAlignment="1">
      <alignment vertical="top" wrapText="1"/>
    </xf>
    <xf numFmtId="0" fontId="4" fillId="12" borderId="0" xfId="0" applyFont="1" applyFill="1" applyAlignment="1">
      <alignment horizontal="left" vertical="top" wrapText="1"/>
    </xf>
    <xf numFmtId="0" fontId="1" fillId="13" borderId="0" xfId="0" applyFont="1" applyFill="1" applyAlignment="1">
      <alignment vertical="center" wrapText="1"/>
    </xf>
    <xf numFmtId="0" fontId="12" fillId="0" borderId="6" xfId="0" applyFont="1" applyBorder="1" applyAlignment="1">
      <alignment vertical="top" wrapText="1"/>
    </xf>
    <xf numFmtId="0" fontId="1" fillId="0" borderId="6" xfId="0" applyFont="1" applyBorder="1" applyAlignment="1">
      <alignment vertical="top" wrapText="1"/>
    </xf>
    <xf numFmtId="0" fontId="12" fillId="0" borderId="0" xfId="0" applyFont="1" applyAlignment="1">
      <alignment vertical="top" wrapText="1"/>
    </xf>
    <xf numFmtId="0" fontId="1" fillId="4" borderId="0" xfId="0" applyFont="1" applyFill="1" applyAlignment="1">
      <alignment vertical="top" wrapText="1"/>
    </xf>
    <xf numFmtId="0" fontId="4" fillId="0" borderId="0" xfId="0" applyFont="1" applyAlignment="1">
      <alignment horizontal="left" vertical="top" wrapText="1"/>
    </xf>
    <xf numFmtId="0" fontId="1" fillId="14" borderId="0" xfId="0" applyFont="1" applyFill="1" applyAlignment="1">
      <alignment vertical="top" wrapText="1"/>
    </xf>
    <xf numFmtId="0" fontId="3" fillId="15" borderId="0" xfId="0" applyFont="1" applyFill="1" applyAlignment="1">
      <alignment vertical="center" wrapText="1"/>
    </xf>
    <xf numFmtId="0" fontId="1" fillId="0" borderId="1" xfId="0" applyFont="1" applyBorder="1" applyAlignment="1">
      <alignment vertical="top" wrapText="1"/>
    </xf>
    <xf numFmtId="0" fontId="1" fillId="8" borderId="0" xfId="0" applyFont="1" applyFill="1" applyAlignment="1">
      <alignment vertical="top" wrapText="1"/>
    </xf>
    <xf numFmtId="0" fontId="2" fillId="16" borderId="0" xfId="0" applyFont="1" applyFill="1" applyAlignment="1">
      <alignment vertical="center" wrapText="1"/>
    </xf>
    <xf numFmtId="0" fontId="4" fillId="17" borderId="1" xfId="0" applyFont="1" applyFill="1" applyBorder="1" applyAlignment="1">
      <alignment horizontal="left" vertical="top" wrapText="1"/>
    </xf>
    <xf numFmtId="0" fontId="7" fillId="0" borderId="0" xfId="0" applyFont="1" applyAlignment="1">
      <alignment vertical="top" wrapText="1"/>
    </xf>
    <xf numFmtId="0" fontId="7" fillId="0" borderId="0" xfId="0" applyFont="1" applyAlignment="1">
      <alignment vertical="top"/>
    </xf>
    <xf numFmtId="0" fontId="12" fillId="0" borderId="0" xfId="0" applyFont="1" applyAlignment="1">
      <alignment horizontal="left" vertical="top" wrapText="1"/>
    </xf>
    <xf numFmtId="0" fontId="12" fillId="8" borderId="0" xfId="0" applyFont="1" applyFill="1" applyAlignment="1">
      <alignment horizontal="left" vertical="top" wrapText="1"/>
    </xf>
    <xf numFmtId="0" fontId="4" fillId="0" borderId="5" xfId="0" applyFont="1" applyBorder="1" applyAlignment="1">
      <alignment horizontal="left" vertical="top" wrapText="1"/>
    </xf>
    <xf numFmtId="0" fontId="2" fillId="18" borderId="0" xfId="0" applyFont="1" applyFill="1" applyAlignment="1">
      <alignment vertical="center" wrapText="1"/>
    </xf>
    <xf numFmtId="0" fontId="3" fillId="0" borderId="0" xfId="0" applyFont="1" applyAlignment="1">
      <alignment wrapText="1"/>
    </xf>
    <xf numFmtId="0" fontId="1" fillId="12" borderId="1" xfId="0" applyFont="1" applyFill="1" applyBorder="1" applyAlignment="1">
      <alignment vertical="top" wrapText="1"/>
    </xf>
    <xf numFmtId="0" fontId="1" fillId="0" borderId="5" xfId="0" applyFont="1" applyBorder="1" applyAlignment="1">
      <alignment vertical="top"/>
    </xf>
    <xf numFmtId="0" fontId="1" fillId="11" borderId="0" xfId="0" applyFont="1" applyFill="1" applyAlignment="1">
      <alignment vertical="center" wrapText="1"/>
    </xf>
    <xf numFmtId="0" fontId="13" fillId="0" borderId="0" xfId="0" applyFont="1" applyAlignment="1">
      <alignment vertical="top" wrapText="1"/>
    </xf>
    <xf numFmtId="0" fontId="1" fillId="0" borderId="0" xfId="0" applyFont="1" applyAlignment="1">
      <alignment horizontal="left" vertical="top"/>
    </xf>
    <xf numFmtId="0" fontId="9" fillId="0" borderId="0" xfId="0" applyFont="1" applyAlignment="1">
      <alignment vertical="top"/>
    </xf>
    <xf numFmtId="0" fontId="2" fillId="19" borderId="0" xfId="0" applyFont="1" applyFill="1" applyAlignment="1">
      <alignment vertical="center" wrapText="1"/>
    </xf>
    <xf numFmtId="0" fontId="1" fillId="20" borderId="0" xfId="0" applyFont="1" applyFill="1" applyAlignment="1">
      <alignment vertical="center" wrapText="1"/>
    </xf>
    <xf numFmtId="0" fontId="2" fillId="21" borderId="0" xfId="0" applyFont="1" applyFill="1" applyAlignment="1">
      <alignment vertical="center" wrapText="1"/>
    </xf>
    <xf numFmtId="0" fontId="4" fillId="8" borderId="1" xfId="0" applyFont="1" applyFill="1" applyBorder="1" applyAlignment="1">
      <alignment horizontal="left" vertical="top" wrapText="1"/>
    </xf>
    <xf numFmtId="0" fontId="1" fillId="5" borderId="0" xfId="0" applyFont="1" applyFill="1" applyAlignment="1">
      <alignment vertical="center" wrapText="1"/>
    </xf>
    <xf numFmtId="0" fontId="1" fillId="17" borderId="0" xfId="0" applyFont="1" applyFill="1" applyAlignment="1">
      <alignment vertical="center" wrapText="1"/>
    </xf>
    <xf numFmtId="164" fontId="7" fillId="17" borderId="0" xfId="0" applyNumberFormat="1" applyFont="1" applyFill="1" applyAlignment="1">
      <alignment horizontal="center"/>
    </xf>
    <xf numFmtId="0" fontId="7" fillId="0" borderId="0" xfId="0" applyFont="1" applyAlignment="1">
      <alignment horizontal="center"/>
    </xf>
    <xf numFmtId="0" fontId="7" fillId="22" borderId="0" xfId="0" applyFont="1" applyFill="1" applyAlignment="1">
      <alignment horizontal="center"/>
    </xf>
    <xf numFmtId="0" fontId="7" fillId="0" borderId="0" xfId="0" applyFont="1"/>
    <xf numFmtId="0" fontId="7" fillId="7" borderId="0" xfId="0" applyFont="1" applyFill="1" applyAlignment="1">
      <alignment horizontal="left"/>
    </xf>
    <xf numFmtId="0" fontId="7" fillId="13" borderId="0" xfId="0" applyFont="1" applyFill="1" applyAlignment="1">
      <alignment horizontal="left"/>
    </xf>
    <xf numFmtId="0" fontId="7" fillId="17" borderId="0" xfId="0" applyFont="1" applyFill="1"/>
    <xf numFmtId="0" fontId="7" fillId="11" borderId="0" xfId="0" applyFont="1" applyFill="1" applyAlignment="1">
      <alignment horizontal="center"/>
    </xf>
    <xf numFmtId="0" fontId="7" fillId="15" borderId="0" xfId="0" applyFont="1" applyFill="1" applyAlignment="1">
      <alignment horizontal="center"/>
    </xf>
    <xf numFmtId="0" fontId="7" fillId="0" borderId="0" xfId="0" applyFont="1" applyAlignment="1">
      <alignment horizontal="left"/>
    </xf>
    <xf numFmtId="0" fontId="7" fillId="0" borderId="0" xfId="0" applyFont="1" applyAlignment="1">
      <alignment wrapText="1"/>
    </xf>
    <xf numFmtId="0" fontId="7" fillId="4" borderId="0" xfId="0" applyFont="1" applyFill="1"/>
    <xf numFmtId="0" fontId="7" fillId="8" borderId="0" xfId="0" applyFont="1" applyFill="1"/>
    <xf numFmtId="0" fontId="7" fillId="5" borderId="0" xfId="0" applyFont="1" applyFill="1"/>
    <xf numFmtId="0" fontId="14" fillId="0" borderId="0" xfId="0" applyFont="1" applyAlignment="1">
      <alignment horizontal="center" vertical="center"/>
    </xf>
    <xf numFmtId="0" fontId="7" fillId="0" borderId="0" xfId="0" applyFont="1" applyAlignment="1">
      <alignment horizontal="center" vertical="center"/>
    </xf>
    <xf numFmtId="0" fontId="17" fillId="22" borderId="0" xfId="0" applyFont="1" applyFill="1" applyAlignment="1">
      <alignment horizontal="right"/>
    </xf>
    <xf numFmtId="0" fontId="18" fillId="22" borderId="0" xfId="0" applyFont="1" applyFill="1" applyAlignment="1">
      <alignment horizontal="center"/>
    </xf>
    <xf numFmtId="0" fontId="19" fillId="4" borderId="0" xfId="0" applyFont="1" applyFill="1"/>
    <xf numFmtId="0" fontId="7" fillId="4" borderId="0" xfId="0" applyFont="1" applyFill="1" applyAlignment="1">
      <alignment horizontal="center"/>
    </xf>
    <xf numFmtId="0" fontId="20" fillId="4" borderId="0" xfId="0" applyFont="1" applyFill="1"/>
    <xf numFmtId="0" fontId="7" fillId="11" borderId="0" xfId="0" applyFont="1" applyFill="1"/>
    <xf numFmtId="0" fontId="21" fillId="0" borderId="0" xfId="0" applyFont="1"/>
    <xf numFmtId="0" fontId="24" fillId="0" borderId="0" xfId="0" applyFont="1" applyAlignment="1">
      <alignment wrapText="1"/>
    </xf>
    <xf numFmtId="0" fontId="25" fillId="0" borderId="0" xfId="0" applyFont="1" applyAlignment="1">
      <alignment wrapText="1"/>
    </xf>
    <xf numFmtId="0" fontId="25" fillId="0" borderId="0" xfId="0" applyFont="1"/>
    <xf numFmtId="0" fontId="24" fillId="0" borderId="0" xfId="0" applyFont="1"/>
    <xf numFmtId="0" fontId="26" fillId="0" borderId="0" xfId="0" applyFont="1" applyAlignment="1">
      <alignment wrapText="1"/>
    </xf>
    <xf numFmtId="0" fontId="27" fillId="0" borderId="0" xfId="0" applyFont="1" applyAlignment="1">
      <alignment wrapText="1"/>
    </xf>
    <xf numFmtId="0" fontId="24" fillId="13" borderId="0" xfId="0" applyFont="1" applyFill="1" applyAlignment="1">
      <alignment wrapText="1"/>
    </xf>
    <xf numFmtId="0" fontId="24" fillId="4" borderId="0" xfId="0" applyFont="1" applyFill="1" applyAlignment="1">
      <alignment wrapText="1"/>
    </xf>
    <xf numFmtId="0" fontId="28" fillId="13" borderId="0" xfId="0" applyFont="1" applyFill="1" applyAlignment="1">
      <alignment wrapText="1"/>
    </xf>
    <xf numFmtId="0" fontId="24" fillId="13" borderId="0" xfId="0" applyFont="1" applyFill="1"/>
    <xf numFmtId="0" fontId="24" fillId="5" borderId="0" xfId="0" applyFont="1" applyFill="1" applyAlignment="1">
      <alignment wrapText="1"/>
    </xf>
    <xf numFmtId="0" fontId="28" fillId="0" borderId="0" xfId="0" applyFont="1" applyAlignment="1">
      <alignment wrapText="1"/>
    </xf>
    <xf numFmtId="0" fontId="7" fillId="7" borderId="0" xfId="0" applyFont="1" applyFill="1" applyAlignment="1">
      <alignment wrapText="1"/>
    </xf>
    <xf numFmtId="0" fontId="7" fillId="7" borderId="0" xfId="0" quotePrefix="1" applyFont="1" applyFill="1" applyAlignment="1">
      <alignment wrapText="1"/>
    </xf>
    <xf numFmtId="0" fontId="24" fillId="7" borderId="0" xfId="0" applyFont="1" applyFill="1" applyAlignment="1">
      <alignment wrapText="1"/>
    </xf>
    <xf numFmtId="165" fontId="7" fillId="0" borderId="0" xfId="0" applyNumberFormat="1" applyFont="1"/>
    <xf numFmtId="165" fontId="7" fillId="23" borderId="0" xfId="0" applyNumberFormat="1" applyFont="1" applyFill="1"/>
    <xf numFmtId="0" fontId="7" fillId="22" borderId="0" xfId="0" applyFont="1" applyFill="1"/>
    <xf numFmtId="0" fontId="7" fillId="23" borderId="0" xfId="0" applyFont="1" applyFill="1"/>
    <xf numFmtId="0" fontId="7" fillId="15" borderId="0" xfId="0" applyFont="1" applyFill="1"/>
    <xf numFmtId="0" fontId="7" fillId="13" borderId="0" xfId="0" applyFont="1" applyFill="1"/>
    <xf numFmtId="0" fontId="7" fillId="24" borderId="0" xfId="0" applyFont="1" applyFill="1"/>
    <xf numFmtId="0" fontId="7" fillId="7" borderId="0" xfId="0" applyFont="1" applyFill="1"/>
    <xf numFmtId="0" fontId="24" fillId="4" borderId="0" xfId="0" applyFont="1" applyFill="1"/>
    <xf numFmtId="0" fontId="7" fillId="25" borderId="0" xfId="0" applyFont="1" applyFill="1"/>
    <xf numFmtId="0" fontId="7" fillId="26" borderId="0" xfId="0" applyFont="1" applyFill="1"/>
    <xf numFmtId="0" fontId="10" fillId="0" borderId="0" xfId="0" applyFont="1" applyAlignment="1">
      <alignment horizontal="left"/>
    </xf>
    <xf numFmtId="0" fontId="14" fillId="22" borderId="0" xfId="0" applyFont="1" applyFill="1"/>
    <xf numFmtId="0" fontId="14" fillId="22" borderId="0" xfId="0" applyFont="1" applyFill="1" applyAlignment="1">
      <alignment horizontal="center" wrapText="1"/>
    </xf>
    <xf numFmtId="0" fontId="14" fillId="22" borderId="0" xfId="0" applyFont="1" applyFill="1" applyAlignment="1">
      <alignment horizontal="center"/>
    </xf>
    <xf numFmtId="0" fontId="14" fillId="7" borderId="0" xfId="0" applyFont="1" applyFill="1" applyAlignment="1">
      <alignment horizontal="center"/>
    </xf>
    <xf numFmtId="0" fontId="14" fillId="13" borderId="0" xfId="0" applyFont="1" applyFill="1" applyAlignment="1">
      <alignment horizontal="center"/>
    </xf>
    <xf numFmtId="0" fontId="14" fillId="11" borderId="0" xfId="0" applyFont="1" applyFill="1" applyAlignment="1">
      <alignment horizontal="center"/>
    </xf>
    <xf numFmtId="0" fontId="22" fillId="15" borderId="0" xfId="0" applyFont="1" applyFill="1" applyAlignment="1">
      <alignment horizontal="center" wrapText="1"/>
    </xf>
    <xf numFmtId="0" fontId="14" fillId="15" borderId="0" xfId="0" applyFont="1" applyFill="1" applyAlignment="1">
      <alignment horizontal="center"/>
    </xf>
    <xf numFmtId="0" fontId="22" fillId="5" borderId="0" xfId="0" applyFont="1" applyFill="1" applyAlignment="1">
      <alignment horizontal="center" wrapText="1"/>
    </xf>
    <xf numFmtId="0" fontId="14" fillId="5" borderId="0" xfId="0" applyFont="1" applyFill="1" applyAlignment="1">
      <alignment horizontal="center"/>
    </xf>
    <xf numFmtId="0" fontId="22" fillId="27" borderId="0" xfId="0" applyFont="1" applyFill="1" applyAlignment="1">
      <alignment horizontal="center" wrapText="1"/>
    </xf>
    <xf numFmtId="0" fontId="14" fillId="27" borderId="0" xfId="0" applyFont="1" applyFill="1" applyAlignment="1">
      <alignment horizontal="center"/>
    </xf>
    <xf numFmtId="0" fontId="29" fillId="0" borderId="0" xfId="0" applyFont="1" applyAlignment="1">
      <alignment horizontal="right"/>
    </xf>
    <xf numFmtId="0" fontId="30" fillId="0" borderId="0" xfId="0" applyFont="1"/>
    <xf numFmtId="0" fontId="31" fillId="0" borderId="0" xfId="0" applyFont="1" applyAlignment="1">
      <alignment horizontal="left" wrapText="1"/>
    </xf>
    <xf numFmtId="0" fontId="30" fillId="0" borderId="0" xfId="0" applyFont="1" applyAlignment="1">
      <alignment horizontal="center"/>
    </xf>
    <xf numFmtId="0" fontId="31" fillId="7" borderId="0" xfId="0" applyFont="1" applyFill="1" applyAlignment="1">
      <alignment horizontal="left"/>
    </xf>
    <xf numFmtId="0" fontId="30" fillId="7" borderId="0" xfId="0" applyFont="1" applyFill="1" applyAlignment="1">
      <alignment horizontal="center"/>
    </xf>
    <xf numFmtId="0" fontId="31" fillId="13" borderId="0" xfId="0" applyFont="1" applyFill="1" applyAlignment="1">
      <alignment horizontal="left"/>
    </xf>
    <xf numFmtId="0" fontId="30" fillId="13" borderId="0" xfId="0" applyFont="1" applyFill="1" applyAlignment="1">
      <alignment horizontal="center"/>
    </xf>
    <xf numFmtId="0" fontId="31" fillId="11" borderId="0" xfId="0" applyFont="1" applyFill="1" applyAlignment="1">
      <alignment horizontal="left"/>
    </xf>
    <xf numFmtId="0" fontId="30" fillId="11" borderId="0" xfId="0" applyFont="1" applyFill="1" applyAlignment="1">
      <alignment horizontal="center"/>
    </xf>
    <xf numFmtId="0" fontId="32" fillId="15" borderId="0" xfId="0" applyFont="1" applyFill="1" applyAlignment="1">
      <alignment horizontal="left" wrapText="1"/>
    </xf>
    <xf numFmtId="0" fontId="30" fillId="15" borderId="0" xfId="0" applyFont="1" applyFill="1"/>
    <xf numFmtId="0" fontId="30" fillId="15" borderId="0" xfId="0" applyFont="1" applyFill="1" applyAlignment="1">
      <alignment horizontal="center"/>
    </xf>
    <xf numFmtId="0" fontId="32" fillId="5" borderId="0" xfId="0" applyFont="1" applyFill="1" applyAlignment="1">
      <alignment horizontal="left" wrapText="1"/>
    </xf>
    <xf numFmtId="0" fontId="30" fillId="5" borderId="0" xfId="0" applyFont="1" applyFill="1"/>
    <xf numFmtId="0" fontId="32" fillId="27" borderId="0" xfId="0" applyFont="1" applyFill="1" applyAlignment="1">
      <alignment wrapText="1"/>
    </xf>
    <xf numFmtId="0" fontId="30" fillId="27" borderId="0" xfId="0" applyFont="1" applyFill="1"/>
    <xf numFmtId="0" fontId="33" fillId="0" borderId="0" xfId="0" applyFont="1" applyAlignment="1">
      <alignment horizontal="left" wrapText="1"/>
    </xf>
    <xf numFmtId="0" fontId="33" fillId="7" borderId="0" xfId="0" applyFont="1" applyFill="1" applyAlignment="1">
      <alignment horizontal="left"/>
    </xf>
    <xf numFmtId="0" fontId="7" fillId="7" borderId="0" xfId="0" applyFont="1" applyFill="1" applyAlignment="1">
      <alignment horizontal="center"/>
    </xf>
    <xf numFmtId="0" fontId="34" fillId="13" borderId="0" xfId="0" applyFont="1" applyFill="1" applyAlignment="1">
      <alignment horizontal="left"/>
    </xf>
    <xf numFmtId="0" fontId="7" fillId="13" borderId="0" xfId="0" applyFont="1" applyFill="1" applyAlignment="1">
      <alignment horizontal="center"/>
    </xf>
    <xf numFmtId="0" fontId="33" fillId="11" borderId="0" xfId="0" applyFont="1" applyFill="1" applyAlignment="1">
      <alignment horizontal="left"/>
    </xf>
    <xf numFmtId="166" fontId="7" fillId="11" borderId="0" xfId="0" applyNumberFormat="1" applyFont="1" applyFill="1" applyAlignment="1">
      <alignment horizontal="center"/>
    </xf>
    <xf numFmtId="0" fontId="35" fillId="15" borderId="0" xfId="0" applyFont="1" applyFill="1" applyAlignment="1">
      <alignment horizontal="left" wrapText="1"/>
    </xf>
    <xf numFmtId="9" fontId="7" fillId="15" borderId="0" xfId="0" applyNumberFormat="1" applyFont="1" applyFill="1" applyAlignment="1">
      <alignment horizontal="center"/>
    </xf>
    <xf numFmtId="0" fontId="36" fillId="5" borderId="0" xfId="0" applyFont="1" applyFill="1" applyAlignment="1">
      <alignment horizontal="left" wrapText="1"/>
    </xf>
    <xf numFmtId="2" fontId="7" fillId="5" borderId="0" xfId="0" applyNumberFormat="1" applyFont="1" applyFill="1"/>
    <xf numFmtId="0" fontId="35" fillId="27" borderId="0" xfId="0" applyFont="1" applyFill="1" applyAlignment="1">
      <alignment wrapText="1"/>
    </xf>
    <xf numFmtId="1" fontId="7" fillId="27" borderId="0" xfId="0" applyNumberFormat="1" applyFont="1" applyFill="1"/>
    <xf numFmtId="0" fontId="7" fillId="27" borderId="0" xfId="0" applyFont="1" applyFill="1"/>
    <xf numFmtId="0" fontId="33" fillId="13" borderId="0" xfId="0" applyFont="1" applyFill="1" applyAlignment="1">
      <alignment horizontal="left"/>
    </xf>
    <xf numFmtId="0" fontId="37" fillId="15" borderId="0" xfId="0" applyFont="1" applyFill="1"/>
    <xf numFmtId="0" fontId="35" fillId="5" borderId="0" xfId="0" applyFont="1" applyFill="1" applyAlignment="1">
      <alignment horizontal="left" wrapText="1"/>
    </xf>
    <xf numFmtId="1" fontId="7" fillId="0" borderId="0" xfId="0" applyNumberFormat="1" applyFont="1" applyAlignment="1">
      <alignment horizontal="center"/>
    </xf>
    <xf numFmtId="1" fontId="33" fillId="7" borderId="0" xfId="0" applyNumberFormat="1" applyFont="1" applyFill="1" applyAlignment="1">
      <alignment horizontal="left"/>
    </xf>
    <xf numFmtId="1" fontId="7" fillId="7" borderId="0" xfId="0" applyNumberFormat="1" applyFont="1" applyFill="1" applyAlignment="1">
      <alignment horizontal="center"/>
    </xf>
    <xf numFmtId="167" fontId="7" fillId="0" borderId="0" xfId="0" applyNumberFormat="1" applyFont="1" applyAlignment="1">
      <alignment horizontal="center"/>
    </xf>
    <xf numFmtId="167" fontId="33" fillId="7" borderId="0" xfId="0" applyNumberFormat="1" applyFont="1" applyFill="1" applyAlignment="1">
      <alignment horizontal="left"/>
    </xf>
    <xf numFmtId="2" fontId="7" fillId="7" borderId="0" xfId="0" applyNumberFormat="1" applyFont="1" applyFill="1" applyAlignment="1">
      <alignment horizontal="center"/>
    </xf>
    <xf numFmtId="168" fontId="7" fillId="11" borderId="0" xfId="0" applyNumberFormat="1" applyFont="1" applyFill="1" applyAlignment="1">
      <alignment horizontal="center"/>
    </xf>
    <xf numFmtId="2" fontId="7" fillId="11" borderId="0" xfId="0" applyNumberFormat="1" applyFont="1" applyFill="1" applyAlignment="1">
      <alignment horizontal="center"/>
    </xf>
    <xf numFmtId="0" fontId="38" fillId="15" borderId="0" xfId="0" applyFont="1" applyFill="1"/>
    <xf numFmtId="2" fontId="7" fillId="27" borderId="0" xfId="0" applyNumberFormat="1" applyFont="1" applyFill="1"/>
    <xf numFmtId="167" fontId="7" fillId="27" borderId="0" xfId="0" applyNumberFormat="1" applyFont="1" applyFill="1"/>
    <xf numFmtId="20" fontId="7" fillId="0" borderId="0" xfId="0" applyNumberFormat="1" applyFont="1" applyAlignment="1">
      <alignment horizontal="center"/>
    </xf>
    <xf numFmtId="20" fontId="33" fillId="7" borderId="0" xfId="0" applyNumberFormat="1" applyFont="1" applyFill="1" applyAlignment="1">
      <alignment horizontal="left"/>
    </xf>
    <xf numFmtId="20" fontId="7" fillId="7" borderId="0" xfId="0" applyNumberFormat="1" applyFont="1" applyFill="1" applyAlignment="1">
      <alignment horizontal="center"/>
    </xf>
    <xf numFmtId="20" fontId="7" fillId="13" borderId="0" xfId="0" applyNumberFormat="1" applyFont="1" applyFill="1" applyAlignment="1">
      <alignment horizontal="center"/>
    </xf>
    <xf numFmtId="20" fontId="7" fillId="11" borderId="0" xfId="0" applyNumberFormat="1" applyFont="1" applyFill="1" applyAlignment="1">
      <alignment horizontal="center"/>
    </xf>
    <xf numFmtId="20" fontId="7" fillId="15" borderId="0" xfId="0" applyNumberFormat="1" applyFont="1" applyFill="1"/>
    <xf numFmtId="20" fontId="7" fillId="5" borderId="0" xfId="0" applyNumberFormat="1" applyFont="1" applyFill="1"/>
    <xf numFmtId="20" fontId="7" fillId="27" borderId="0" xfId="0" applyNumberFormat="1" applyFont="1" applyFill="1"/>
    <xf numFmtId="0" fontId="39" fillId="13" borderId="0" xfId="0" applyFont="1" applyFill="1" applyAlignment="1">
      <alignment horizontal="left"/>
    </xf>
    <xf numFmtId="2" fontId="7" fillId="13" borderId="0" xfId="0" applyNumberFormat="1" applyFont="1" applyFill="1" applyAlignment="1">
      <alignment horizontal="center"/>
    </xf>
    <xf numFmtId="0" fontId="23" fillId="27" borderId="0" xfId="0" applyFont="1" applyFill="1" applyAlignment="1">
      <alignment wrapText="1"/>
    </xf>
    <xf numFmtId="9" fontId="7" fillId="0" borderId="0" xfId="0" applyNumberFormat="1" applyFont="1" applyAlignment="1">
      <alignment horizontal="center"/>
    </xf>
    <xf numFmtId="9" fontId="33" fillId="7" borderId="0" xfId="0" applyNumberFormat="1" applyFont="1" applyFill="1" applyAlignment="1">
      <alignment horizontal="left"/>
    </xf>
    <xf numFmtId="9" fontId="7" fillId="7" borderId="0" xfId="0" applyNumberFormat="1" applyFont="1" applyFill="1"/>
    <xf numFmtId="1" fontId="7" fillId="5" borderId="0" xfId="0" applyNumberFormat="1" applyFont="1" applyFill="1"/>
    <xf numFmtId="166" fontId="7" fillId="15" borderId="0" xfId="0" applyNumberFormat="1" applyFont="1" applyFill="1" applyAlignment="1">
      <alignment horizontal="center"/>
    </xf>
    <xf numFmtId="9" fontId="7" fillId="13" borderId="0" xfId="0" applyNumberFormat="1" applyFont="1" applyFill="1" applyAlignment="1">
      <alignment horizontal="center"/>
    </xf>
    <xf numFmtId="9" fontId="7" fillId="11" borderId="0" xfId="0" applyNumberFormat="1" applyFont="1" applyFill="1" applyAlignment="1">
      <alignment horizontal="center"/>
    </xf>
    <xf numFmtId="0" fontId="33" fillId="4" borderId="0" xfId="0" applyFont="1" applyFill="1" applyAlignment="1">
      <alignment horizontal="left" wrapText="1"/>
    </xf>
    <xf numFmtId="0" fontId="40" fillId="7" borderId="0" xfId="0" applyFont="1" applyFill="1" applyAlignment="1">
      <alignment horizontal="left"/>
    </xf>
    <xf numFmtId="0" fontId="41" fillId="7" borderId="0" xfId="0" applyFont="1" applyFill="1" applyAlignment="1">
      <alignment horizontal="center"/>
    </xf>
    <xf numFmtId="0" fontId="41" fillId="13" borderId="0" xfId="0" applyFont="1" applyFill="1" applyAlignment="1">
      <alignment horizontal="center"/>
    </xf>
    <xf numFmtId="10" fontId="7" fillId="11" borderId="0" xfId="0" applyNumberFormat="1" applyFont="1" applyFill="1" applyAlignment="1">
      <alignment horizontal="center"/>
    </xf>
    <xf numFmtId="9" fontId="35" fillId="15" borderId="0" xfId="0" applyNumberFormat="1" applyFont="1" applyFill="1" applyAlignment="1">
      <alignment horizontal="left" wrapText="1"/>
    </xf>
    <xf numFmtId="10" fontId="7" fillId="15" borderId="0" xfId="0" applyNumberFormat="1" applyFont="1" applyFill="1"/>
    <xf numFmtId="9" fontId="7" fillId="15" borderId="0" xfId="0" applyNumberFormat="1" applyFont="1" applyFill="1"/>
    <xf numFmtId="9" fontId="37" fillId="15" borderId="0" xfId="0" applyNumberFormat="1" applyFont="1" applyFill="1"/>
    <xf numFmtId="0" fontId="7" fillId="13" borderId="0" xfId="0" applyFont="1" applyFill="1" applyAlignment="1">
      <alignment horizontal="center" wrapText="1"/>
    </xf>
    <xf numFmtId="0" fontId="7" fillId="11" borderId="0" xfId="0" applyFont="1" applyFill="1" applyAlignment="1">
      <alignment horizontal="left"/>
    </xf>
    <xf numFmtId="0" fontId="7" fillId="0" borderId="0" xfId="0" applyFont="1" applyAlignment="1">
      <alignment horizontal="left" wrapText="1"/>
    </xf>
    <xf numFmtId="0" fontId="23" fillId="5" borderId="0" xfId="0" applyFont="1" applyFill="1" applyAlignment="1">
      <alignment horizontal="left" wrapText="1"/>
    </xf>
    <xf numFmtId="0" fontId="23" fillId="0" borderId="0" xfId="0" applyFont="1" applyAlignment="1">
      <alignment horizontal="left" wrapText="1"/>
    </xf>
    <xf numFmtId="10" fontId="7" fillId="0" borderId="0" xfId="0" applyNumberFormat="1" applyFont="1" applyAlignment="1">
      <alignment horizontal="center"/>
    </xf>
    <xf numFmtId="10" fontId="7" fillId="15" borderId="0" xfId="0" applyNumberFormat="1" applyFont="1" applyFill="1" applyAlignment="1">
      <alignment horizontal="center"/>
    </xf>
    <xf numFmtId="0" fontId="49" fillId="0" borderId="0" xfId="0" applyFont="1" applyAlignment="1">
      <alignment horizontal="left" vertical="top" wrapText="1"/>
    </xf>
    <xf numFmtId="0" fontId="12" fillId="0" borderId="5" xfId="0" applyFont="1" applyBorder="1" applyAlignment="1">
      <alignment horizontal="left" vertical="top" wrapText="1"/>
    </xf>
    <xf numFmtId="0" fontId="13" fillId="7" borderId="0" xfId="0" applyFont="1" applyFill="1" applyAlignment="1">
      <alignment vertical="center" wrapText="1"/>
    </xf>
    <xf numFmtId="0" fontId="15" fillId="0" borderId="0" xfId="0" applyFont="1"/>
    <xf numFmtId="0" fontId="0" fillId="28" borderId="0" xfId="0" applyFill="1"/>
    <xf numFmtId="0" fontId="0" fillId="29" borderId="0" xfId="0" applyFill="1"/>
    <xf numFmtId="0" fontId="0" fillId="30" borderId="0" xfId="0" applyFill="1"/>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71" fillId="0" borderId="0" xfId="0" applyFont="1" applyAlignment="1">
      <alignment vertical="top"/>
    </xf>
    <xf numFmtId="0" fontId="60" fillId="0" borderId="5" xfId="0" applyFont="1" applyBorder="1" applyAlignment="1">
      <alignment horizontal="left" vertical="top" wrapText="1"/>
    </xf>
    <xf numFmtId="0" fontId="0" fillId="31" borderId="0" xfId="0" applyFill="1"/>
    <xf numFmtId="0" fontId="0" fillId="32" borderId="0" xfId="0" applyFill="1"/>
    <xf numFmtId="0" fontId="0" fillId="33" borderId="0" xfId="0" applyFill="1"/>
    <xf numFmtId="0" fontId="0" fillId="32" borderId="0" xfId="0" applyFill="1" applyAlignment="1">
      <alignment wrapText="1"/>
    </xf>
    <xf numFmtId="16" fontId="73" fillId="0" borderId="0" xfId="0" applyNumberFormat="1" applyFont="1" applyAlignment="1">
      <alignment horizontal="center"/>
    </xf>
    <xf numFmtId="0" fontId="73" fillId="0" borderId="0" xfId="0" applyFont="1" applyAlignment="1">
      <alignment horizontal="center"/>
    </xf>
    <xf numFmtId="0" fontId="72" fillId="0" borderId="0" xfId="0" applyFont="1" applyAlignment="1">
      <alignment horizontal="right" wrapText="1"/>
    </xf>
    <xf numFmtId="0" fontId="1" fillId="0" borderId="0" xfId="0" applyFont="1" applyAlignment="1">
      <alignment horizontal="center" wrapText="1"/>
    </xf>
    <xf numFmtId="0" fontId="2" fillId="3" borderId="3" xfId="0" applyFont="1" applyFill="1" applyBorder="1" applyAlignment="1">
      <alignment horizontal="center" wrapText="1"/>
    </xf>
    <xf numFmtId="0" fontId="0" fillId="0" borderId="0" xfId="0" applyAlignment="1">
      <alignment horizontal="center"/>
    </xf>
    <xf numFmtId="0" fontId="74" fillId="0" borderId="0" xfId="0" applyFont="1" applyAlignment="1">
      <alignment horizontal="center"/>
    </xf>
    <xf numFmtId="0" fontId="74" fillId="0" borderId="0" xfId="0" applyFont="1"/>
    <xf numFmtId="0" fontId="75" fillId="0" borderId="0" xfId="0" applyFont="1"/>
    <xf numFmtId="0" fontId="74" fillId="34" borderId="0" xfId="0" applyFont="1" applyFill="1" applyAlignment="1">
      <alignment horizontal="center"/>
    </xf>
    <xf numFmtId="0" fontId="74" fillId="32" borderId="0" xfId="0" applyFont="1" applyFill="1" applyAlignment="1">
      <alignment horizontal="center"/>
    </xf>
    <xf numFmtId="0" fontId="74" fillId="29" borderId="0" xfId="0" applyFont="1" applyFill="1" applyAlignment="1">
      <alignment horizontal="center"/>
    </xf>
    <xf numFmtId="0" fontId="74" fillId="35" borderId="0" xfId="0" applyFont="1" applyFill="1" applyAlignment="1">
      <alignment horizontal="center"/>
    </xf>
    <xf numFmtId="0" fontId="74" fillId="36" borderId="0" xfId="0" applyFont="1" applyFill="1" applyAlignment="1">
      <alignment horizontal="center"/>
    </xf>
    <xf numFmtId="0" fontId="74" fillId="37" borderId="0" xfId="0" applyFont="1" applyFill="1" applyAlignment="1">
      <alignment horizontal="center"/>
    </xf>
    <xf numFmtId="0" fontId="76" fillId="0" borderId="0" xfId="0" applyFont="1"/>
    <xf numFmtId="0" fontId="77" fillId="28" borderId="0" xfId="0" applyFont="1" applyFill="1"/>
    <xf numFmtId="0" fontId="76" fillId="0" borderId="0" xfId="0" applyFont="1" applyAlignment="1">
      <alignment horizontal="center"/>
    </xf>
    <xf numFmtId="0" fontId="77" fillId="0" borderId="0" xfId="0" applyFont="1"/>
    <xf numFmtId="0" fontId="0" fillId="0" borderId="0" xfId="0" applyAlignment="1">
      <alignment horizontal="left" vertical="top"/>
    </xf>
    <xf numFmtId="0" fontId="0" fillId="0" borderId="0" xfId="0" applyAlignment="1">
      <alignment horizontal="left" vertical="top" wrapText="1"/>
    </xf>
    <xf numFmtId="0" fontId="74" fillId="32" borderId="0" xfId="0" applyFont="1" applyFill="1"/>
    <xf numFmtId="0" fontId="0" fillId="32" borderId="0" xfId="0" applyFill="1" applyAlignment="1">
      <alignment horizontal="center"/>
    </xf>
    <xf numFmtId="0" fontId="74" fillId="29" borderId="0" xfId="0" applyFont="1" applyFill="1"/>
    <xf numFmtId="0" fontId="0" fillId="29" borderId="0" xfId="0" applyFill="1" applyAlignment="1">
      <alignment horizontal="center"/>
    </xf>
    <xf numFmtId="16" fontId="73" fillId="33" borderId="0" xfId="0" applyNumberFormat="1" applyFont="1" applyFill="1" applyAlignment="1">
      <alignment horizontal="center"/>
    </xf>
    <xf numFmtId="0" fontId="0" fillId="33" borderId="0" xfId="0" applyFill="1" applyAlignment="1">
      <alignment horizontal="left" vertical="top"/>
    </xf>
    <xf numFmtId="0" fontId="0" fillId="28" borderId="0" xfId="0" applyFill="1" applyAlignment="1">
      <alignment wrapText="1"/>
    </xf>
    <xf numFmtId="0" fontId="76" fillId="28" borderId="0" xfId="0" applyFont="1" applyFill="1" applyAlignment="1">
      <alignment wrapText="1"/>
    </xf>
    <xf numFmtId="14" fontId="0" fillId="0" borderId="0" xfId="0" applyNumberFormat="1"/>
    <xf numFmtId="0" fontId="0" fillId="36" borderId="0" xfId="0" applyFill="1" applyAlignment="1">
      <alignment horizontal="left" vertical="top" wrapText="1"/>
    </xf>
    <xf numFmtId="0" fontId="0" fillId="38" borderId="0" xfId="0" applyFill="1" applyAlignment="1">
      <alignment horizontal="left" vertical="top"/>
    </xf>
    <xf numFmtId="14" fontId="74" fillId="28" borderId="0" xfId="0" applyNumberFormat="1" applyFont="1" applyFill="1"/>
    <xf numFmtId="14" fontId="76" fillId="0" borderId="0" xfId="0" applyNumberFormat="1" applyFont="1"/>
    <xf numFmtId="14" fontId="74" fillId="29" borderId="0" xfId="0" applyNumberFormat="1" applyFont="1" applyFill="1"/>
    <xf numFmtId="14" fontId="75" fillId="0" borderId="0" xfId="0" applyNumberFormat="1" applyFont="1"/>
    <xf numFmtId="14" fontId="74" fillId="32" borderId="0" xfId="0" applyNumberFormat="1" applyFont="1" applyFill="1"/>
    <xf numFmtId="0" fontId="0" fillId="38" borderId="0" xfId="0" applyFill="1" applyAlignment="1">
      <alignment horizontal="left" vertical="top" wrapText="1"/>
    </xf>
    <xf numFmtId="0" fontId="0" fillId="32" borderId="0" xfId="0" applyFill="1" applyAlignment="1">
      <alignment horizontal="left" vertical="top" wrapText="1"/>
    </xf>
    <xf numFmtId="0" fontId="0" fillId="29" borderId="0" xfId="0" applyFill="1" applyAlignment="1">
      <alignment horizontal="left" vertical="top" wrapText="1"/>
    </xf>
    <xf numFmtId="0" fontId="0" fillId="36" borderId="0" xfId="0" applyFill="1" applyAlignment="1">
      <alignment horizontal="left" vertical="top"/>
    </xf>
    <xf numFmtId="0" fontId="0" fillId="37" borderId="0" xfId="0" applyFill="1" applyAlignment="1">
      <alignment wrapText="1"/>
    </xf>
    <xf numFmtId="0" fontId="0" fillId="29" borderId="0" xfId="0" applyFill="1" applyAlignment="1">
      <alignment horizontal="left" vertical="top"/>
    </xf>
    <xf numFmtId="0" fontId="0" fillId="34" borderId="0" xfId="0" applyFill="1" applyAlignment="1">
      <alignment horizontal="left" vertical="top"/>
    </xf>
    <xf numFmtId="0" fontId="0" fillId="34" borderId="0" xfId="0" applyFill="1" applyAlignment="1">
      <alignment horizontal="left" vertical="top" wrapText="1"/>
    </xf>
    <xf numFmtId="0" fontId="76" fillId="0" borderId="0" xfId="0" applyFont="1" applyAlignment="1">
      <alignment wrapText="1"/>
    </xf>
    <xf numFmtId="0" fontId="0" fillId="40" borderId="0" xfId="0" applyFill="1" applyAlignment="1">
      <alignment wrapText="1"/>
    </xf>
    <xf numFmtId="0" fontId="0" fillId="33" borderId="0" xfId="0" applyFill="1" applyAlignment="1">
      <alignment horizontal="left" vertical="top" wrapText="1"/>
    </xf>
    <xf numFmtId="0" fontId="0" fillId="28" borderId="0" xfId="0" applyFill="1" applyAlignment="1">
      <alignment vertical="top" wrapText="1"/>
    </xf>
    <xf numFmtId="0" fontId="0" fillId="41" borderId="0" xfId="0" applyFill="1" applyAlignment="1">
      <alignment horizontal="left" vertical="top"/>
    </xf>
    <xf numFmtId="0" fontId="74" fillId="28" borderId="0" xfId="0" applyFont="1" applyFill="1" applyAlignment="1">
      <alignment horizontal="center"/>
    </xf>
    <xf numFmtId="0" fontId="0" fillId="0" borderId="0" xfId="0" applyAlignment="1">
      <alignment horizontal="center" wrapText="1"/>
    </xf>
    <xf numFmtId="14" fontId="0" fillId="0" borderId="0" xfId="0" applyNumberFormat="1" applyAlignment="1">
      <alignment wrapText="1"/>
    </xf>
    <xf numFmtId="0" fontId="76" fillId="32" borderId="0" xfId="0" applyFont="1" applyFill="1" applyAlignment="1">
      <alignment wrapText="1"/>
    </xf>
    <xf numFmtId="0" fontId="0" fillId="29" borderId="0" xfId="0" applyFill="1" applyAlignment="1">
      <alignment vertical="top" wrapText="1"/>
    </xf>
    <xf numFmtId="0" fontId="0" fillId="28" borderId="0" xfId="0" applyFill="1" applyAlignment="1">
      <alignment horizontal="left" vertical="top" wrapText="1"/>
    </xf>
    <xf numFmtId="0" fontId="74" fillId="28" borderId="0" xfId="0" applyFont="1" applyFill="1" applyAlignment="1">
      <alignment wrapText="1"/>
    </xf>
    <xf numFmtId="0" fontId="76" fillId="29" borderId="0" xfId="0" applyFont="1" applyFill="1" applyAlignment="1">
      <alignment wrapText="1"/>
    </xf>
    <xf numFmtId="0" fontId="76" fillId="40" borderId="0" xfId="0" applyFont="1" applyFill="1" applyAlignment="1">
      <alignment wrapText="1"/>
    </xf>
    <xf numFmtId="0" fontId="76" fillId="33" borderId="0" xfId="0" applyFont="1" applyFill="1" applyAlignment="1">
      <alignment wrapText="1"/>
    </xf>
    <xf numFmtId="0" fontId="76" fillId="39" borderId="0" xfId="0" applyFont="1" applyFill="1" applyAlignment="1">
      <alignment wrapText="1"/>
    </xf>
    <xf numFmtId="0" fontId="0" fillId="33" borderId="0" xfId="0" applyFill="1" applyAlignment="1">
      <alignment wrapText="1"/>
    </xf>
    <xf numFmtId="0" fontId="0" fillId="39" borderId="0" xfId="0" applyFill="1" applyAlignment="1">
      <alignment wrapText="1"/>
    </xf>
    <xf numFmtId="0" fontId="79" fillId="20" borderId="0" xfId="1" applyFill="1" applyAlignment="1">
      <alignment vertical="center" wrapText="1"/>
    </xf>
    <xf numFmtId="0" fontId="0" fillId="40" borderId="0" xfId="0" applyFill="1" applyAlignment="1">
      <alignment horizontal="left" vertical="top" wrapText="1"/>
    </xf>
    <xf numFmtId="0" fontId="78" fillId="39" borderId="0" xfId="0" applyFont="1" applyFill="1" applyAlignment="1">
      <alignment vertical="top" wrapText="1"/>
    </xf>
    <xf numFmtId="0" fontId="76" fillId="34" borderId="0" xfId="0" applyFont="1" applyFill="1" applyAlignment="1">
      <alignment wrapText="1"/>
    </xf>
    <xf numFmtId="14" fontId="76" fillId="0" borderId="0" xfId="0" applyNumberFormat="1" applyFont="1" applyAlignment="1">
      <alignment wrapText="1"/>
    </xf>
    <xf numFmtId="0" fontId="76" fillId="0" borderId="0" xfId="0" applyFont="1" applyAlignment="1">
      <alignment horizontal="center" wrapText="1"/>
    </xf>
    <xf numFmtId="0" fontId="0" fillId="29" borderId="0" xfId="0" applyFill="1" applyAlignment="1">
      <alignment wrapText="1"/>
    </xf>
    <xf numFmtId="0" fontId="0" fillId="30" borderId="0" xfId="0" applyFill="1" applyAlignment="1">
      <alignment wrapText="1"/>
    </xf>
    <xf numFmtId="14" fontId="79" fillId="34" borderId="0" xfId="1" applyNumberFormat="1" applyFill="1" applyAlignment="1">
      <alignment wrapText="1"/>
    </xf>
    <xf numFmtId="14" fontId="80" fillId="0" borderId="0" xfId="0" applyNumberFormat="1" applyFont="1"/>
    <xf numFmtId="14" fontId="79" fillId="40" borderId="0" xfId="1" applyNumberFormat="1" applyFill="1" applyAlignment="1">
      <alignment wrapText="1"/>
    </xf>
    <xf numFmtId="0" fontId="0" fillId="30" borderId="0" xfId="0" applyFill="1" applyAlignment="1">
      <alignment horizontal="left" vertical="top" wrapText="1"/>
    </xf>
    <xf numFmtId="0" fontId="77" fillId="28" borderId="0" xfId="0" applyFont="1" applyFill="1" applyAlignment="1">
      <alignment wrapText="1"/>
    </xf>
    <xf numFmtId="0" fontId="0" fillId="34" borderId="0" xfId="0" applyFill="1" applyAlignment="1">
      <alignment wrapText="1"/>
    </xf>
    <xf numFmtId="0" fontId="81" fillId="39" borderId="0" xfId="1" applyFont="1" applyFill="1" applyAlignment="1">
      <alignment wrapText="1"/>
    </xf>
    <xf numFmtId="14" fontId="21" fillId="0" borderId="0" xfId="0" applyNumberFormat="1" applyFont="1"/>
    <xf numFmtId="0" fontId="0" fillId="33" borderId="0" xfId="0" applyFill="1" applyAlignment="1">
      <alignment vertical="top" wrapText="1"/>
    </xf>
    <xf numFmtId="0" fontId="82" fillId="33" borderId="3" xfId="0" applyFont="1" applyFill="1" applyBorder="1" applyAlignment="1">
      <alignment horizontal="center" wrapText="1"/>
    </xf>
    <xf numFmtId="14" fontId="83" fillId="0" borderId="0" xfId="0" applyNumberFormat="1" applyFont="1"/>
    <xf numFmtId="0" fontId="73" fillId="0" borderId="0" xfId="0" applyFont="1" applyAlignment="1">
      <alignment vertical="top"/>
    </xf>
  </cellXfs>
  <cellStyles count="2">
    <cellStyle name="Hyperlink" xfId="1" builtinId="8"/>
    <cellStyle name="Normal" xfId="0" builtinId="0"/>
  </cellStyles>
  <dxfs count="4">
    <dxf>
      <font>
        <color rgb="FF9C5700"/>
      </font>
      <fill>
        <patternFill>
          <bgColor rgb="FFFFEB9C"/>
        </patternFill>
      </fill>
    </dxf>
    <dxf>
      <fill>
        <patternFill>
          <bgColor rgb="FFFFC7CE"/>
        </patternFill>
      </fill>
    </dxf>
    <dxf>
      <font>
        <color rgb="FF9C5700"/>
      </font>
      <fill>
        <patternFill>
          <bgColor rgb="FFFFEB9C"/>
        </patternFill>
      </fill>
    </dxf>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ocumenttasks/documenttask1.xml><?xml version="1.0" encoding="utf-8"?>
<Tasks xmlns="http://schemas.microsoft.com/office/tasks/2019/documenttasks">
  <Task id="{F8C4E207-F2C2-45F1-85E4-CA9BC8488344}">
    <Anchor>
      <Comment id="{403501A9-B7BF-47E5-B23A-AE84DC3C4DAF}"/>
    </Anchor>
    <History>
      <Event time="2025-05-16T19:11:42.43" id="{7E035F23-C82D-4212-A753-D6E9268B3DF5}">
        <Attribution userId="S::284109@ust.com::d02a3919-5f37-404a-b37b-818a4ee07da4" userName="Leif Drake(UST,US)" userProvider="AD"/>
        <Anchor>
          <Comment id="{403501A9-B7BF-47E5-B23A-AE84DC3C4DAF}"/>
        </Anchor>
        <Create/>
      </Event>
      <Event time="2025-05-16T19:11:42.43" id="{110D0922-549F-4141-AE90-E4A31D62A136}">
        <Attribution userId="S::284109@ust.com::d02a3919-5f37-404a-b37b-818a4ee07da4" userName="Leif Drake(UST,US)" userProvider="AD"/>
        <Anchor>
          <Comment id="{403501A9-B7BF-47E5-B23A-AE84DC3C4DAF}"/>
        </Anchor>
        <Assign userId="S::287348@ust.com::bc7a0055-c1d3-4c1c-b7ff-24a2f6112c77" userName="Mariano Coni(UST,AR)" userProvider="AD"/>
      </Event>
      <Event time="2025-05-16T19:11:42.43" id="{1831A172-D0CC-4555-9919-4B49BB606364}">
        <Attribution userId="S::284109@ust.com::d02a3919-5f37-404a-b37b-818a4ee07da4" userName="Leif Drake(UST,US)" userProvider="AD"/>
        <Anchor>
          <Comment id="{403501A9-B7BF-47E5-B23A-AE84DC3C4DAF}"/>
        </Anchor>
        <SetTitle title="@Mariano Coni(UST,AR) Were you able to get an update on this bug?"/>
      </Event>
    </History>
  </Task>
  <Task id="{20489B6E-DBD1-4168-8DC9-8CD36AE6B15C}">
    <Anchor>
      <Comment id="{9DFB0E22-D27D-4480-9467-B58A15A2CDA8}"/>
    </Anchor>
    <History>
      <Event time="2025-04-11T03:01:57.04" id="{BD52BE66-D111-45E5-A79F-A95468E27FCC}">
        <Attribution userId="S::284109@ust.com::d02a3919-5f37-404a-b37b-818a4ee07da4" userName="Leif Drake(UST,US)" userProvider="AD"/>
        <Anchor>
          <Comment id="{9DFB0E22-D27D-4480-9467-B58A15A2CDA8}"/>
        </Anchor>
        <Create/>
      </Event>
      <Event time="2025-04-11T03:01:57.04" id="{4D5C9469-C050-40CA-9B12-EEC11B95BC96}">
        <Attribution userId="S::284109@ust.com::d02a3919-5f37-404a-b37b-818a4ee07da4" userName="Leif Drake(UST,US)" userProvider="AD"/>
        <Anchor>
          <Comment id="{9DFB0E22-D27D-4480-9467-B58A15A2CDA8}"/>
        </Anchor>
        <Assign userId="S::287055@ust.com::8c1cc25c-f17e-4a62-b68f-87edc12e4cd5" userName="Angela King(UST,US)" userProvider="AD"/>
      </Event>
      <Event time="2025-04-11T03:01:57.04" id="{FF05B84C-1DC3-4D20-BF64-A57543709D25}">
        <Attribution userId="S::284109@ust.com::d02a3919-5f37-404a-b37b-818a4ee07da4" userName="Leif Drake(UST,US)" userProvider="AD"/>
        <Anchor>
          <Comment id="{9DFB0E22-D27D-4480-9467-B58A15A2CDA8}"/>
        </Anchor>
        <SetTitle title="@Angela King(UST,US) This is what you mentioned in teams about crashing when looking for Jolene's article. Can you pls create a jira ticket with as much detail as possible, including platform, user, approximate time, the page, the behavior or …"/>
      </Event>
    </History>
  </Task>
  <Task id="{2B79D17F-2323-4DEF-B07B-326B76828306}">
    <Anchor>
      <Comment id="{241B9912-9AAD-4802-8EA4-B6206972D1B3}"/>
    </Anchor>
    <History>
      <Event time="2025-05-13T18:38:02.24" id="{4EC39B84-E0E2-4544-9DEE-CB66C26EBB1C}">
        <Attribution userId="S::284109@ust.com::d02a3919-5f37-404a-b37b-818a4ee07da4" userName="Leif Drake(UST,US)" userProvider="AD"/>
        <Anchor>
          <Comment id="{241B9912-9AAD-4802-8EA4-B6206972D1B3}"/>
        </Anchor>
        <Create/>
      </Event>
      <Event time="2025-05-13T18:38:02.24" id="{B1DF80EA-9A13-401D-AC44-02F30BBFDE38}">
        <Attribution userId="S::284109@ust.com::d02a3919-5f37-404a-b37b-818a4ee07da4" userName="Leif Drake(UST,US)" userProvider="AD"/>
        <Anchor>
          <Comment id="{241B9912-9AAD-4802-8EA4-B6206972D1B3}"/>
        </Anchor>
        <Assign userId="S::287348@ust.com::bc7a0055-c1d3-4c1c-b7ff-24a2f6112c77" userName="Mariano Coni(UST,AR)" userProvider="AD"/>
      </Event>
      <Event time="2025-05-13T18:38:02.24" id="{4971C28B-9762-445A-A9D0-106144325F7E}">
        <Attribution userId="S::284109@ust.com::d02a3919-5f37-404a-b37b-818a4ee07da4" userName="Leif Drake(UST,US)" userProvider="AD"/>
        <Anchor>
          <Comment id="{241B9912-9AAD-4802-8EA4-B6206972D1B3}"/>
        </Anchor>
        <SetTitle title="@Mariano Coni(UST,AR) Just caught up with Angie and she pointed out that Branch is also behaving strangely, not lining up with OneSignal. can we include that into our investigation?"/>
      </Event>
    </History>
  </Task>
</Tasks>
</file>

<file path=xl/persons/person.xml><?xml version="1.0" encoding="utf-8"?>
<personList xmlns="http://schemas.microsoft.com/office/spreadsheetml/2018/threadedcomments" xmlns:x="http://schemas.openxmlformats.org/spreadsheetml/2006/main">
  <person displayName="Angela King(UST,US)" id="{12CB2EE2-ECA7-4D2A-903C-0C927B813C8A}" userId="287055@ust.com" providerId="PeoplePicker"/>
  <person displayName="Mariano Coni(UST,AR)" id="{2D38304B-29A0-43CA-9FF6-A8956E6B33DE}" userId="287348@ust.com" providerId="PeoplePicker"/>
  <person displayName="Leif Drake(UST,US)" id="{9C1CE39E-B0D1-4B4F-B137-6BDEBC85A968}" userId="S::284109@ust.com::d02a3919-5f37-404a-b37b-818a4ee07da4"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27" dT="2025-04-11T03:01:58.75" personId="{9C1CE39E-B0D1-4B4F-B137-6BDEBC85A968}" id="{9DFB0E22-D27D-4480-9467-B58A15A2CDA8}">
    <text>@Angela King(UST,US) This is what you mentioned in teams about crashing when looking for Jolene's article.  Can you pls create a jira ticket with as much detail as possible, including platform, user, approximate time, the page, the behavior or circumstances leading up to the error, the error screen (or just crash?)</text>
    <mentions>
      <mention mentionpersonId="{12CB2EE2-ECA7-4D2A-903C-0C927B813C8A}" mentionId="{8473C0DA-CDBD-4CA4-991F-9BCF9443FBA2}" startIndex="0" length="20"/>
    </mentions>
  </threadedComment>
  <threadedComment ref="F45" dT="2025-05-13T18:38:02.47" personId="{9C1CE39E-B0D1-4B4F-B137-6BDEBC85A968}" id="{241B9912-9AAD-4802-8EA4-B6206972D1B3}">
    <text>@Mariano Coni(UST,AR)  Just caught up with Angie and she pointed out that Branch is also behaving strangely, not lining up with OneSignal.  can we include that into our investigation?</text>
    <mentions>
      <mention mentionpersonId="{2D38304B-29A0-43CA-9FF6-A8956E6B33DE}" mentionId="{8B156721-E447-4B57-94D7-FB4B2AD124BC}" startIndex="0" length="21"/>
    </mentions>
  </threadedComment>
  <threadedComment ref="F52" dT="2025-05-16T19:11:42.57" personId="{9C1CE39E-B0D1-4B4F-B137-6BDEBC85A968}" id="{403501A9-B7BF-47E5-B23A-AE84DC3C4DAF}">
    <text>@Mariano Coni(UST,AR)  Were you able to get an update on this bug?</text>
    <mentions>
      <mention mentionpersonId="{2D38304B-29A0-43CA-9FF6-A8956E6B33DE}" mentionId="{5560F792-A759-4A71-8177-B04A7FFC98EB}" startIndex="0" length="21"/>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roundfeather-paven.atlassian.net/browse/PT-5793" TargetMode="External"/><Relationship Id="rId1" Type="http://schemas.openxmlformats.org/officeDocument/2006/relationships/hyperlink" Target="https://ustglobal.sharepoint.com/:x:/r/teams/Paven-all/Shared%20Documents/Paven-all/Research/Paven%20Polls/Poll%20requirements%20list%20April%202025.xlsx?d=w864b011bf44f4a2b8d466bd395228f8f&amp;csf=1&amp;web=1&amp;e=CoRQJy&amp;nav=MTVfe0I3MDgzQ0M1LTk4OEItODA0Mi1CRTgyLTY1REY4OTUwQTJDOH0" TargetMode="External"/><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ustglobal.sharepoint.com/:x:/r/teams/Paven-all/Shared%20Documents/Paven-all/Research/Research%20Planning/Priorities/Research%20Prioritization%20Roadmap.xlsx?d=waf8812a2b1ab4d3684d728bad72f3ca8&amp;csf=1&amp;web=1&amp;e=ZVpIYB" TargetMode="External"/><Relationship Id="rId1" Type="http://schemas.openxmlformats.org/officeDocument/2006/relationships/hyperlink" Target="https://docs.google.com/document/d/1AUc98rNnvqqiAQc5jEAeHZAuKHztQ9pUrQVDwP7Pg6c/edit?usp=sharing" TargetMode="Externa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hyperlink" Target="https://docs.google.com/document/d/1AUc98rNnvqqiAQc5jEAeHZAuKHztQ9pUrQVDwP7Pg6c/edit?usp=sharing" TargetMode="External"/><Relationship Id="rId1" Type="http://schemas.openxmlformats.org/officeDocument/2006/relationships/hyperlink" Target="https://docs.google.com/document/d/1BG7bvz38Pxr0d2m5z2NFQulycUNgk5RDk4p1e1VEINg/edit" TargetMode="External"/><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hyperlink" Target="https://docs.google.com/document/d/1AUc98rNnvqqiAQc5jEAeHZAuKHztQ9pUrQVDwP7Pg6c/edit?usp=sharing" TargetMode="Externa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hyperlink" Target="http://branch.io/" TargetMode="External"/><Relationship Id="rId1" Type="http://schemas.openxmlformats.org/officeDocument/2006/relationships/hyperlink" Target="https://lookerstudio.google.com/s/qVTyVow5bMs" TargetMode="External"/><Relationship Id="rId4"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3" Type="http://schemas.openxmlformats.org/officeDocument/2006/relationships/hyperlink" Target="https://roundfeather-paven.atlassian.net/wiki/spaces/P3/pages/1123909636/RSU+Vehicle+Detached+Vehicle" TargetMode="External"/><Relationship Id="rId7" Type="http://schemas.openxmlformats.org/officeDocument/2006/relationships/comments" Target="../comments8.xml"/><Relationship Id="rId2" Type="http://schemas.openxmlformats.org/officeDocument/2006/relationships/hyperlink" Target="https://docs.google.com/document/d/1wGjJRyp6jaYTgxqLe6jWuuKoZckZN8z0gGVou257T-s/edit?usp=sharing" TargetMode="External"/><Relationship Id="rId1" Type="http://schemas.openxmlformats.org/officeDocument/2006/relationships/hyperlink" Target="https://roundfeather-paven.atlassian.net/wiki/spaces/P3/pages/1123024897/Interdependent+goals+aka+detached+vehicles" TargetMode="External"/><Relationship Id="rId6" Type="http://schemas.openxmlformats.org/officeDocument/2006/relationships/vmlDrawing" Target="../drawings/vmlDrawing8.vml"/><Relationship Id="rId5" Type="http://schemas.openxmlformats.org/officeDocument/2006/relationships/hyperlink" Target="https://roundfeather-paven.atlassian.net/wiki/spaces/P3/pages/1206485000/Insurance+Estates+Dashboard" TargetMode="External"/><Relationship Id="rId4" Type="http://schemas.openxmlformats.org/officeDocument/2006/relationships/hyperlink" Target="https://roundfeather-paven.atlassian.net/wiki/spaces/P3/pages/1204322538/Questionnaires+-+requirement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DED2A-68BF-498A-923D-F861B180E160}">
  <dimension ref="A1:AD130"/>
  <sheetViews>
    <sheetView tabSelected="1" workbookViewId="0">
      <pane ySplit="1" topLeftCell="A64" activePane="bottomLeft" state="frozen"/>
      <selection pane="bottomLeft" activeCell="B77" sqref="B77"/>
    </sheetView>
  </sheetViews>
  <sheetFormatPr defaultColWidth="9.140625" defaultRowHeight="12.75"/>
  <cols>
    <col min="1" max="1" width="7.7109375" style="238" bestFit="1" customWidth="1"/>
    <col min="2" max="2" width="50.28515625" style="224" customWidth="1"/>
    <col min="3" max="3" width="9.42578125" style="262" bestFit="1" customWidth="1"/>
    <col min="4" max="4" width="9.42578125" style="262" customWidth="1"/>
    <col min="5" max="5" width="10.42578125" style="262" bestFit="1" customWidth="1"/>
    <col min="6" max="6" width="48.42578125" style="224" customWidth="1"/>
    <col min="7" max="7" width="13.140625" customWidth="1"/>
    <col min="8" max="8" width="19.7109375" bestFit="1" customWidth="1"/>
    <col min="9" max="9" width="13.42578125" customWidth="1"/>
    <col min="10" max="21" width="9.140625" style="238" bestFit="1" customWidth="1"/>
    <col min="22" max="30" width="9.140625" style="238" customWidth="1"/>
  </cols>
  <sheetData>
    <row r="1" spans="1:30">
      <c r="A1" s="283" t="s">
        <v>0</v>
      </c>
      <c r="B1" s="289" t="s">
        <v>1</v>
      </c>
      <c r="C1" s="265" t="s">
        <v>2</v>
      </c>
      <c r="D1" s="265" t="s">
        <v>3</v>
      </c>
      <c r="E1" s="265" t="s">
        <v>4</v>
      </c>
      <c r="F1" s="289" t="s">
        <v>5</v>
      </c>
      <c r="G1" s="240" t="s">
        <v>6</v>
      </c>
      <c r="H1" s="240" t="s">
        <v>7</v>
      </c>
      <c r="I1" s="240" t="s">
        <v>8</v>
      </c>
      <c r="J1" s="245" t="s">
        <v>9</v>
      </c>
      <c r="K1" s="244" t="s">
        <v>10</v>
      </c>
      <c r="L1" s="244" t="s">
        <v>11</v>
      </c>
      <c r="M1" s="243" t="s">
        <v>12</v>
      </c>
      <c r="N1" s="243" t="s">
        <v>13</v>
      </c>
      <c r="O1" s="243" t="s">
        <v>14</v>
      </c>
      <c r="P1" s="247" t="s">
        <v>15</v>
      </c>
      <c r="Q1" s="247" t="s">
        <v>16</v>
      </c>
      <c r="R1" s="247" t="s">
        <v>17</v>
      </c>
      <c r="S1" s="247" t="s">
        <v>18</v>
      </c>
      <c r="T1" s="242" t="s">
        <v>19</v>
      </c>
      <c r="U1" s="242" t="s">
        <v>20</v>
      </c>
      <c r="V1" s="246" t="s">
        <v>21</v>
      </c>
      <c r="W1" s="246" t="s">
        <v>22</v>
      </c>
      <c r="X1" s="246" t="s">
        <v>23</v>
      </c>
      <c r="Y1" s="246" t="s">
        <v>24</v>
      </c>
      <c r="Z1" s="246" t="s">
        <v>25</v>
      </c>
      <c r="AA1" s="246" t="s">
        <v>26</v>
      </c>
      <c r="AB1" s="246" t="s">
        <v>27</v>
      </c>
      <c r="AC1" s="246" t="s">
        <v>28</v>
      </c>
      <c r="AD1" s="239" t="s">
        <v>29</v>
      </c>
    </row>
    <row r="2" spans="1:30" s="248" customFormat="1" hidden="1">
      <c r="A2" s="250"/>
      <c r="B2" s="278" t="s">
        <v>30</v>
      </c>
      <c r="C2" s="266"/>
      <c r="D2" s="266"/>
      <c r="E2" s="266"/>
      <c r="F2" s="308" t="s">
        <v>31</v>
      </c>
      <c r="G2" s="251" t="s">
        <v>32</v>
      </c>
      <c r="H2" s="251" t="s">
        <v>33</v>
      </c>
      <c r="I2" s="248" t="s">
        <v>34</v>
      </c>
      <c r="J2" s="250"/>
      <c r="K2" s="250" t="s">
        <v>35</v>
      </c>
      <c r="L2" s="250"/>
      <c r="M2" s="250"/>
      <c r="N2" s="250"/>
      <c r="O2" s="250"/>
      <c r="P2" s="250" t="s">
        <v>36</v>
      </c>
      <c r="Q2" s="250"/>
      <c r="R2" s="250"/>
      <c r="S2" s="250"/>
      <c r="T2" s="250"/>
      <c r="U2" s="250"/>
      <c r="V2" s="250" t="s">
        <v>36</v>
      </c>
      <c r="W2" s="250" t="s">
        <v>36</v>
      </c>
      <c r="X2" s="250" t="s">
        <v>36</v>
      </c>
      <c r="Y2" s="250" t="s">
        <v>36</v>
      </c>
      <c r="Z2" s="250" t="s">
        <v>36</v>
      </c>
      <c r="AA2" s="250" t="s">
        <v>36</v>
      </c>
      <c r="AB2" s="250" t="s">
        <v>36</v>
      </c>
      <c r="AC2" s="250"/>
      <c r="AD2" s="250"/>
    </row>
    <row r="3" spans="1:30" s="248" customFormat="1" hidden="1">
      <c r="A3" s="250"/>
      <c r="B3" s="278" t="s">
        <v>37</v>
      </c>
      <c r="C3" s="266"/>
      <c r="D3" s="266"/>
      <c r="E3" s="266"/>
      <c r="F3" s="308" t="s">
        <v>31</v>
      </c>
      <c r="G3" s="251" t="s">
        <v>32</v>
      </c>
      <c r="H3" s="251" t="s">
        <v>38</v>
      </c>
      <c r="I3" s="248" t="s">
        <v>34</v>
      </c>
      <c r="J3" s="250"/>
      <c r="K3" s="250"/>
      <c r="L3" s="250"/>
      <c r="M3" s="250"/>
      <c r="N3" s="250"/>
      <c r="O3" s="250"/>
      <c r="P3" s="250"/>
      <c r="Q3" s="250"/>
      <c r="R3" s="250"/>
      <c r="S3" s="250"/>
      <c r="T3" s="250"/>
      <c r="U3" s="250"/>
      <c r="V3" s="250"/>
      <c r="W3" s="250"/>
      <c r="X3" s="250"/>
      <c r="Y3" s="250"/>
      <c r="Z3" s="250"/>
      <c r="AA3" s="250"/>
      <c r="AB3" s="250"/>
      <c r="AC3" s="250"/>
      <c r="AD3" s="250"/>
    </row>
    <row r="4" spans="1:30" s="248" customFormat="1" hidden="1">
      <c r="A4" s="250"/>
      <c r="B4" s="278" t="s">
        <v>39</v>
      </c>
      <c r="C4" s="266"/>
      <c r="D4" s="266"/>
      <c r="E4" s="266"/>
      <c r="F4" s="308" t="s">
        <v>31</v>
      </c>
      <c r="G4" s="251"/>
      <c r="H4" s="251"/>
      <c r="J4" s="250"/>
      <c r="K4" s="250"/>
      <c r="L4" s="250"/>
      <c r="M4" s="250"/>
      <c r="N4" s="250"/>
      <c r="O4" s="250"/>
      <c r="P4" s="250"/>
      <c r="Q4" s="250"/>
      <c r="R4" s="250"/>
      <c r="S4" s="250"/>
      <c r="T4" s="250"/>
      <c r="U4" s="250"/>
      <c r="V4" s="250"/>
      <c r="W4" s="250"/>
      <c r="X4" s="250"/>
      <c r="Y4" s="250"/>
      <c r="Z4" s="250"/>
      <c r="AA4" s="250"/>
      <c r="AB4" s="250"/>
      <c r="AC4" s="250"/>
      <c r="AD4" s="250"/>
    </row>
    <row r="5" spans="1:30" s="248" customFormat="1" hidden="1">
      <c r="A5" s="250"/>
      <c r="B5" s="278" t="s">
        <v>40</v>
      </c>
      <c r="C5" s="266"/>
      <c r="D5" s="266"/>
      <c r="E5" s="266"/>
      <c r="F5" s="308" t="s">
        <v>41</v>
      </c>
      <c r="G5" s="251" t="s">
        <v>42</v>
      </c>
      <c r="H5" s="251" t="s">
        <v>43</v>
      </c>
      <c r="I5" s="248" t="s">
        <v>44</v>
      </c>
      <c r="J5" s="250"/>
      <c r="K5" s="250"/>
      <c r="L5" s="250"/>
      <c r="M5" s="250"/>
      <c r="N5" s="250"/>
      <c r="O5" s="250"/>
      <c r="P5" s="250"/>
      <c r="Q5" s="250"/>
      <c r="R5" s="250"/>
      <c r="S5" s="250"/>
      <c r="T5" s="250"/>
      <c r="U5" s="250"/>
      <c r="V5" s="250"/>
      <c r="W5" s="250"/>
      <c r="X5" s="250"/>
      <c r="Y5" s="250"/>
      <c r="Z5" s="250" t="s">
        <v>36</v>
      </c>
      <c r="AA5" s="250"/>
      <c r="AB5" s="250"/>
      <c r="AC5" s="250"/>
      <c r="AD5" s="250"/>
    </row>
    <row r="6" spans="1:30" s="248" customFormat="1" hidden="1">
      <c r="A6" s="250"/>
      <c r="B6" s="278" t="s">
        <v>45</v>
      </c>
      <c r="C6" s="266"/>
      <c r="D6" s="266"/>
      <c r="E6" s="266"/>
      <c r="F6" s="308" t="s">
        <v>41</v>
      </c>
      <c r="G6" s="251" t="s">
        <v>32</v>
      </c>
      <c r="H6" s="251" t="s">
        <v>33</v>
      </c>
      <c r="I6" s="248" t="s">
        <v>44</v>
      </c>
      <c r="J6" s="250"/>
      <c r="K6" s="250"/>
      <c r="L6" s="250"/>
      <c r="M6" s="250"/>
      <c r="N6" s="250"/>
      <c r="O6" s="250"/>
      <c r="P6" s="250"/>
      <c r="Q6" s="250"/>
      <c r="R6" s="250"/>
      <c r="S6" s="250"/>
      <c r="T6" s="250"/>
      <c r="U6" s="250"/>
      <c r="V6" s="250"/>
      <c r="W6" s="250" t="s">
        <v>36</v>
      </c>
      <c r="X6" s="250"/>
      <c r="Y6" s="250"/>
      <c r="Z6" s="250"/>
      <c r="AA6" s="250"/>
      <c r="AB6" s="250"/>
      <c r="AC6" s="250"/>
      <c r="AD6" s="250"/>
    </row>
    <row r="7" spans="1:30" s="248" customFormat="1" hidden="1">
      <c r="A7" s="250"/>
      <c r="B7" s="278" t="s">
        <v>46</v>
      </c>
      <c r="C7" s="266"/>
      <c r="D7" s="266"/>
      <c r="E7" s="266"/>
      <c r="F7" s="308" t="s">
        <v>41</v>
      </c>
      <c r="G7" s="251" t="s">
        <v>47</v>
      </c>
      <c r="H7" s="251" t="s">
        <v>43</v>
      </c>
      <c r="I7" s="248" t="s">
        <v>44</v>
      </c>
      <c r="J7" s="250"/>
      <c r="K7" s="250"/>
      <c r="L7" s="250"/>
      <c r="M7" s="250"/>
      <c r="N7" s="250"/>
      <c r="O7" s="250"/>
      <c r="P7" s="250"/>
      <c r="Q7" s="250"/>
      <c r="R7" s="250"/>
      <c r="S7" s="250"/>
      <c r="T7" s="250"/>
      <c r="U7" s="250"/>
      <c r="V7" s="250"/>
      <c r="W7" s="250"/>
      <c r="X7" s="250"/>
      <c r="Y7" s="250"/>
      <c r="Z7" s="250"/>
      <c r="AA7" s="250"/>
      <c r="AB7" s="250"/>
      <c r="AC7" s="250"/>
      <c r="AD7" s="250"/>
    </row>
    <row r="8" spans="1:30" s="248" customFormat="1" hidden="1">
      <c r="A8" s="250"/>
      <c r="B8" s="278" t="s">
        <v>48</v>
      </c>
      <c r="C8" s="266"/>
      <c r="D8" s="266"/>
      <c r="E8" s="266"/>
      <c r="F8" s="308" t="s">
        <v>41</v>
      </c>
      <c r="G8" s="251" t="s">
        <v>32</v>
      </c>
      <c r="H8" s="251" t="s">
        <v>38</v>
      </c>
      <c r="I8" s="248" t="s">
        <v>44</v>
      </c>
      <c r="J8" s="250" t="s">
        <v>36</v>
      </c>
      <c r="K8" s="250"/>
      <c r="L8" s="250"/>
      <c r="M8" s="250"/>
      <c r="N8" s="250"/>
      <c r="O8" s="250"/>
      <c r="P8" s="250"/>
      <c r="Q8" s="250"/>
      <c r="R8" s="250"/>
      <c r="S8" s="250"/>
      <c r="T8" s="250"/>
      <c r="U8" s="250"/>
      <c r="V8" s="250"/>
      <c r="W8" s="250"/>
      <c r="X8" s="250"/>
      <c r="Y8" s="250"/>
      <c r="Z8" s="250"/>
      <c r="AA8" s="250"/>
      <c r="AB8" s="250"/>
      <c r="AC8" s="250"/>
      <c r="AD8" s="250"/>
    </row>
    <row r="9" spans="1:30" s="248" customFormat="1" hidden="1">
      <c r="A9" s="250"/>
      <c r="B9" s="278" t="s">
        <v>49</v>
      </c>
      <c r="C9" s="266"/>
      <c r="D9" s="266"/>
      <c r="E9" s="266"/>
      <c r="F9" s="308" t="s">
        <v>50</v>
      </c>
      <c r="G9" s="251" t="s">
        <v>32</v>
      </c>
      <c r="H9" s="251" t="s">
        <v>38</v>
      </c>
      <c r="I9" s="248" t="s">
        <v>34</v>
      </c>
      <c r="J9" s="250" t="s">
        <v>36</v>
      </c>
      <c r="K9" s="250"/>
      <c r="L9" s="250"/>
      <c r="M9" s="250"/>
      <c r="N9" s="250"/>
      <c r="O9" s="250"/>
      <c r="P9" s="250"/>
      <c r="Q9" s="250"/>
      <c r="R9" s="250"/>
      <c r="S9" s="250"/>
      <c r="T9" s="250"/>
      <c r="U9" s="250"/>
      <c r="V9" s="250"/>
      <c r="W9" s="250"/>
      <c r="X9" s="250"/>
      <c r="Y9" s="250"/>
      <c r="Z9" s="250"/>
      <c r="AA9" s="250"/>
      <c r="AB9" s="250"/>
      <c r="AC9" s="250"/>
      <c r="AD9" s="250"/>
    </row>
    <row r="10" spans="1:30" s="248" customFormat="1" hidden="1">
      <c r="A10" s="250"/>
      <c r="B10" s="278" t="s">
        <v>51</v>
      </c>
      <c r="C10" s="266"/>
      <c r="D10" s="266"/>
      <c r="E10" s="266"/>
      <c r="F10" s="308" t="s">
        <v>52</v>
      </c>
      <c r="G10" s="251" t="s">
        <v>32</v>
      </c>
      <c r="H10" s="251"/>
      <c r="I10" s="248" t="s">
        <v>44</v>
      </c>
      <c r="J10" s="250"/>
      <c r="K10" s="250" t="s">
        <v>36</v>
      </c>
      <c r="L10" s="250"/>
      <c r="M10" s="250"/>
      <c r="N10" s="250"/>
      <c r="O10" s="250"/>
      <c r="P10" s="250"/>
      <c r="Q10" s="250"/>
      <c r="R10" s="250"/>
      <c r="S10" s="250"/>
      <c r="T10" s="250"/>
      <c r="U10" s="250"/>
      <c r="V10" s="250"/>
      <c r="W10" s="250"/>
      <c r="X10" s="250"/>
      <c r="Y10" s="250"/>
      <c r="Z10" s="250"/>
      <c r="AA10" s="250"/>
      <c r="AB10" s="250"/>
      <c r="AC10" s="250"/>
      <c r="AD10" s="250"/>
    </row>
    <row r="11" spans="1:30" hidden="1">
      <c r="B11" s="278" t="s">
        <v>53</v>
      </c>
      <c r="C11" s="266"/>
      <c r="D11" s="266"/>
      <c r="E11" s="266"/>
      <c r="F11" s="308" t="s">
        <v>50</v>
      </c>
      <c r="G11" s="251" t="s">
        <v>32</v>
      </c>
      <c r="H11" t="s">
        <v>54</v>
      </c>
      <c r="I11" s="248" t="s">
        <v>34</v>
      </c>
      <c r="J11" s="238" t="s">
        <v>36</v>
      </c>
    </row>
    <row r="12" spans="1:30" s="248" customFormat="1" hidden="1">
      <c r="A12" s="250"/>
      <c r="B12" s="278" t="s">
        <v>55</v>
      </c>
      <c r="C12" s="266"/>
      <c r="D12" s="266"/>
      <c r="E12" s="266"/>
      <c r="F12" s="308" t="s">
        <v>56</v>
      </c>
      <c r="G12" s="251" t="s">
        <v>32</v>
      </c>
      <c r="H12" s="251"/>
      <c r="I12" s="248" t="s">
        <v>44</v>
      </c>
      <c r="J12" s="250"/>
      <c r="K12" s="250"/>
      <c r="L12" s="250"/>
      <c r="M12" s="250"/>
      <c r="N12" s="250"/>
      <c r="O12" s="250"/>
      <c r="P12" s="250"/>
      <c r="Q12" s="250"/>
      <c r="R12" s="250"/>
      <c r="S12" s="250"/>
      <c r="T12" s="250"/>
      <c r="U12" s="250"/>
      <c r="V12" s="250"/>
      <c r="W12" s="250"/>
      <c r="X12" s="250"/>
      <c r="Y12" s="250"/>
      <c r="Z12" s="250"/>
      <c r="AA12" s="250"/>
      <c r="AB12" s="250"/>
      <c r="AC12" s="250"/>
      <c r="AD12" s="250"/>
    </row>
    <row r="13" spans="1:30" s="248" customFormat="1" hidden="1">
      <c r="A13" s="250"/>
      <c r="B13" s="278" t="s">
        <v>57</v>
      </c>
      <c r="C13" s="266"/>
      <c r="D13" s="266"/>
      <c r="E13" s="266"/>
      <c r="F13" s="308" t="s">
        <v>56</v>
      </c>
      <c r="G13" s="251" t="s">
        <v>32</v>
      </c>
      <c r="H13" s="251"/>
      <c r="I13" s="248" t="s">
        <v>44</v>
      </c>
      <c r="J13" s="250"/>
      <c r="K13" s="250"/>
      <c r="L13" s="250"/>
      <c r="M13" s="250"/>
      <c r="N13" s="250"/>
      <c r="O13" s="250"/>
      <c r="P13" s="250"/>
      <c r="Q13" s="250"/>
      <c r="R13" s="250"/>
      <c r="S13" s="250"/>
      <c r="T13" s="250"/>
      <c r="U13" s="250"/>
      <c r="V13" s="250"/>
      <c r="W13" s="250"/>
      <c r="X13" s="250"/>
      <c r="Y13" s="250"/>
      <c r="Z13" s="250"/>
      <c r="AA13" s="250"/>
      <c r="AB13" s="250"/>
      <c r="AC13" s="250"/>
      <c r="AD13" s="250"/>
    </row>
    <row r="14" spans="1:30" s="248" customFormat="1" hidden="1">
      <c r="A14" s="250"/>
      <c r="B14" s="278" t="s">
        <v>58</v>
      </c>
      <c r="C14" s="266"/>
      <c r="D14" s="266"/>
      <c r="E14" s="266"/>
      <c r="F14" s="308" t="s">
        <v>56</v>
      </c>
      <c r="G14" s="251" t="s">
        <v>59</v>
      </c>
      <c r="H14" s="251"/>
      <c r="I14" s="248" t="s">
        <v>44</v>
      </c>
      <c r="J14" s="250"/>
      <c r="K14" s="250"/>
      <c r="L14" s="250"/>
      <c r="M14" s="250"/>
      <c r="N14" s="250"/>
      <c r="O14" s="250"/>
      <c r="P14" s="250"/>
      <c r="Q14" s="250"/>
      <c r="R14" s="250"/>
      <c r="S14" s="250"/>
      <c r="T14" s="250"/>
      <c r="U14" s="250"/>
      <c r="V14" s="250"/>
      <c r="W14" s="250"/>
      <c r="X14" s="250"/>
      <c r="Y14" s="250"/>
      <c r="Z14" s="250"/>
      <c r="AA14" s="250"/>
      <c r="AB14" s="250"/>
      <c r="AC14" s="250"/>
      <c r="AD14" s="250"/>
    </row>
    <row r="15" spans="1:30" s="248" customFormat="1" hidden="1">
      <c r="A15" s="250"/>
      <c r="B15" s="278" t="s">
        <v>60</v>
      </c>
      <c r="C15" s="266"/>
      <c r="D15" s="266"/>
      <c r="E15" s="266"/>
      <c r="F15" s="308" t="s">
        <v>56</v>
      </c>
      <c r="G15" s="251" t="s">
        <v>32</v>
      </c>
      <c r="H15" s="251"/>
      <c r="J15" s="250"/>
      <c r="K15" s="250"/>
      <c r="L15" s="250"/>
      <c r="M15" s="250"/>
      <c r="N15" s="250"/>
      <c r="O15" s="250"/>
      <c r="P15" s="250"/>
      <c r="Q15" s="250"/>
      <c r="R15" s="250"/>
      <c r="S15" s="250"/>
      <c r="T15" s="250"/>
      <c r="U15" s="250"/>
      <c r="V15" s="250"/>
      <c r="W15" s="250"/>
      <c r="X15" s="250"/>
      <c r="Y15" s="250"/>
      <c r="Z15" s="250"/>
      <c r="AA15" s="250"/>
      <c r="AB15" s="250"/>
      <c r="AC15" s="250"/>
      <c r="AD15" s="250"/>
    </row>
    <row r="16" spans="1:30" s="248" customFormat="1" hidden="1">
      <c r="A16" s="250"/>
      <c r="B16" s="278" t="s">
        <v>61</v>
      </c>
      <c r="C16" s="266"/>
      <c r="D16" s="266"/>
      <c r="E16" s="266"/>
      <c r="F16" s="308" t="s">
        <v>56</v>
      </c>
      <c r="G16" s="251" t="s">
        <v>32</v>
      </c>
      <c r="H16" s="251"/>
      <c r="I16" s="248" t="s">
        <v>44</v>
      </c>
      <c r="J16" s="250"/>
      <c r="K16" s="250"/>
      <c r="L16" s="250"/>
      <c r="M16" s="250"/>
      <c r="N16" s="250"/>
      <c r="O16" s="250"/>
      <c r="P16" s="250"/>
      <c r="Q16" s="250"/>
      <c r="R16" s="250"/>
      <c r="S16" s="250"/>
      <c r="T16" s="250"/>
      <c r="U16" s="250"/>
      <c r="V16" s="250"/>
      <c r="W16" s="250"/>
      <c r="X16" s="250"/>
      <c r="Y16" s="250"/>
      <c r="Z16" s="250"/>
      <c r="AA16" s="250"/>
      <c r="AB16" s="250"/>
      <c r="AC16" s="250"/>
      <c r="AD16" s="250"/>
    </row>
    <row r="17" spans="1:30" s="248" customFormat="1" hidden="1">
      <c r="A17" s="250"/>
      <c r="B17" s="278" t="s">
        <v>62</v>
      </c>
      <c r="C17" s="266">
        <v>45741</v>
      </c>
      <c r="D17" s="266"/>
      <c r="E17" s="266"/>
      <c r="F17" s="261" t="s">
        <v>63</v>
      </c>
      <c r="G17" s="248" t="s">
        <v>47</v>
      </c>
      <c r="H17" s="251"/>
      <c r="I17" s="248" t="s">
        <v>44</v>
      </c>
      <c r="J17" s="250" t="s">
        <v>36</v>
      </c>
      <c r="K17" s="250"/>
      <c r="L17" s="250" t="s">
        <v>35</v>
      </c>
      <c r="M17" s="250"/>
      <c r="N17" s="250"/>
      <c r="O17" s="250"/>
      <c r="P17" s="250"/>
      <c r="Q17" s="250"/>
      <c r="R17" s="250"/>
      <c r="S17" s="250"/>
      <c r="T17" s="250"/>
      <c r="U17" s="250"/>
      <c r="V17" s="250"/>
      <c r="W17" s="250"/>
      <c r="X17" s="250"/>
      <c r="Y17" s="250"/>
      <c r="Z17" s="250"/>
      <c r="AA17" s="250"/>
      <c r="AB17" s="250"/>
      <c r="AC17" s="250"/>
      <c r="AD17" s="250"/>
    </row>
    <row r="18" spans="1:30" s="248" customFormat="1" hidden="1">
      <c r="A18" s="250"/>
      <c r="B18" s="278" t="s">
        <v>64</v>
      </c>
      <c r="C18" s="266">
        <v>45741</v>
      </c>
      <c r="D18" s="266"/>
      <c r="E18" s="266"/>
      <c r="F18" s="261" t="s">
        <v>65</v>
      </c>
      <c r="G18" s="248" t="s">
        <v>32</v>
      </c>
      <c r="H18" s="248" t="s">
        <v>66</v>
      </c>
      <c r="I18" s="248" t="s">
        <v>44</v>
      </c>
      <c r="J18" s="250" t="s">
        <v>36</v>
      </c>
      <c r="K18" s="250" t="s">
        <v>35</v>
      </c>
      <c r="L18" s="250"/>
      <c r="M18" s="250"/>
      <c r="N18" s="250"/>
      <c r="O18" s="250"/>
      <c r="P18" s="250"/>
      <c r="Q18" s="250"/>
      <c r="R18" s="250"/>
      <c r="S18" s="250"/>
      <c r="T18" s="250"/>
      <c r="U18" s="250"/>
      <c r="V18" s="250"/>
      <c r="W18" s="250"/>
      <c r="X18" s="250"/>
      <c r="Y18" s="250"/>
      <c r="Z18" s="250"/>
      <c r="AA18" s="250"/>
      <c r="AB18" s="250"/>
      <c r="AC18" s="250"/>
      <c r="AD18" s="250"/>
    </row>
    <row r="19" spans="1:30" s="248" customFormat="1" hidden="1">
      <c r="A19" s="250"/>
      <c r="B19" s="278" t="s">
        <v>67</v>
      </c>
      <c r="C19" s="266">
        <v>45743</v>
      </c>
      <c r="D19" s="266"/>
      <c r="E19" s="266"/>
      <c r="F19" s="261" t="s">
        <v>68</v>
      </c>
      <c r="G19" s="248" t="s">
        <v>69</v>
      </c>
      <c r="H19" s="248" t="s">
        <v>38</v>
      </c>
      <c r="J19" s="250"/>
      <c r="K19" s="250"/>
      <c r="L19" s="250"/>
      <c r="M19" s="250"/>
      <c r="N19" s="250"/>
      <c r="O19" s="250"/>
      <c r="P19" s="250"/>
      <c r="Q19" s="250"/>
      <c r="R19" s="250"/>
      <c r="S19" s="250"/>
      <c r="T19" s="250"/>
      <c r="U19" s="250"/>
      <c r="V19" s="250"/>
      <c r="W19" s="250"/>
      <c r="X19" s="250"/>
      <c r="Y19" s="250"/>
      <c r="Z19" s="250"/>
      <c r="AA19" s="250"/>
      <c r="AB19" s="250"/>
      <c r="AC19" s="250"/>
      <c r="AD19" s="250"/>
    </row>
    <row r="20" spans="1:30" s="248" customFormat="1" hidden="1">
      <c r="A20" s="250"/>
      <c r="B20" s="278" t="s">
        <v>70</v>
      </c>
      <c r="C20" s="266">
        <v>45747</v>
      </c>
      <c r="D20" s="266"/>
      <c r="E20" s="266"/>
      <c r="F20" s="261" t="s">
        <v>71</v>
      </c>
      <c r="G20" s="248" t="s">
        <v>69</v>
      </c>
      <c r="I20" s="248" t="s">
        <v>44</v>
      </c>
      <c r="J20" s="250"/>
      <c r="K20" s="250"/>
      <c r="L20" s="250"/>
      <c r="M20" s="250"/>
      <c r="N20" s="250"/>
      <c r="O20" s="250"/>
      <c r="P20" s="250"/>
      <c r="Q20" s="250"/>
      <c r="R20" s="250"/>
      <c r="S20" s="250"/>
      <c r="T20" s="250"/>
      <c r="U20" s="250"/>
      <c r="V20" s="250"/>
      <c r="W20" s="250"/>
      <c r="X20" s="250"/>
      <c r="Y20" s="250"/>
      <c r="Z20" s="250"/>
      <c r="AA20" s="250"/>
      <c r="AB20" s="250"/>
      <c r="AC20" s="250"/>
      <c r="AD20" s="250"/>
    </row>
    <row r="21" spans="1:30" s="248" customFormat="1" hidden="1">
      <c r="A21" s="250"/>
      <c r="B21" s="290" t="s">
        <v>72</v>
      </c>
      <c r="C21" s="266"/>
      <c r="D21" s="266"/>
      <c r="E21" s="266"/>
      <c r="F21" s="261" t="s">
        <v>73</v>
      </c>
      <c r="G21" s="248" t="s">
        <v>74</v>
      </c>
      <c r="H21" s="248" t="s">
        <v>66</v>
      </c>
      <c r="I21" s="248" t="s">
        <v>34</v>
      </c>
      <c r="J21" s="250"/>
      <c r="K21" s="250" t="s">
        <v>35</v>
      </c>
      <c r="L21" s="250" t="s">
        <v>35</v>
      </c>
      <c r="M21" s="250" t="s">
        <v>36</v>
      </c>
      <c r="N21" s="250" t="s">
        <v>35</v>
      </c>
      <c r="O21" s="250"/>
      <c r="P21" s="250"/>
      <c r="Q21" s="250"/>
      <c r="R21" s="250"/>
      <c r="S21" s="250"/>
      <c r="T21" s="250"/>
      <c r="U21" s="250"/>
      <c r="V21" s="250"/>
      <c r="W21" s="250"/>
      <c r="X21" s="250"/>
      <c r="Y21" s="250"/>
      <c r="Z21" s="250"/>
      <c r="AA21" s="250"/>
      <c r="AB21" s="250"/>
      <c r="AC21" s="250"/>
      <c r="AD21" s="250"/>
    </row>
    <row r="22" spans="1:30" s="248" customFormat="1" hidden="1">
      <c r="A22" s="250"/>
      <c r="B22" s="278" t="s">
        <v>75</v>
      </c>
      <c r="C22" s="266"/>
      <c r="D22" s="266"/>
      <c r="E22" s="266"/>
      <c r="F22" s="261" t="s">
        <v>76</v>
      </c>
      <c r="G22" s="248" t="s">
        <v>32</v>
      </c>
      <c r="H22" s="248" t="s">
        <v>43</v>
      </c>
      <c r="I22" s="248" t="s">
        <v>34</v>
      </c>
      <c r="J22" s="250"/>
      <c r="K22" s="250"/>
      <c r="L22" s="250"/>
      <c r="M22" s="250"/>
      <c r="N22" s="250"/>
      <c r="O22" s="250"/>
      <c r="P22" s="250" t="s">
        <v>35</v>
      </c>
      <c r="Q22" s="250"/>
      <c r="R22" s="250"/>
      <c r="S22" s="250"/>
      <c r="T22" s="250" t="s">
        <v>36</v>
      </c>
      <c r="U22" s="250" t="s">
        <v>35</v>
      </c>
      <c r="V22" s="250"/>
      <c r="W22" s="250"/>
      <c r="X22" s="250"/>
      <c r="Y22" s="250"/>
      <c r="Z22" s="250"/>
      <c r="AA22" s="250"/>
      <c r="AB22" s="250"/>
      <c r="AC22" s="250"/>
      <c r="AD22" s="250"/>
    </row>
    <row r="23" spans="1:30" s="248" customFormat="1" ht="26.25" hidden="1" customHeight="1">
      <c r="A23" s="250"/>
      <c r="B23" s="290" t="s">
        <v>77</v>
      </c>
      <c r="C23" s="266"/>
      <c r="D23" s="266"/>
      <c r="E23" s="266"/>
      <c r="F23" s="261" t="s">
        <v>78</v>
      </c>
      <c r="G23" s="248" t="s">
        <v>74</v>
      </c>
      <c r="H23" s="248" t="s">
        <v>66</v>
      </c>
      <c r="I23" s="248" t="s">
        <v>34</v>
      </c>
      <c r="J23" s="250" t="s">
        <v>36</v>
      </c>
      <c r="K23" s="250" t="s">
        <v>35</v>
      </c>
      <c r="L23" s="250"/>
      <c r="M23" s="250"/>
      <c r="N23" s="250"/>
      <c r="O23" s="250"/>
      <c r="P23" s="250" t="s">
        <v>35</v>
      </c>
      <c r="Q23" s="250"/>
      <c r="R23" s="250"/>
      <c r="S23" s="250"/>
      <c r="T23" s="250"/>
      <c r="U23" s="250"/>
      <c r="V23" s="250" t="s">
        <v>35</v>
      </c>
      <c r="W23" s="250" t="s">
        <v>35</v>
      </c>
      <c r="X23" s="250" t="s">
        <v>35</v>
      </c>
      <c r="Y23" s="250" t="s">
        <v>35</v>
      </c>
      <c r="Z23" s="250" t="s">
        <v>35</v>
      </c>
      <c r="AA23" s="250" t="s">
        <v>35</v>
      </c>
      <c r="AB23" s="250" t="s">
        <v>35</v>
      </c>
      <c r="AC23" s="250"/>
      <c r="AD23" s="250"/>
    </row>
    <row r="24" spans="1:30" s="248" customFormat="1" hidden="1">
      <c r="A24" s="250"/>
      <c r="B24" s="278" t="s">
        <v>79</v>
      </c>
      <c r="C24" s="266"/>
      <c r="D24" s="266"/>
      <c r="E24" s="266"/>
      <c r="F24" s="261"/>
      <c r="G24" s="248" t="s">
        <v>69</v>
      </c>
      <c r="I24" s="248" t="s">
        <v>80</v>
      </c>
      <c r="J24" s="250"/>
      <c r="K24" s="250" t="s">
        <v>35</v>
      </c>
      <c r="L24" s="250" t="s">
        <v>36</v>
      </c>
      <c r="M24" s="250" t="s">
        <v>35</v>
      </c>
      <c r="N24" s="250"/>
      <c r="O24" s="250"/>
      <c r="P24" s="250"/>
      <c r="Q24" s="250"/>
      <c r="R24" s="250"/>
      <c r="S24" s="250"/>
      <c r="T24" s="250"/>
      <c r="U24" s="250"/>
      <c r="V24" s="250"/>
      <c r="W24" s="250"/>
      <c r="X24" s="250"/>
      <c r="Y24" s="250"/>
      <c r="Z24" s="250"/>
      <c r="AA24" s="250"/>
      <c r="AB24" s="250"/>
      <c r="AC24" s="250"/>
      <c r="AD24" s="250"/>
    </row>
    <row r="25" spans="1:30" s="248" customFormat="1" hidden="1">
      <c r="A25" s="250"/>
      <c r="B25" s="278" t="s">
        <v>81</v>
      </c>
      <c r="C25" s="266"/>
      <c r="D25" s="266"/>
      <c r="E25" s="266"/>
      <c r="F25" s="261"/>
      <c r="I25" s="248" t="s">
        <v>80</v>
      </c>
      <c r="J25" s="250"/>
      <c r="K25" s="250"/>
      <c r="L25" s="250"/>
      <c r="M25" s="250" t="s">
        <v>36</v>
      </c>
      <c r="N25" s="250"/>
      <c r="O25" s="250"/>
      <c r="P25" s="250"/>
      <c r="Q25" s="250"/>
      <c r="R25" s="250"/>
      <c r="S25" s="250"/>
      <c r="T25" s="250"/>
      <c r="U25" s="250"/>
      <c r="V25" s="250"/>
      <c r="W25" s="250"/>
      <c r="X25" s="250"/>
      <c r="Y25" s="250"/>
      <c r="Z25" s="250"/>
      <c r="AA25" s="250"/>
      <c r="AB25" s="250"/>
      <c r="AC25" s="250"/>
      <c r="AD25" s="250"/>
    </row>
    <row r="26" spans="1:30" s="248" customFormat="1" hidden="1">
      <c r="A26" s="250"/>
      <c r="B26" s="278" t="s">
        <v>82</v>
      </c>
      <c r="C26" s="266"/>
      <c r="D26" s="266"/>
      <c r="E26" s="266"/>
      <c r="F26" s="261" t="s">
        <v>83</v>
      </c>
      <c r="G26" s="248" t="s">
        <v>69</v>
      </c>
      <c r="H26" s="248" t="s">
        <v>38</v>
      </c>
      <c r="I26" s="248" t="s">
        <v>34</v>
      </c>
      <c r="J26" s="250" t="s">
        <v>36</v>
      </c>
      <c r="K26" s="250" t="s">
        <v>35</v>
      </c>
      <c r="L26" s="250" t="s">
        <v>35</v>
      </c>
      <c r="M26" s="250"/>
      <c r="N26" s="250"/>
      <c r="O26" s="250"/>
      <c r="P26" s="250"/>
      <c r="Q26" s="250"/>
      <c r="R26" s="250"/>
      <c r="S26" s="250"/>
      <c r="T26" s="250"/>
      <c r="U26" s="250"/>
      <c r="V26" s="250"/>
      <c r="W26" s="250"/>
      <c r="X26" s="250"/>
      <c r="Y26" s="250"/>
      <c r="Z26" s="250"/>
      <c r="AA26" s="250"/>
      <c r="AB26" s="250"/>
      <c r="AC26" s="250"/>
      <c r="AD26" s="250"/>
    </row>
    <row r="27" spans="1:30" s="248" customFormat="1" hidden="1">
      <c r="A27" s="250"/>
      <c r="B27" s="291" t="s">
        <v>84</v>
      </c>
      <c r="C27" s="266">
        <v>45757</v>
      </c>
      <c r="D27" s="266"/>
      <c r="E27" s="266" t="s">
        <v>85</v>
      </c>
      <c r="F27" s="261" t="s">
        <v>86</v>
      </c>
      <c r="H27" s="278"/>
      <c r="J27" s="250"/>
      <c r="K27" s="250"/>
      <c r="L27" s="250"/>
      <c r="M27" s="250"/>
      <c r="N27" s="250"/>
      <c r="O27" s="250"/>
      <c r="P27" s="250"/>
      <c r="Q27" s="250"/>
      <c r="R27" s="250"/>
      <c r="S27" s="250"/>
      <c r="T27" s="250"/>
      <c r="U27" s="250"/>
      <c r="V27" s="250"/>
      <c r="W27" s="250"/>
      <c r="X27" s="250"/>
      <c r="Y27" s="250"/>
      <c r="Z27" s="250"/>
      <c r="AA27" s="250"/>
      <c r="AB27" s="250"/>
      <c r="AC27" s="250"/>
      <c r="AD27" s="250"/>
    </row>
    <row r="28" spans="1:30" s="248" customFormat="1" hidden="1">
      <c r="A28" s="250"/>
      <c r="B28" s="290" t="s">
        <v>87</v>
      </c>
      <c r="C28" s="266"/>
      <c r="D28" s="266"/>
      <c r="E28" s="266" t="s">
        <v>85</v>
      </c>
      <c r="F28" s="261" t="s">
        <v>85</v>
      </c>
      <c r="G28" s="248" t="s">
        <v>32</v>
      </c>
      <c r="H28" s="248" t="s">
        <v>66</v>
      </c>
      <c r="I28" s="248" t="s">
        <v>34</v>
      </c>
      <c r="J28" s="250"/>
      <c r="K28" s="250"/>
      <c r="L28" s="250" t="s">
        <v>88</v>
      </c>
      <c r="M28" s="250" t="s">
        <v>88</v>
      </c>
      <c r="N28" s="250" t="s">
        <v>89</v>
      </c>
      <c r="O28" s="250"/>
      <c r="P28" s="250"/>
      <c r="Q28" s="250"/>
      <c r="R28" s="250"/>
      <c r="S28" s="250"/>
      <c r="T28" s="250"/>
      <c r="U28" s="250"/>
      <c r="V28" s="250"/>
      <c r="W28" s="250"/>
      <c r="X28" s="250"/>
      <c r="Y28" s="250"/>
      <c r="Z28" s="250"/>
      <c r="AA28" s="250"/>
      <c r="AB28" s="250"/>
      <c r="AC28" s="250"/>
      <c r="AD28" s="250"/>
    </row>
    <row r="29" spans="1:30" s="248" customFormat="1" hidden="1">
      <c r="A29" s="250"/>
      <c r="B29" s="291" t="s">
        <v>90</v>
      </c>
      <c r="C29" s="266">
        <v>45757</v>
      </c>
      <c r="D29" s="266"/>
      <c r="E29" s="266" t="s">
        <v>85</v>
      </c>
      <c r="F29" s="261" t="s">
        <v>91</v>
      </c>
      <c r="G29" s="248" t="s">
        <v>74</v>
      </c>
      <c r="H29" s="278" t="s">
        <v>43</v>
      </c>
      <c r="I29" s="248" t="s">
        <v>44</v>
      </c>
      <c r="J29" s="250"/>
      <c r="K29" s="250"/>
      <c r="L29" s="250"/>
      <c r="M29" s="250"/>
      <c r="N29" s="250"/>
      <c r="O29" s="250"/>
      <c r="P29" s="250"/>
      <c r="Q29" s="250"/>
      <c r="R29" s="250"/>
      <c r="S29" s="250"/>
      <c r="T29" s="250"/>
      <c r="U29" s="250"/>
      <c r="V29" s="250"/>
      <c r="W29" s="250"/>
      <c r="X29" s="250"/>
      <c r="Y29" s="250"/>
      <c r="Z29" s="250"/>
      <c r="AA29" s="250"/>
      <c r="AB29" s="250"/>
      <c r="AC29" s="250"/>
      <c r="AD29" s="250"/>
    </row>
    <row r="30" spans="1:30" s="248" customFormat="1" hidden="1">
      <c r="A30" s="250"/>
      <c r="B30" s="278" t="s">
        <v>92</v>
      </c>
      <c r="C30" s="266"/>
      <c r="D30" s="266"/>
      <c r="E30" s="266" t="s">
        <v>85</v>
      </c>
      <c r="F30" s="261" t="s">
        <v>85</v>
      </c>
      <c r="G30" s="248" t="s">
        <v>69</v>
      </c>
      <c r="I30" s="248" t="s">
        <v>34</v>
      </c>
      <c r="J30" s="250" t="s">
        <v>88</v>
      </c>
      <c r="K30" s="250"/>
      <c r="L30" s="250"/>
      <c r="M30" s="250"/>
      <c r="N30" s="250"/>
      <c r="O30" s="250"/>
      <c r="P30" s="250"/>
      <c r="Q30" s="250"/>
      <c r="R30" s="250"/>
      <c r="S30" s="250"/>
      <c r="T30" s="250"/>
      <c r="U30" s="250"/>
      <c r="V30" s="250" t="s">
        <v>89</v>
      </c>
      <c r="W30" s="250"/>
      <c r="X30" s="250"/>
      <c r="Y30" s="250"/>
      <c r="Z30" s="250"/>
      <c r="AA30" s="250"/>
      <c r="AB30" s="250"/>
      <c r="AC30" s="250"/>
      <c r="AD30" s="250"/>
    </row>
    <row r="31" spans="1:30" s="248" customFormat="1" hidden="1">
      <c r="A31" s="250"/>
      <c r="B31" s="278" t="s">
        <v>93</v>
      </c>
      <c r="C31" s="266"/>
      <c r="D31" s="266"/>
      <c r="E31" s="266" t="s">
        <v>85</v>
      </c>
      <c r="F31" s="261" t="s">
        <v>94</v>
      </c>
      <c r="G31" s="248" t="s">
        <v>95</v>
      </c>
      <c r="H31" s="248" t="s">
        <v>96</v>
      </c>
      <c r="J31" s="250"/>
      <c r="K31" s="250" t="s">
        <v>89</v>
      </c>
      <c r="L31" s="250"/>
      <c r="M31" s="250"/>
      <c r="N31" s="250"/>
      <c r="O31" s="250"/>
      <c r="P31" s="250"/>
      <c r="Q31" s="250"/>
      <c r="R31" s="250"/>
      <c r="S31" s="250"/>
      <c r="T31" s="250"/>
      <c r="U31" s="250"/>
      <c r="V31" s="250"/>
      <c r="W31" s="250"/>
      <c r="X31" s="250"/>
      <c r="Y31" s="250"/>
      <c r="Z31" s="250"/>
      <c r="AA31" s="250"/>
      <c r="AB31" s="250"/>
      <c r="AC31" s="250"/>
      <c r="AD31" s="250"/>
    </row>
    <row r="32" spans="1:30" s="248" customFormat="1" ht="23.25" hidden="1">
      <c r="A32" s="250">
        <v>1</v>
      </c>
      <c r="B32" s="291" t="s">
        <v>97</v>
      </c>
      <c r="C32" s="266">
        <v>45767</v>
      </c>
      <c r="D32" s="266">
        <v>45790</v>
      </c>
      <c r="E32" s="266" t="s">
        <v>85</v>
      </c>
      <c r="F32" s="261" t="s">
        <v>98</v>
      </c>
      <c r="G32" s="248" t="s">
        <v>95</v>
      </c>
      <c r="H32" s="278" t="s">
        <v>96</v>
      </c>
      <c r="I32" s="248" t="s">
        <v>80</v>
      </c>
      <c r="J32" s="250"/>
      <c r="K32" s="250"/>
      <c r="L32" s="250"/>
      <c r="M32" s="250"/>
      <c r="N32" s="250"/>
      <c r="O32" s="250"/>
      <c r="P32" s="250"/>
      <c r="Q32" s="250"/>
      <c r="R32" s="250"/>
      <c r="S32" s="250"/>
      <c r="T32" s="250"/>
      <c r="U32" s="250"/>
      <c r="V32" s="250"/>
      <c r="W32" s="250"/>
      <c r="X32" s="250"/>
      <c r="Y32" s="250"/>
      <c r="Z32" s="250"/>
      <c r="AA32" s="250"/>
      <c r="AB32" s="250"/>
      <c r="AC32" s="250"/>
      <c r="AD32" s="250"/>
    </row>
    <row r="33" spans="1:30" s="248" customFormat="1" hidden="1">
      <c r="A33" s="250">
        <v>17</v>
      </c>
      <c r="B33" s="278" t="s">
        <v>99</v>
      </c>
      <c r="C33" s="266"/>
      <c r="D33" s="266"/>
      <c r="E33" s="266" t="s">
        <v>85</v>
      </c>
      <c r="F33" s="261" t="s">
        <v>100</v>
      </c>
      <c r="G33" s="248" t="s">
        <v>69</v>
      </c>
      <c r="I33" s="248" t="s">
        <v>34</v>
      </c>
      <c r="J33" s="250" t="s">
        <v>88</v>
      </c>
      <c r="K33" s="250"/>
      <c r="L33" s="250"/>
      <c r="M33" s="250"/>
      <c r="N33" s="250"/>
      <c r="O33" s="250"/>
      <c r="P33" s="250"/>
      <c r="Q33" s="250"/>
      <c r="R33" s="250"/>
      <c r="S33" s="250"/>
      <c r="T33" s="250"/>
      <c r="U33" s="250"/>
      <c r="V33" s="250"/>
      <c r="W33" s="250"/>
      <c r="X33" s="250"/>
      <c r="Y33" s="250"/>
      <c r="Z33" s="250"/>
      <c r="AA33" s="250"/>
      <c r="AB33" s="250"/>
      <c r="AC33" s="250"/>
      <c r="AD33" s="250"/>
    </row>
    <row r="34" spans="1:30" s="248" customFormat="1" hidden="1">
      <c r="A34" s="250">
        <v>2</v>
      </c>
      <c r="B34" s="278" t="s">
        <v>101</v>
      </c>
      <c r="C34" s="266">
        <v>45772</v>
      </c>
      <c r="D34" s="266">
        <v>45790</v>
      </c>
      <c r="E34" s="266" t="s">
        <v>85</v>
      </c>
      <c r="F34" s="286" t="s">
        <v>102</v>
      </c>
      <c r="J34" s="250"/>
      <c r="K34" s="250" t="s">
        <v>88</v>
      </c>
      <c r="L34" s="250" t="s">
        <v>88</v>
      </c>
      <c r="M34" s="250" t="s">
        <v>88</v>
      </c>
      <c r="N34" s="250"/>
      <c r="O34" s="250"/>
      <c r="P34" s="250" t="s">
        <v>89</v>
      </c>
      <c r="Q34" s="250"/>
      <c r="R34" s="250"/>
      <c r="S34" s="250"/>
      <c r="T34" s="250"/>
      <c r="U34" s="250"/>
      <c r="V34" s="250"/>
      <c r="W34" s="250"/>
      <c r="X34" s="250"/>
      <c r="Y34" s="250"/>
      <c r="Z34" s="250"/>
      <c r="AA34" s="250"/>
      <c r="AB34" s="250"/>
      <c r="AC34" s="250"/>
      <c r="AD34" s="250"/>
    </row>
    <row r="35" spans="1:30" s="248" customFormat="1" hidden="1">
      <c r="A35" s="250">
        <v>3</v>
      </c>
      <c r="B35" s="291" t="s">
        <v>103</v>
      </c>
      <c r="C35" s="266">
        <v>45750</v>
      </c>
      <c r="D35" s="266">
        <v>45790</v>
      </c>
      <c r="E35" s="266" t="s">
        <v>85</v>
      </c>
      <c r="F35" s="286" t="s">
        <v>102</v>
      </c>
      <c r="G35" s="248" t="s">
        <v>104</v>
      </c>
      <c r="H35" s="278" t="s">
        <v>43</v>
      </c>
      <c r="I35" s="248" t="s">
        <v>44</v>
      </c>
      <c r="J35" s="250"/>
      <c r="K35" s="250" t="s">
        <v>88</v>
      </c>
      <c r="L35" s="250"/>
      <c r="M35" s="250"/>
      <c r="N35" s="250"/>
      <c r="O35" s="250"/>
      <c r="P35" s="250"/>
      <c r="Q35" s="250"/>
      <c r="R35" s="250"/>
      <c r="S35" s="250"/>
      <c r="T35" s="250"/>
      <c r="U35" s="250"/>
      <c r="V35" s="250"/>
      <c r="W35" s="250"/>
      <c r="X35" s="250"/>
      <c r="Y35" s="250"/>
      <c r="Z35" s="250"/>
      <c r="AA35" s="250"/>
      <c r="AB35" s="250"/>
      <c r="AC35" s="250"/>
      <c r="AD35" s="250"/>
    </row>
    <row r="36" spans="1:30" s="248" customFormat="1" hidden="1">
      <c r="A36" s="250">
        <v>4</v>
      </c>
      <c r="B36" s="291" t="s">
        <v>105</v>
      </c>
      <c r="C36" s="266">
        <v>45764</v>
      </c>
      <c r="D36" s="266">
        <v>45790</v>
      </c>
      <c r="E36" s="266" t="s">
        <v>85</v>
      </c>
      <c r="F36" s="286" t="s">
        <v>102</v>
      </c>
      <c r="G36" s="248" t="s">
        <v>104</v>
      </c>
      <c r="H36" s="278" t="s">
        <v>43</v>
      </c>
      <c r="I36" s="248" t="s">
        <v>44</v>
      </c>
      <c r="J36" s="250"/>
      <c r="K36" s="250" t="s">
        <v>88</v>
      </c>
      <c r="L36" s="250"/>
      <c r="M36" s="250"/>
      <c r="N36" s="250"/>
      <c r="O36" s="250"/>
      <c r="P36" s="250"/>
      <c r="Q36" s="250"/>
      <c r="R36" s="250"/>
      <c r="S36" s="250"/>
      <c r="T36" s="250"/>
      <c r="U36" s="250"/>
      <c r="V36" s="250"/>
      <c r="W36" s="250"/>
      <c r="X36" s="250"/>
      <c r="Y36" s="250"/>
      <c r="Z36" s="250"/>
      <c r="AA36" s="250"/>
      <c r="AB36" s="250"/>
      <c r="AC36" s="250"/>
      <c r="AD36" s="250"/>
    </row>
    <row r="37" spans="1:30" s="248" customFormat="1" hidden="1">
      <c r="A37" s="250">
        <v>5</v>
      </c>
      <c r="B37" s="292" t="s">
        <v>106</v>
      </c>
      <c r="C37" s="266"/>
      <c r="D37" s="266">
        <v>45790</v>
      </c>
      <c r="E37" s="266" t="s">
        <v>85</v>
      </c>
      <c r="F37" s="286" t="s">
        <v>102</v>
      </c>
      <c r="G37" s="248" t="s">
        <v>47</v>
      </c>
      <c r="H37" s="248" t="s">
        <v>43</v>
      </c>
      <c r="I37" s="248" t="s">
        <v>34</v>
      </c>
      <c r="J37" s="250"/>
      <c r="K37" s="250" t="s">
        <v>88</v>
      </c>
      <c r="L37" s="250"/>
      <c r="M37" s="250"/>
      <c r="N37" s="250"/>
      <c r="O37" s="250"/>
      <c r="P37" s="250"/>
      <c r="Q37" s="250"/>
      <c r="R37" s="250"/>
      <c r="S37" s="250"/>
      <c r="T37" s="250"/>
      <c r="U37" s="250"/>
      <c r="V37" s="250"/>
      <c r="W37" s="250" t="s">
        <v>89</v>
      </c>
      <c r="X37" s="250"/>
      <c r="Y37" s="250"/>
      <c r="Z37" s="250"/>
      <c r="AA37" s="250"/>
      <c r="AB37" s="250"/>
      <c r="AC37" s="250"/>
      <c r="AD37" s="250"/>
    </row>
    <row r="38" spans="1:30" s="248" customFormat="1" hidden="1">
      <c r="A38" s="250">
        <v>6</v>
      </c>
      <c r="B38" s="278" t="s">
        <v>107</v>
      </c>
      <c r="C38" s="266"/>
      <c r="D38" s="266">
        <v>45790</v>
      </c>
      <c r="E38" s="266" t="s">
        <v>85</v>
      </c>
      <c r="F38" s="286" t="s">
        <v>102</v>
      </c>
      <c r="G38" s="248" t="s">
        <v>47</v>
      </c>
      <c r="H38" s="248" t="s">
        <v>43</v>
      </c>
      <c r="I38" s="248" t="s">
        <v>44</v>
      </c>
      <c r="J38" s="250"/>
      <c r="K38" s="250" t="s">
        <v>89</v>
      </c>
      <c r="L38" s="250" t="s">
        <v>89</v>
      </c>
      <c r="M38" s="250"/>
      <c r="N38" s="250"/>
      <c r="O38" s="250"/>
      <c r="P38" s="250"/>
      <c r="Q38" s="250"/>
      <c r="R38" s="250"/>
      <c r="S38" s="250"/>
      <c r="T38" s="250"/>
      <c r="U38" s="250"/>
      <c r="V38" s="250"/>
      <c r="W38" s="250"/>
      <c r="X38" s="250"/>
      <c r="Y38" s="250"/>
      <c r="Z38" s="250"/>
      <c r="AA38" s="250"/>
      <c r="AB38" s="250"/>
      <c r="AC38" s="250"/>
      <c r="AD38" s="250"/>
    </row>
    <row r="39" spans="1:30" s="248" customFormat="1" hidden="1">
      <c r="A39" s="250">
        <v>7</v>
      </c>
      <c r="B39" s="286" t="s">
        <v>108</v>
      </c>
      <c r="C39" s="266"/>
      <c r="D39" s="266">
        <v>45796</v>
      </c>
      <c r="E39" s="266" t="s">
        <v>85</v>
      </c>
      <c r="F39" s="261" t="s">
        <v>109</v>
      </c>
      <c r="G39" s="248" t="s">
        <v>95</v>
      </c>
      <c r="H39" s="248" t="s">
        <v>96</v>
      </c>
      <c r="I39" s="248" t="s">
        <v>34</v>
      </c>
      <c r="J39" s="250" t="s">
        <v>88</v>
      </c>
      <c r="K39" s="250" t="s">
        <v>89</v>
      </c>
      <c r="L39" s="250"/>
      <c r="M39" s="250"/>
      <c r="N39" s="250"/>
      <c r="O39" s="250"/>
      <c r="P39" s="250"/>
      <c r="Q39" s="250"/>
      <c r="R39" s="250"/>
      <c r="S39" s="250"/>
      <c r="T39" s="250"/>
      <c r="U39" s="250"/>
      <c r="V39" s="250"/>
      <c r="W39" s="250"/>
      <c r="X39" s="250"/>
      <c r="Y39" s="250"/>
      <c r="Z39" s="250"/>
      <c r="AA39" s="250"/>
      <c r="AB39" s="250"/>
      <c r="AC39" s="250"/>
      <c r="AD39" s="250"/>
    </row>
    <row r="40" spans="1:30" s="248" customFormat="1" hidden="1">
      <c r="A40" s="250">
        <v>4</v>
      </c>
      <c r="B40" s="291" t="s">
        <v>110</v>
      </c>
      <c r="C40" s="266">
        <v>45784</v>
      </c>
      <c r="D40" s="266">
        <v>45804</v>
      </c>
      <c r="E40" s="266" t="s">
        <v>85</v>
      </c>
      <c r="F40" s="261" t="s">
        <v>111</v>
      </c>
      <c r="H40" s="248" t="s">
        <v>38</v>
      </c>
      <c r="I40" s="248" t="s">
        <v>80</v>
      </c>
      <c r="J40" s="250"/>
      <c r="K40" s="250"/>
      <c r="L40" s="250"/>
      <c r="M40" s="250"/>
      <c r="N40" s="250"/>
      <c r="O40" s="250"/>
      <c r="P40" s="250"/>
      <c r="Q40" s="250"/>
      <c r="R40" s="250"/>
      <c r="S40" s="250"/>
      <c r="T40" s="250"/>
      <c r="U40" s="250"/>
      <c r="V40" s="250"/>
      <c r="W40" s="250"/>
      <c r="X40" s="250"/>
      <c r="Y40" s="250"/>
      <c r="Z40" s="250"/>
      <c r="AA40" s="250"/>
      <c r="AB40" s="250"/>
      <c r="AC40" s="250"/>
      <c r="AD40" s="250"/>
    </row>
    <row r="41" spans="1:30" s="248" customFormat="1" hidden="1">
      <c r="A41" s="250">
        <v>11</v>
      </c>
      <c r="B41" s="293" t="s">
        <v>112</v>
      </c>
      <c r="C41" s="266">
        <v>45742</v>
      </c>
      <c r="D41" s="266">
        <v>45796</v>
      </c>
      <c r="E41" s="266" t="s">
        <v>85</v>
      </c>
      <c r="F41" s="261" t="s">
        <v>113</v>
      </c>
      <c r="G41" s="248" t="s">
        <v>69</v>
      </c>
      <c r="H41" s="248" t="s">
        <v>38</v>
      </c>
      <c r="I41" s="248" t="s">
        <v>80</v>
      </c>
      <c r="J41" s="250" t="s">
        <v>89</v>
      </c>
      <c r="K41" s="250"/>
      <c r="L41" s="250" t="s">
        <v>88</v>
      </c>
      <c r="M41" s="250"/>
      <c r="N41" s="250"/>
      <c r="O41" s="250"/>
      <c r="P41" s="250"/>
      <c r="Q41" s="250"/>
      <c r="R41" s="250"/>
      <c r="S41" s="250"/>
      <c r="T41" s="250"/>
      <c r="U41" s="250"/>
      <c r="V41" s="250"/>
      <c r="W41" s="250"/>
      <c r="X41" s="250"/>
      <c r="Y41" s="250"/>
      <c r="Z41" s="250"/>
      <c r="AA41" s="250"/>
      <c r="AB41" s="250"/>
      <c r="AC41" s="250"/>
      <c r="AD41" s="250"/>
    </row>
    <row r="42" spans="1:30" s="248" customFormat="1" hidden="1">
      <c r="A42" s="250"/>
      <c r="B42" s="261" t="s">
        <v>114</v>
      </c>
      <c r="C42" s="266">
        <v>45804</v>
      </c>
      <c r="D42" s="262">
        <v>45805</v>
      </c>
      <c r="E42" s="266" t="s">
        <v>85</v>
      </c>
      <c r="F42" s="261"/>
      <c r="H42" s="248" t="s">
        <v>96</v>
      </c>
      <c r="J42" s="250" t="s">
        <v>89</v>
      </c>
      <c r="K42" s="250"/>
      <c r="L42" s="250"/>
      <c r="M42" s="250"/>
      <c r="N42" s="250"/>
      <c r="O42" s="250"/>
      <c r="P42" s="250"/>
      <c r="Q42" s="250"/>
      <c r="R42" s="250"/>
      <c r="S42" s="250"/>
      <c r="T42" s="250"/>
      <c r="U42" s="250"/>
      <c r="V42" s="250"/>
      <c r="W42" s="250"/>
      <c r="X42" s="250"/>
      <c r="Y42" s="250"/>
      <c r="Z42" s="250"/>
      <c r="AA42" s="250"/>
      <c r="AB42" s="250"/>
      <c r="AC42" s="250"/>
      <c r="AD42" s="250"/>
    </row>
    <row r="43" spans="1:30" s="248" customFormat="1" hidden="1">
      <c r="A43" s="250">
        <v>36</v>
      </c>
      <c r="B43" s="278" t="s">
        <v>115</v>
      </c>
      <c r="C43" s="266"/>
      <c r="D43" s="266">
        <v>45805</v>
      </c>
      <c r="E43" s="266" t="s">
        <v>85</v>
      </c>
      <c r="F43" s="261" t="s">
        <v>116</v>
      </c>
      <c r="G43" s="248" t="s">
        <v>69</v>
      </c>
      <c r="H43" s="248" t="s">
        <v>43</v>
      </c>
      <c r="I43" s="248" t="s">
        <v>34</v>
      </c>
      <c r="J43" s="250" t="s">
        <v>89</v>
      </c>
      <c r="K43" s="250"/>
      <c r="L43" s="250"/>
      <c r="M43" s="250"/>
      <c r="N43" s="250"/>
      <c r="O43" s="250"/>
      <c r="P43" s="250"/>
      <c r="Q43" s="250"/>
      <c r="R43" s="250"/>
      <c r="S43" s="250"/>
      <c r="T43" s="250"/>
      <c r="U43" s="250"/>
      <c r="V43" s="250"/>
      <c r="W43" s="250"/>
      <c r="X43" s="250"/>
      <c r="Y43" s="250"/>
      <c r="Z43" s="250"/>
      <c r="AA43" s="250"/>
      <c r="AB43" s="250"/>
      <c r="AC43" s="250"/>
      <c r="AD43" s="250"/>
    </row>
    <row r="44" spans="1:30" s="248" customFormat="1" hidden="1">
      <c r="A44" s="250">
        <v>31</v>
      </c>
      <c r="B44" s="278" t="s">
        <v>117</v>
      </c>
      <c r="C44" s="266"/>
      <c r="D44" s="266">
        <v>45805</v>
      </c>
      <c r="E44" s="266" t="s">
        <v>85</v>
      </c>
      <c r="F44" s="261" t="s">
        <v>118</v>
      </c>
      <c r="G44" s="248" t="s">
        <v>32</v>
      </c>
      <c r="H44" s="248" t="s">
        <v>66</v>
      </c>
      <c r="I44" s="248" t="s">
        <v>34</v>
      </c>
      <c r="J44" s="250" t="s">
        <v>89</v>
      </c>
      <c r="K44" s="250" t="s">
        <v>88</v>
      </c>
      <c r="L44" s="250" t="s">
        <v>88</v>
      </c>
      <c r="M44" s="250"/>
      <c r="N44" s="250"/>
      <c r="O44" s="250"/>
      <c r="P44" s="250"/>
      <c r="Q44" s="250"/>
      <c r="R44" s="250"/>
      <c r="S44" s="250"/>
      <c r="T44" s="250"/>
      <c r="U44" s="250"/>
      <c r="V44" s="250"/>
      <c r="W44" s="250"/>
      <c r="X44" s="250"/>
      <c r="Y44" s="250"/>
      <c r="Z44" s="250"/>
      <c r="AA44" s="250"/>
      <c r="AB44" s="250"/>
      <c r="AC44" s="250"/>
      <c r="AD44" s="250"/>
    </row>
    <row r="45" spans="1:30" s="248" customFormat="1" ht="23.25" hidden="1">
      <c r="A45" s="250">
        <v>7</v>
      </c>
      <c r="B45" s="286" t="s">
        <v>119</v>
      </c>
      <c r="C45" s="266"/>
      <c r="D45" s="266">
        <v>45806</v>
      </c>
      <c r="E45" s="266" t="s">
        <v>85</v>
      </c>
      <c r="F45" s="261" t="s">
        <v>120</v>
      </c>
      <c r="G45" s="248" t="s">
        <v>42</v>
      </c>
      <c r="H45" s="278" t="s">
        <v>121</v>
      </c>
      <c r="I45" s="248" t="s">
        <v>44</v>
      </c>
      <c r="J45" s="250" t="s">
        <v>88</v>
      </c>
      <c r="K45" s="250" t="s">
        <v>89</v>
      </c>
      <c r="L45" s="250" t="s">
        <v>88</v>
      </c>
      <c r="M45" s="250"/>
      <c r="N45" s="250"/>
      <c r="O45" s="250"/>
      <c r="P45" s="250"/>
      <c r="Q45" s="250"/>
      <c r="R45" s="250"/>
      <c r="S45" s="250"/>
      <c r="T45" s="250"/>
      <c r="U45" s="250"/>
      <c r="V45" s="250"/>
      <c r="W45" s="250"/>
      <c r="X45" s="250"/>
      <c r="Y45" s="250"/>
      <c r="Z45" s="250"/>
      <c r="AA45" s="250"/>
      <c r="AB45" s="250"/>
      <c r="AC45" s="250"/>
      <c r="AD45" s="250"/>
    </row>
    <row r="46" spans="1:30" s="248" customFormat="1" ht="23.25" hidden="1">
      <c r="A46" s="250">
        <v>1</v>
      </c>
      <c r="B46" s="286" t="s">
        <v>122</v>
      </c>
      <c r="C46" s="266"/>
      <c r="D46" s="266">
        <v>45790</v>
      </c>
      <c r="E46" s="266" t="s">
        <v>85</v>
      </c>
      <c r="F46" s="261" t="s">
        <v>123</v>
      </c>
      <c r="G46" s="248" t="s">
        <v>95</v>
      </c>
      <c r="H46" s="248" t="s">
        <v>54</v>
      </c>
      <c r="I46" s="248" t="s">
        <v>80</v>
      </c>
      <c r="J46" s="250" t="s">
        <v>89</v>
      </c>
      <c r="K46" s="250" t="s">
        <v>88</v>
      </c>
      <c r="L46" s="250"/>
      <c r="M46" s="250"/>
      <c r="N46" s="250"/>
      <c r="O46" s="250"/>
      <c r="P46" s="250"/>
      <c r="Q46" s="250"/>
      <c r="R46" s="250"/>
      <c r="S46" s="250"/>
      <c r="T46" s="250"/>
      <c r="U46" s="250"/>
      <c r="V46" s="250"/>
      <c r="W46" s="250"/>
      <c r="X46" s="250"/>
      <c r="Y46" s="250"/>
      <c r="Z46" s="250"/>
      <c r="AA46" s="250"/>
      <c r="AB46" s="250"/>
      <c r="AC46" s="250"/>
      <c r="AD46" s="250"/>
    </row>
    <row r="47" spans="1:30" s="278" customFormat="1" ht="23.25" hidden="1">
      <c r="A47" s="250">
        <v>18</v>
      </c>
      <c r="B47" s="299" t="s">
        <v>124</v>
      </c>
      <c r="C47" s="300"/>
      <c r="D47" s="300">
        <v>45790</v>
      </c>
      <c r="E47" s="300" t="s">
        <v>85</v>
      </c>
      <c r="F47" s="261" t="s">
        <v>125</v>
      </c>
      <c r="G47" s="278" t="s">
        <v>32</v>
      </c>
      <c r="H47" s="278" t="s">
        <v>43</v>
      </c>
      <c r="I47" s="278" t="s">
        <v>34</v>
      </c>
      <c r="J47" s="301" t="s">
        <v>89</v>
      </c>
      <c r="K47" s="301" t="s">
        <v>88</v>
      </c>
      <c r="L47" s="301"/>
      <c r="M47" s="301"/>
      <c r="N47" s="301"/>
      <c r="O47" s="301"/>
      <c r="P47" s="301"/>
      <c r="Q47" s="301"/>
      <c r="R47" s="301"/>
      <c r="S47" s="301"/>
      <c r="T47" s="301"/>
      <c r="U47" s="301"/>
      <c r="V47" s="301"/>
      <c r="W47" s="301"/>
      <c r="X47" s="301"/>
      <c r="Y47" s="301"/>
      <c r="Z47" s="301"/>
      <c r="AA47" s="301"/>
      <c r="AB47" s="301"/>
      <c r="AC47" s="301"/>
      <c r="AD47" s="301"/>
    </row>
    <row r="48" spans="1:30" s="248" customFormat="1" hidden="1">
      <c r="A48" s="250">
        <v>2</v>
      </c>
      <c r="B48" s="278" t="s">
        <v>126</v>
      </c>
      <c r="C48" s="266">
        <v>45782</v>
      </c>
      <c r="D48" s="266">
        <v>45805</v>
      </c>
      <c r="E48" s="266" t="s">
        <v>85</v>
      </c>
      <c r="F48" s="261" t="s">
        <v>127</v>
      </c>
      <c r="H48" s="248" t="s">
        <v>38</v>
      </c>
      <c r="I48" s="248" t="s">
        <v>80</v>
      </c>
      <c r="J48" s="250" t="s">
        <v>89</v>
      </c>
      <c r="K48" s="250"/>
      <c r="L48" s="250" t="s">
        <v>88</v>
      </c>
      <c r="M48" s="250"/>
      <c r="N48" s="250"/>
      <c r="O48" s="250"/>
      <c r="P48" s="250"/>
      <c r="Q48" s="250"/>
      <c r="R48" s="250"/>
      <c r="S48" s="250"/>
      <c r="T48" s="250"/>
      <c r="U48" s="250"/>
      <c r="V48" s="250"/>
      <c r="W48" s="250"/>
      <c r="X48" s="250"/>
      <c r="Y48" s="250"/>
      <c r="Z48" s="250"/>
      <c r="AA48" s="250"/>
      <c r="AB48" s="250"/>
      <c r="AC48" s="250"/>
      <c r="AD48" s="250"/>
    </row>
    <row r="49" spans="1:30" s="248" customFormat="1" hidden="1">
      <c r="A49" s="250">
        <v>31</v>
      </c>
      <c r="B49" s="278" t="s">
        <v>128</v>
      </c>
      <c r="C49" s="266">
        <v>45719</v>
      </c>
      <c r="D49" s="266">
        <v>45784</v>
      </c>
      <c r="E49" s="266" t="s">
        <v>85</v>
      </c>
      <c r="F49" s="261" t="s">
        <v>129</v>
      </c>
      <c r="G49" s="248" t="s">
        <v>32</v>
      </c>
      <c r="I49" s="248" t="s">
        <v>80</v>
      </c>
      <c r="J49" s="250"/>
      <c r="K49" s="250"/>
      <c r="L49" s="250"/>
      <c r="M49" s="250"/>
      <c r="N49" s="250" t="s">
        <v>89</v>
      </c>
      <c r="O49" s="250"/>
      <c r="P49" s="250"/>
      <c r="Q49" s="250"/>
      <c r="R49" s="250"/>
      <c r="S49" s="250"/>
      <c r="T49" s="250"/>
      <c r="U49" s="250"/>
      <c r="V49" s="250"/>
      <c r="W49" s="250"/>
      <c r="X49" s="250"/>
      <c r="Y49" s="250"/>
      <c r="Z49" s="250"/>
      <c r="AA49" s="250"/>
      <c r="AB49" s="250"/>
      <c r="AC49" s="250"/>
      <c r="AD49" s="250"/>
    </row>
    <row r="50" spans="1:30" s="248" customFormat="1" hidden="1">
      <c r="A50" s="250">
        <v>11</v>
      </c>
      <c r="B50" s="291" t="s">
        <v>130</v>
      </c>
      <c r="C50" s="266">
        <v>45776</v>
      </c>
      <c r="D50" s="266">
        <v>45807</v>
      </c>
      <c r="E50" s="266" t="s">
        <v>85</v>
      </c>
      <c r="F50" s="261" t="s">
        <v>131</v>
      </c>
      <c r="H50" s="278"/>
      <c r="J50" s="250"/>
      <c r="K50" s="250"/>
      <c r="L50" s="250"/>
      <c r="M50" s="250" t="s">
        <v>89</v>
      </c>
      <c r="N50" s="250"/>
      <c r="O50" s="250"/>
      <c r="P50" s="250" t="s">
        <v>89</v>
      </c>
      <c r="Q50" s="250"/>
      <c r="R50" s="250"/>
      <c r="S50" s="250"/>
      <c r="T50" s="250"/>
      <c r="U50" s="250"/>
      <c r="V50" s="250"/>
      <c r="W50" s="250"/>
      <c r="X50" s="250"/>
      <c r="Y50" s="250"/>
      <c r="Z50" s="250"/>
      <c r="AA50" s="250"/>
      <c r="AB50" s="250"/>
      <c r="AC50" s="250"/>
      <c r="AD50" s="250"/>
    </row>
    <row r="51" spans="1:30" s="248" customFormat="1" hidden="1">
      <c r="A51" s="250">
        <v>11</v>
      </c>
      <c r="B51" s="278" t="s">
        <v>132</v>
      </c>
      <c r="C51" s="266">
        <v>45762</v>
      </c>
      <c r="D51" s="266">
        <v>45814</v>
      </c>
      <c r="E51" s="266" t="s">
        <v>85</v>
      </c>
      <c r="F51" s="261" t="s">
        <v>133</v>
      </c>
      <c r="G51" s="248" t="s">
        <v>74</v>
      </c>
      <c r="H51" s="248" t="s">
        <v>66</v>
      </c>
      <c r="I51" s="248" t="s">
        <v>34</v>
      </c>
      <c r="J51" s="250"/>
      <c r="K51" s="250" t="s">
        <v>89</v>
      </c>
      <c r="L51" s="250"/>
      <c r="M51" s="250" t="s">
        <v>88</v>
      </c>
      <c r="N51" s="250"/>
      <c r="O51" s="250"/>
      <c r="P51" s="250"/>
      <c r="Q51" s="250"/>
      <c r="R51" s="250"/>
      <c r="S51" s="250"/>
      <c r="T51" s="250"/>
      <c r="U51" s="250"/>
      <c r="V51" s="250"/>
      <c r="W51" s="250"/>
      <c r="X51" s="250"/>
      <c r="Y51" s="250"/>
      <c r="Z51" s="250"/>
      <c r="AA51" s="250"/>
      <c r="AB51" s="250"/>
      <c r="AC51" s="250"/>
      <c r="AD51" s="250"/>
    </row>
    <row r="52" spans="1:30" s="248" customFormat="1" ht="23.25" hidden="1">
      <c r="A52" s="250">
        <v>2</v>
      </c>
      <c r="B52" s="278" t="s">
        <v>134</v>
      </c>
      <c r="C52" s="266">
        <v>45737</v>
      </c>
      <c r="D52" s="266">
        <v>45810</v>
      </c>
      <c r="E52" s="266" t="s">
        <v>85</v>
      </c>
      <c r="F52" s="261" t="s">
        <v>135</v>
      </c>
      <c r="G52" s="248" t="s">
        <v>59</v>
      </c>
      <c r="H52" s="248" t="s">
        <v>43</v>
      </c>
      <c r="I52" s="248" t="s">
        <v>44</v>
      </c>
      <c r="J52" s="250"/>
      <c r="K52" s="250" t="s">
        <v>89</v>
      </c>
      <c r="L52" s="250"/>
      <c r="M52" s="250"/>
      <c r="N52" s="250" t="s">
        <v>88</v>
      </c>
      <c r="O52" s="250"/>
      <c r="P52" s="250"/>
      <c r="Q52" s="250"/>
      <c r="R52" s="250"/>
      <c r="S52" s="250"/>
      <c r="T52" s="250"/>
      <c r="U52" s="250"/>
      <c r="V52" s="250"/>
      <c r="W52" s="250"/>
      <c r="X52" s="250"/>
      <c r="Y52" s="250"/>
      <c r="Z52" s="250"/>
      <c r="AA52" s="250"/>
      <c r="AB52" s="250"/>
      <c r="AC52" s="250"/>
      <c r="AD52" s="250"/>
    </row>
    <row r="53" spans="1:30" s="248" customFormat="1" hidden="1">
      <c r="A53" s="250">
        <v>8</v>
      </c>
      <c r="B53" s="310" t="s">
        <v>136</v>
      </c>
      <c r="C53" s="266">
        <v>45814</v>
      </c>
      <c r="D53" s="266">
        <v>45825</v>
      </c>
      <c r="E53" s="311" t="s">
        <v>85</v>
      </c>
      <c r="F53" s="261" t="s">
        <v>137</v>
      </c>
      <c r="J53" s="250"/>
      <c r="K53" s="250"/>
      <c r="L53" s="250"/>
      <c r="M53" s="250"/>
      <c r="N53" s="250"/>
      <c r="O53" s="250"/>
      <c r="P53" s="250"/>
      <c r="Q53" s="250"/>
      <c r="R53" s="250"/>
      <c r="S53" s="250"/>
      <c r="T53" s="250"/>
      <c r="U53" s="250"/>
      <c r="V53" s="250"/>
      <c r="W53" s="250"/>
      <c r="X53" s="250"/>
      <c r="Y53" s="250"/>
      <c r="Z53" s="250"/>
      <c r="AA53" s="250"/>
      <c r="AB53" s="250"/>
      <c r="AC53" s="250"/>
      <c r="AD53" s="250"/>
    </row>
    <row r="54" spans="1:30" s="248" customFormat="1" hidden="1">
      <c r="A54" s="250">
        <v>9</v>
      </c>
      <c r="B54" s="291" t="s">
        <v>138</v>
      </c>
      <c r="C54" s="266">
        <v>45806</v>
      </c>
      <c r="D54" s="266">
        <f ca="1">TODAY()</f>
        <v>45868</v>
      </c>
      <c r="E54" s="311" t="s">
        <v>85</v>
      </c>
      <c r="F54" s="261" t="s">
        <v>139</v>
      </c>
      <c r="J54" s="250"/>
      <c r="K54" s="250"/>
      <c r="L54" s="250"/>
      <c r="M54" s="250"/>
      <c r="N54" s="250"/>
      <c r="O54" s="250"/>
      <c r="P54" s="250"/>
      <c r="Q54" s="250"/>
      <c r="R54" s="250"/>
      <c r="S54" s="250"/>
      <c r="T54" s="250"/>
      <c r="U54" s="250"/>
      <c r="V54" s="250"/>
      <c r="W54" s="250"/>
      <c r="X54" s="250"/>
      <c r="Y54" s="250"/>
      <c r="Z54" s="250"/>
      <c r="AA54" s="250"/>
      <c r="AB54" s="250"/>
      <c r="AC54" s="250"/>
      <c r="AD54" s="250"/>
    </row>
    <row r="55" spans="1:30" s="248" customFormat="1" hidden="1">
      <c r="A55" s="250">
        <v>6</v>
      </c>
      <c r="B55" s="293" t="s">
        <v>140</v>
      </c>
      <c r="C55" s="266">
        <v>45814</v>
      </c>
      <c r="D55" s="266">
        <v>45839</v>
      </c>
      <c r="E55" s="311" t="s">
        <v>85</v>
      </c>
      <c r="F55" s="261" t="s">
        <v>141</v>
      </c>
      <c r="G55" s="248" t="s">
        <v>69</v>
      </c>
      <c r="H55" s="248" t="s">
        <v>38</v>
      </c>
      <c r="J55" s="250"/>
      <c r="K55" s="250"/>
      <c r="L55" s="250"/>
      <c r="M55" s="250"/>
      <c r="N55" s="250"/>
      <c r="O55" s="250"/>
      <c r="P55" s="250"/>
      <c r="Q55" s="250"/>
      <c r="R55" s="250"/>
      <c r="S55" s="250"/>
      <c r="T55" s="250"/>
      <c r="U55" s="250"/>
      <c r="V55" s="250"/>
      <c r="W55" s="250"/>
      <c r="X55" s="250"/>
      <c r="Y55" s="250"/>
      <c r="Z55" s="250"/>
      <c r="AA55" s="250"/>
      <c r="AB55" s="250"/>
      <c r="AC55" s="250"/>
      <c r="AD55" s="250"/>
    </row>
    <row r="56" spans="1:30" s="248" customFormat="1">
      <c r="A56" s="250">
        <v>10</v>
      </c>
      <c r="B56" s="278" t="s">
        <v>142</v>
      </c>
      <c r="C56" s="266">
        <v>45814</v>
      </c>
      <c r="D56" s="266">
        <v>45840</v>
      </c>
      <c r="E56" s="248" t="s">
        <v>85</v>
      </c>
      <c r="F56" s="278" t="s">
        <v>143</v>
      </c>
      <c r="G56" s="248" t="s">
        <v>32</v>
      </c>
      <c r="H56" t="s">
        <v>38</v>
      </c>
    </row>
    <row r="57" spans="1:30" s="278" customFormat="1">
      <c r="A57" s="250">
        <v>3</v>
      </c>
      <c r="B57" s="300" t="s">
        <v>144</v>
      </c>
      <c r="C57" s="300">
        <v>45838</v>
      </c>
      <c r="D57" s="300">
        <v>45845</v>
      </c>
      <c r="E57" s="266" t="s">
        <v>85</v>
      </c>
      <c r="F57" s="261" t="s">
        <v>145</v>
      </c>
      <c r="G57" s="248" t="s">
        <v>95</v>
      </c>
      <c r="H57" s="248" t="s">
        <v>96</v>
      </c>
      <c r="I57" s="248"/>
      <c r="J57" s="301"/>
      <c r="K57" s="301"/>
      <c r="L57" s="301"/>
      <c r="M57" s="301"/>
      <c r="N57" s="301"/>
      <c r="O57" s="301"/>
      <c r="P57" s="301"/>
      <c r="Q57" s="301"/>
      <c r="R57" s="301"/>
      <c r="S57" s="301"/>
      <c r="T57" s="301"/>
      <c r="U57" s="301"/>
      <c r="V57" s="301"/>
      <c r="W57" s="301"/>
      <c r="X57" s="301"/>
      <c r="Y57" s="301"/>
      <c r="Z57" s="301"/>
      <c r="AA57" s="301"/>
      <c r="AB57" s="301"/>
      <c r="AC57" s="301"/>
      <c r="AD57" s="301"/>
    </row>
    <row r="58" spans="1:30" s="278" customFormat="1" ht="23.25">
      <c r="A58" s="250"/>
      <c r="B58" s="300" t="s">
        <v>146</v>
      </c>
      <c r="C58" s="300">
        <v>45847</v>
      </c>
      <c r="D58" s="300">
        <v>45848</v>
      </c>
      <c r="E58" s="266" t="s">
        <v>85</v>
      </c>
      <c r="F58" s="261" t="s">
        <v>147</v>
      </c>
      <c r="H58" s="248"/>
      <c r="I58" s="248"/>
      <c r="J58" s="301"/>
      <c r="K58" s="301"/>
      <c r="L58" s="301"/>
      <c r="M58" s="301"/>
      <c r="N58" s="301"/>
      <c r="O58" s="301"/>
      <c r="P58" s="301"/>
      <c r="Q58" s="301"/>
      <c r="R58" s="301"/>
      <c r="S58" s="301"/>
      <c r="T58" s="301"/>
      <c r="U58" s="301"/>
      <c r="V58" s="301"/>
      <c r="W58" s="301"/>
      <c r="X58" s="301"/>
      <c r="Y58" s="301"/>
      <c r="Z58" s="301"/>
      <c r="AA58" s="301"/>
      <c r="AB58" s="301"/>
      <c r="AC58" s="301"/>
      <c r="AD58" s="301"/>
    </row>
    <row r="59" spans="1:30" s="278" customFormat="1" ht="23.25">
      <c r="A59" s="250"/>
      <c r="B59" s="300" t="s">
        <v>148</v>
      </c>
      <c r="C59" s="300">
        <v>45848</v>
      </c>
      <c r="D59" s="300">
        <v>45849</v>
      </c>
      <c r="E59" s="314" t="s">
        <v>85</v>
      </c>
      <c r="F59" s="261" t="s">
        <v>149</v>
      </c>
      <c r="H59" s="248"/>
      <c r="I59" s="248"/>
      <c r="J59" s="301"/>
      <c r="K59" s="301"/>
      <c r="L59" s="301"/>
      <c r="M59" s="301"/>
      <c r="N59" s="301"/>
      <c r="O59" s="301"/>
      <c r="P59" s="301"/>
      <c r="Q59" s="301"/>
      <c r="R59" s="301"/>
      <c r="S59" s="301"/>
      <c r="T59" s="301"/>
      <c r="U59" s="301"/>
      <c r="V59" s="301"/>
      <c r="W59" s="301"/>
      <c r="X59" s="301"/>
      <c r="Y59" s="301"/>
      <c r="Z59" s="301"/>
      <c r="AA59" s="301"/>
      <c r="AB59" s="301"/>
      <c r="AC59" s="301"/>
      <c r="AD59" s="301"/>
    </row>
    <row r="60" spans="1:30" s="278" customFormat="1">
      <c r="A60" s="250"/>
      <c r="B60" s="300" t="s">
        <v>150</v>
      </c>
      <c r="C60" s="300">
        <v>45849</v>
      </c>
      <c r="D60" s="300">
        <v>45855</v>
      </c>
      <c r="E60" s="266" t="s">
        <v>85</v>
      </c>
      <c r="F60" s="261" t="s">
        <v>151</v>
      </c>
      <c r="H60" s="248"/>
      <c r="I60" s="248"/>
      <c r="J60" s="301"/>
      <c r="K60" s="301"/>
      <c r="L60" s="301"/>
      <c r="M60" s="301"/>
      <c r="N60" s="301"/>
      <c r="O60" s="301"/>
      <c r="P60" s="301"/>
      <c r="Q60" s="301"/>
      <c r="R60" s="301"/>
      <c r="S60" s="301"/>
      <c r="T60" s="301"/>
      <c r="U60" s="301"/>
      <c r="V60" s="301"/>
      <c r="W60" s="301"/>
      <c r="X60" s="301"/>
      <c r="Y60" s="301"/>
      <c r="Z60" s="301"/>
      <c r="AA60" s="301"/>
      <c r="AB60" s="301"/>
      <c r="AC60" s="301"/>
      <c r="AD60" s="301"/>
    </row>
    <row r="61" spans="1:30" s="278" customFormat="1">
      <c r="A61" s="250"/>
      <c r="B61" s="300" t="s">
        <v>152</v>
      </c>
      <c r="C61" s="300">
        <v>45828</v>
      </c>
      <c r="D61" s="300">
        <v>45859</v>
      </c>
      <c r="E61" s="266" t="s">
        <v>85</v>
      </c>
      <c r="F61" s="261" t="s">
        <v>153</v>
      </c>
      <c r="G61" s="278" t="s">
        <v>47</v>
      </c>
      <c r="H61" s="248" t="s">
        <v>43</v>
      </c>
      <c r="I61" s="248" t="s">
        <v>44</v>
      </c>
      <c r="J61" s="301"/>
      <c r="K61" s="301"/>
      <c r="L61" s="301"/>
      <c r="M61" s="301"/>
      <c r="N61" s="301"/>
      <c r="O61" s="301"/>
      <c r="P61" s="301"/>
      <c r="Q61" s="301"/>
      <c r="R61" s="301"/>
      <c r="S61" s="301"/>
      <c r="T61" s="301"/>
      <c r="U61" s="301"/>
      <c r="V61" s="301"/>
      <c r="W61" s="301"/>
      <c r="X61" s="301"/>
      <c r="Y61" s="301"/>
      <c r="Z61" s="301"/>
      <c r="AA61" s="301"/>
      <c r="AB61" s="301"/>
      <c r="AC61" s="301"/>
      <c r="AD61" s="301"/>
    </row>
    <row r="62" spans="1:30" s="278" customFormat="1">
      <c r="A62" s="250"/>
      <c r="B62" s="300" t="s">
        <v>154</v>
      </c>
      <c r="C62" s="300"/>
      <c r="D62" s="300">
        <v>721</v>
      </c>
      <c r="E62" s="266" t="s">
        <v>85</v>
      </c>
      <c r="F62" s="261" t="s">
        <v>155</v>
      </c>
      <c r="H62" s="278" t="s">
        <v>66</v>
      </c>
      <c r="I62" s="248"/>
      <c r="J62" s="301"/>
      <c r="K62" s="301"/>
      <c r="L62" s="301"/>
      <c r="M62" s="301"/>
      <c r="N62" s="301"/>
      <c r="O62" s="301"/>
      <c r="P62" s="301"/>
      <c r="Q62" s="301"/>
      <c r="R62" s="301"/>
      <c r="S62" s="301"/>
      <c r="T62" s="301"/>
      <c r="U62" s="301"/>
      <c r="V62" s="301"/>
      <c r="W62" s="301"/>
      <c r="X62" s="301"/>
      <c r="Y62" s="301"/>
      <c r="Z62" s="301"/>
      <c r="AA62" s="301"/>
      <c r="AB62" s="301"/>
      <c r="AC62" s="301"/>
      <c r="AD62" s="301"/>
    </row>
    <row r="63" spans="1:30" s="278" customFormat="1" ht="23.25">
      <c r="A63" s="250"/>
      <c r="B63" s="300" t="s">
        <v>156</v>
      </c>
      <c r="C63" s="300">
        <v>45831</v>
      </c>
      <c r="D63" s="300"/>
      <c r="E63" s="266" t="s">
        <v>85</v>
      </c>
      <c r="F63" s="261" t="s">
        <v>157</v>
      </c>
      <c r="G63" s="278" t="s">
        <v>158</v>
      </c>
      <c r="H63" s="248" t="s">
        <v>43</v>
      </c>
      <c r="I63" s="248" t="s">
        <v>44</v>
      </c>
      <c r="J63" s="301"/>
      <c r="K63" s="301"/>
      <c r="L63" s="301"/>
      <c r="M63" s="301"/>
      <c r="N63" s="301"/>
      <c r="O63" s="301"/>
      <c r="P63" s="301"/>
      <c r="Q63" s="301"/>
      <c r="R63" s="301"/>
      <c r="S63" s="301"/>
      <c r="T63" s="301"/>
      <c r="U63" s="301"/>
      <c r="V63" s="301"/>
      <c r="W63" s="301"/>
      <c r="X63" s="301"/>
      <c r="Y63" s="301"/>
      <c r="Z63" s="301"/>
      <c r="AA63" s="301"/>
      <c r="AB63" s="301"/>
      <c r="AC63" s="301"/>
      <c r="AD63" s="301"/>
    </row>
    <row r="64" spans="1:30" s="278" customFormat="1">
      <c r="A64" s="250">
        <v>14</v>
      </c>
      <c r="B64" s="300" t="s">
        <v>159</v>
      </c>
      <c r="C64" s="300">
        <v>45817</v>
      </c>
      <c r="D64" s="300"/>
      <c r="E64" s="266" t="s">
        <v>85</v>
      </c>
      <c r="F64" s="261" t="s">
        <v>160</v>
      </c>
      <c r="G64" s="278" t="s">
        <v>42</v>
      </c>
      <c r="H64" s="248"/>
      <c r="I64" s="248"/>
      <c r="J64" s="301"/>
      <c r="K64" s="301"/>
      <c r="L64" s="301"/>
      <c r="M64" s="301"/>
      <c r="N64" s="301"/>
      <c r="O64" s="301"/>
      <c r="P64" s="301"/>
      <c r="Q64" s="301"/>
      <c r="R64" s="301"/>
      <c r="S64" s="301"/>
      <c r="T64" s="301"/>
      <c r="U64" s="301"/>
      <c r="V64" s="301"/>
      <c r="W64" s="301"/>
      <c r="X64" s="301"/>
      <c r="Y64" s="301"/>
      <c r="Z64" s="301"/>
      <c r="AA64" s="301"/>
      <c r="AB64" s="301"/>
      <c r="AC64" s="301"/>
      <c r="AD64" s="301"/>
    </row>
    <row r="65" spans="1:30" s="224" customFormat="1" ht="23.25">
      <c r="A65" s="238">
        <v>1</v>
      </c>
      <c r="B65" s="306" t="s">
        <v>161</v>
      </c>
      <c r="C65" s="285">
        <v>45814</v>
      </c>
      <c r="D65" s="285">
        <v>45839</v>
      </c>
      <c r="E65" s="262" t="s">
        <v>162</v>
      </c>
      <c r="F65" s="260" t="s">
        <v>163</v>
      </c>
      <c r="G65" s="224" t="s">
        <v>42</v>
      </c>
      <c r="H65" t="s">
        <v>38</v>
      </c>
      <c r="I65" t="s">
        <v>44</v>
      </c>
      <c r="J65" s="284"/>
      <c r="K65" s="284"/>
      <c r="L65" s="284"/>
      <c r="M65" s="284"/>
      <c r="N65" s="284"/>
      <c r="O65" s="284"/>
      <c r="P65" s="284"/>
      <c r="Q65" s="284"/>
      <c r="R65" s="284"/>
      <c r="S65" s="284"/>
      <c r="T65" s="284"/>
      <c r="U65" s="284"/>
      <c r="V65" s="284"/>
      <c r="W65" s="284"/>
      <c r="X65" s="284"/>
      <c r="Y65" s="284"/>
      <c r="Z65" s="284"/>
      <c r="AA65" s="284"/>
      <c r="AB65" s="284"/>
      <c r="AC65" s="284"/>
      <c r="AD65" s="284"/>
    </row>
    <row r="66" spans="1:30" s="224" customFormat="1" ht="23.25">
      <c r="A66" s="238">
        <v>2</v>
      </c>
      <c r="B66" s="285" t="s">
        <v>164</v>
      </c>
      <c r="C66" s="285">
        <v>45812</v>
      </c>
      <c r="D66" s="285">
        <v>45840</v>
      </c>
      <c r="E66" s="305" t="s">
        <v>165</v>
      </c>
      <c r="F66" s="260" t="s">
        <v>166</v>
      </c>
      <c r="G66" s="224" t="s">
        <v>42</v>
      </c>
      <c r="H66" t="s">
        <v>38</v>
      </c>
      <c r="I66" t="s">
        <v>34</v>
      </c>
      <c r="J66" s="284"/>
      <c r="K66" s="284"/>
      <c r="L66" s="284"/>
      <c r="M66" s="284"/>
      <c r="N66" s="284"/>
      <c r="O66" s="284"/>
      <c r="P66" s="284"/>
      <c r="Q66" s="284"/>
      <c r="R66" s="284"/>
      <c r="S66" s="284"/>
      <c r="T66" s="284"/>
      <c r="U66" s="284"/>
      <c r="V66" s="284"/>
      <c r="W66" s="284"/>
      <c r="X66" s="284"/>
      <c r="Y66" s="284"/>
      <c r="Z66" s="284"/>
      <c r="AA66" s="284"/>
      <c r="AB66" s="284"/>
      <c r="AC66" s="284"/>
      <c r="AD66" s="284"/>
    </row>
    <row r="67" spans="1:30" s="224" customFormat="1">
      <c r="A67" s="238">
        <v>3</v>
      </c>
      <c r="B67" s="285" t="s">
        <v>167</v>
      </c>
      <c r="C67" s="285">
        <v>45848</v>
      </c>
      <c r="D67" s="285"/>
      <c r="E67" s="305"/>
      <c r="F67" s="260" t="s">
        <v>168</v>
      </c>
      <c r="H67"/>
      <c r="I67"/>
      <c r="J67" s="284"/>
      <c r="K67" s="284"/>
      <c r="L67" s="284"/>
      <c r="M67" s="284"/>
      <c r="N67" s="284"/>
      <c r="O67" s="284"/>
      <c r="P67" s="284"/>
      <c r="Q67" s="284"/>
      <c r="R67" s="284"/>
      <c r="S67" s="284"/>
      <c r="T67" s="284"/>
      <c r="U67" s="284"/>
      <c r="V67" s="284"/>
      <c r="W67" s="284"/>
      <c r="X67" s="284"/>
      <c r="Y67" s="284"/>
      <c r="Z67" s="284"/>
      <c r="AA67" s="284"/>
      <c r="AB67" s="284"/>
      <c r="AC67" s="284"/>
      <c r="AD67" s="284"/>
    </row>
    <row r="68" spans="1:30">
      <c r="A68" s="238">
        <v>9</v>
      </c>
      <c r="B68" s="303" t="s">
        <v>169</v>
      </c>
      <c r="C68" s="262">
        <v>45800</v>
      </c>
      <c r="D68" s="262">
        <v>45814</v>
      </c>
      <c r="E68" s="262" t="s">
        <v>162</v>
      </c>
      <c r="F68" s="260" t="s">
        <v>170</v>
      </c>
      <c r="G68" t="s">
        <v>42</v>
      </c>
      <c r="H68" s="224" t="s">
        <v>66</v>
      </c>
    </row>
    <row r="69" spans="1:30" s="224" customFormat="1">
      <c r="A69" s="238">
        <v>4</v>
      </c>
      <c r="B69" s="285" t="s">
        <v>171</v>
      </c>
      <c r="C69" s="285">
        <v>45838</v>
      </c>
      <c r="D69" s="285"/>
      <c r="E69" s="262" t="s">
        <v>162</v>
      </c>
      <c r="F69" s="260"/>
      <c r="G69"/>
      <c r="H69"/>
      <c r="I69"/>
      <c r="J69" s="284"/>
      <c r="K69" s="284"/>
      <c r="L69" s="284"/>
      <c r="M69" s="284"/>
      <c r="N69" s="284"/>
      <c r="O69" s="284"/>
      <c r="P69" s="284"/>
      <c r="Q69" s="284"/>
      <c r="R69" s="284"/>
      <c r="S69" s="284"/>
      <c r="T69" s="284"/>
      <c r="U69" s="284"/>
      <c r="V69" s="284"/>
      <c r="W69" s="284"/>
      <c r="X69" s="284"/>
      <c r="Y69" s="284"/>
      <c r="Z69" s="284"/>
      <c r="AA69" s="284"/>
      <c r="AB69" s="284"/>
      <c r="AC69" s="284"/>
      <c r="AD69" s="284"/>
    </row>
    <row r="70" spans="1:30">
      <c r="A70" s="238">
        <v>5</v>
      </c>
      <c r="B70" s="224" t="s">
        <v>172</v>
      </c>
      <c r="C70" s="262">
        <v>45831</v>
      </c>
      <c r="E70"/>
      <c r="F70" s="224" t="s">
        <v>173</v>
      </c>
      <c r="G70" t="s">
        <v>95</v>
      </c>
      <c r="J70"/>
      <c r="K70"/>
      <c r="L70"/>
      <c r="M70"/>
      <c r="N70"/>
      <c r="O70"/>
      <c r="P70"/>
      <c r="Q70"/>
      <c r="R70"/>
      <c r="S70"/>
      <c r="T70"/>
      <c r="U70"/>
      <c r="V70"/>
      <c r="W70"/>
      <c r="X70"/>
      <c r="Y70"/>
      <c r="Z70"/>
      <c r="AA70"/>
      <c r="AB70"/>
      <c r="AC70"/>
      <c r="AD70"/>
    </row>
    <row r="71" spans="1:30" ht="23.25">
      <c r="A71" s="238">
        <v>6</v>
      </c>
      <c r="B71" s="224" t="s">
        <v>174</v>
      </c>
      <c r="D71" s="262">
        <v>45839</v>
      </c>
      <c r="E71" s="262" t="s">
        <v>162</v>
      </c>
      <c r="F71" s="260" t="s">
        <v>175</v>
      </c>
      <c r="G71" t="s">
        <v>69</v>
      </c>
      <c r="I71" t="s">
        <v>80</v>
      </c>
      <c r="J71" s="238" t="s">
        <v>89</v>
      </c>
      <c r="L71" s="238" t="s">
        <v>88</v>
      </c>
    </row>
    <row r="72" spans="1:30" s="224" customFormat="1">
      <c r="A72" s="238">
        <v>7</v>
      </c>
      <c r="B72" s="285" t="s">
        <v>176</v>
      </c>
      <c r="C72" s="285">
        <v>45840</v>
      </c>
      <c r="D72" s="285">
        <v>45859</v>
      </c>
      <c r="E72" s="262" t="s">
        <v>162</v>
      </c>
      <c r="F72" s="260" t="s">
        <v>177</v>
      </c>
      <c r="G72" t="s">
        <v>69</v>
      </c>
      <c r="H72"/>
      <c r="I72"/>
      <c r="J72" s="284"/>
      <c r="K72" s="284"/>
      <c r="L72" s="284"/>
      <c r="M72" s="284"/>
      <c r="N72" s="284"/>
      <c r="O72" s="284"/>
      <c r="P72" s="284"/>
      <c r="Q72" s="284"/>
      <c r="R72" s="284"/>
      <c r="S72" s="284"/>
      <c r="T72" s="284"/>
      <c r="U72" s="284"/>
      <c r="V72" s="284"/>
      <c r="W72" s="284"/>
      <c r="X72" s="284"/>
      <c r="Y72" s="284"/>
      <c r="Z72" s="284"/>
      <c r="AA72" s="284"/>
      <c r="AB72" s="284"/>
      <c r="AC72" s="284"/>
      <c r="AD72" s="284"/>
    </row>
    <row r="73" spans="1:30" ht="23.25">
      <c r="A73" s="238">
        <v>8</v>
      </c>
      <c r="B73" s="232" t="s">
        <v>178</v>
      </c>
      <c r="C73" s="262">
        <v>45806</v>
      </c>
      <c r="E73" s="262" t="s">
        <v>162</v>
      </c>
      <c r="F73" s="260" t="s">
        <v>179</v>
      </c>
      <c r="G73" t="s">
        <v>95</v>
      </c>
      <c r="H73" t="s">
        <v>96</v>
      </c>
    </row>
    <row r="74" spans="1:30" ht="21" customHeight="1">
      <c r="A74" s="238">
        <v>10</v>
      </c>
      <c r="B74" s="232" t="s">
        <v>180</v>
      </c>
      <c r="D74" s="262">
        <v>45804</v>
      </c>
      <c r="E74" s="262" t="s">
        <v>162</v>
      </c>
      <c r="F74" s="260" t="s">
        <v>181</v>
      </c>
      <c r="G74" t="s">
        <v>95</v>
      </c>
      <c r="H74" t="s">
        <v>96</v>
      </c>
      <c r="I74" t="s">
        <v>44</v>
      </c>
      <c r="J74" s="238" t="s">
        <v>88</v>
      </c>
      <c r="K74" s="238" t="s">
        <v>88</v>
      </c>
      <c r="W74" s="238" t="s">
        <v>89</v>
      </c>
    </row>
    <row r="75" spans="1:30" ht="46.5">
      <c r="A75" s="238">
        <v>11</v>
      </c>
      <c r="B75" s="294" t="s">
        <v>182</v>
      </c>
      <c r="D75" s="262">
        <v>45804</v>
      </c>
      <c r="E75" s="305" t="s">
        <v>165</v>
      </c>
      <c r="F75" s="260" t="s">
        <v>183</v>
      </c>
      <c r="G75" t="s">
        <v>47</v>
      </c>
      <c r="H75" t="s">
        <v>43</v>
      </c>
      <c r="I75" t="s">
        <v>34</v>
      </c>
      <c r="J75" s="238" t="s">
        <v>88</v>
      </c>
      <c r="L75" s="238" t="s">
        <v>88</v>
      </c>
      <c r="V75" s="238" t="s">
        <v>89</v>
      </c>
    </row>
    <row r="76" spans="1:30">
      <c r="A76" s="238">
        <v>12</v>
      </c>
      <c r="B76" s="262" t="s">
        <v>184</v>
      </c>
      <c r="C76" s="262">
        <v>45833</v>
      </c>
      <c r="F76" s="260" t="s">
        <v>185</v>
      </c>
      <c r="H76" t="s">
        <v>38</v>
      </c>
    </row>
    <row r="77" spans="1:30" ht="46.5">
      <c r="A77" s="238">
        <v>13</v>
      </c>
      <c r="B77" s="224" t="s">
        <v>186</v>
      </c>
      <c r="C77" s="262">
        <v>45719</v>
      </c>
      <c r="D77" s="262">
        <v>45814</v>
      </c>
      <c r="E77" s="262" t="s">
        <v>162</v>
      </c>
      <c r="F77" s="260" t="s">
        <v>187</v>
      </c>
      <c r="G77" t="s">
        <v>32</v>
      </c>
      <c r="H77" t="s">
        <v>38</v>
      </c>
      <c r="I77" t="s">
        <v>80</v>
      </c>
      <c r="N77" s="238" t="s">
        <v>89</v>
      </c>
    </row>
    <row r="78" spans="1:30">
      <c r="A78" s="238">
        <v>15</v>
      </c>
      <c r="B78" s="224" t="s">
        <v>188</v>
      </c>
      <c r="C78" s="262">
        <v>45716</v>
      </c>
      <c r="D78" s="262">
        <v>45814</v>
      </c>
      <c r="E78" s="305" t="s">
        <v>165</v>
      </c>
      <c r="F78" s="260" t="s">
        <v>189</v>
      </c>
      <c r="G78" t="s">
        <v>95</v>
      </c>
      <c r="H78" t="s">
        <v>33</v>
      </c>
      <c r="I78" t="s">
        <v>80</v>
      </c>
      <c r="M78" s="238" t="s">
        <v>88</v>
      </c>
      <c r="T78" s="238" t="s">
        <v>89</v>
      </c>
    </row>
    <row r="79" spans="1:30" s="224" customFormat="1">
      <c r="A79" s="238">
        <v>16</v>
      </c>
      <c r="B79" s="304" t="s">
        <v>190</v>
      </c>
      <c r="C79" s="285">
        <v>45796</v>
      </c>
      <c r="D79" s="285">
        <v>45814</v>
      </c>
      <c r="E79" s="262" t="s">
        <v>162</v>
      </c>
      <c r="F79" s="260" t="s">
        <v>191</v>
      </c>
      <c r="G79" s="224" t="s">
        <v>104</v>
      </c>
      <c r="H79" t="s">
        <v>38</v>
      </c>
      <c r="I79" t="s">
        <v>80</v>
      </c>
      <c r="J79" s="284"/>
      <c r="K79" s="284"/>
      <c r="L79" s="284"/>
      <c r="M79" s="284"/>
      <c r="N79" s="284"/>
      <c r="O79" s="284"/>
      <c r="P79" s="284"/>
      <c r="Q79" s="284"/>
      <c r="R79" s="284"/>
      <c r="S79" s="284"/>
      <c r="T79" s="284"/>
      <c r="U79" s="284"/>
      <c r="V79" s="284"/>
      <c r="W79" s="284"/>
      <c r="X79" s="284"/>
      <c r="Y79" s="284"/>
      <c r="Z79" s="284"/>
      <c r="AA79" s="284"/>
      <c r="AB79" s="284"/>
      <c r="AC79" s="284"/>
      <c r="AD79" s="284"/>
    </row>
    <row r="80" spans="1:30">
      <c r="A80" s="238">
        <v>17</v>
      </c>
      <c r="B80" s="279" t="s">
        <v>192</v>
      </c>
      <c r="C80" s="262">
        <v>45807</v>
      </c>
      <c r="D80" s="262">
        <v>45814</v>
      </c>
      <c r="F80" s="260" t="s">
        <v>193</v>
      </c>
      <c r="G80" t="s">
        <v>69</v>
      </c>
      <c r="H80" s="224" t="s">
        <v>38</v>
      </c>
    </row>
    <row r="81" spans="1:30">
      <c r="A81" s="238">
        <v>18</v>
      </c>
      <c r="B81" s="224" t="s">
        <v>194</v>
      </c>
      <c r="C81" s="262">
        <v>45784</v>
      </c>
      <c r="D81" s="262">
        <v>45784</v>
      </c>
      <c r="E81" s="262" t="s">
        <v>162</v>
      </c>
      <c r="F81" s="224" t="s">
        <v>195</v>
      </c>
      <c r="G81" t="s">
        <v>32</v>
      </c>
      <c r="H81" t="s">
        <v>196</v>
      </c>
      <c r="I81" t="s">
        <v>80</v>
      </c>
    </row>
    <row r="82" spans="1:30" ht="23.25">
      <c r="A82" s="238">
        <v>19</v>
      </c>
      <c r="B82" s="224" t="s">
        <v>197</v>
      </c>
      <c r="C82" s="262">
        <v>45821</v>
      </c>
      <c r="F82" s="224" t="s">
        <v>198</v>
      </c>
    </row>
    <row r="83" spans="1:30">
      <c r="A83" s="238">
        <v>20</v>
      </c>
      <c r="B83" s="279" t="s">
        <v>199</v>
      </c>
      <c r="C83" s="262">
        <v>45820</v>
      </c>
      <c r="F83" s="260" t="s">
        <v>200</v>
      </c>
      <c r="G83" t="s">
        <v>47</v>
      </c>
      <c r="H83" s="224" t="s">
        <v>43</v>
      </c>
    </row>
    <row r="84" spans="1:30" s="224" customFormat="1" ht="23.25">
      <c r="A84" s="238">
        <v>21</v>
      </c>
      <c r="B84" s="285" t="s">
        <v>201</v>
      </c>
      <c r="C84" s="285">
        <v>45826</v>
      </c>
      <c r="D84" s="285"/>
      <c r="E84" s="262"/>
      <c r="F84" s="260" t="s">
        <v>202</v>
      </c>
      <c r="G84" s="224" t="s">
        <v>69</v>
      </c>
      <c r="H84" t="s">
        <v>38</v>
      </c>
      <c r="I84"/>
      <c r="J84" s="284"/>
      <c r="K84" s="284"/>
      <c r="L84" s="284"/>
      <c r="M84" s="284"/>
      <c r="N84" s="284"/>
      <c r="O84" s="284"/>
      <c r="P84" s="284"/>
      <c r="Q84" s="284"/>
      <c r="R84" s="284"/>
      <c r="S84" s="284"/>
      <c r="T84" s="284"/>
      <c r="U84" s="284"/>
      <c r="V84" s="284"/>
      <c r="W84" s="284"/>
      <c r="X84" s="284"/>
      <c r="Y84" s="284"/>
      <c r="Z84" s="284"/>
      <c r="AA84" s="284"/>
      <c r="AB84" s="284"/>
      <c r="AC84" s="284"/>
      <c r="AD84" s="284"/>
    </row>
    <row r="85" spans="1:30" ht="23.25">
      <c r="A85" s="238">
        <v>22</v>
      </c>
      <c r="B85" s="224" t="s">
        <v>203</v>
      </c>
      <c r="C85" s="262">
        <v>45784</v>
      </c>
      <c r="D85" s="262">
        <v>45784</v>
      </c>
      <c r="E85" s="262" t="s">
        <v>162</v>
      </c>
      <c r="F85" s="224" t="s">
        <v>204</v>
      </c>
      <c r="G85" t="s">
        <v>32</v>
      </c>
      <c r="H85" t="s">
        <v>205</v>
      </c>
      <c r="I85" t="s">
        <v>80</v>
      </c>
    </row>
    <row r="86" spans="1:30">
      <c r="A86" s="238">
        <v>23</v>
      </c>
      <c r="B86" s="224" t="s">
        <v>206</v>
      </c>
      <c r="C86" s="262">
        <v>45821</v>
      </c>
    </row>
    <row r="87" spans="1:30">
      <c r="A87" s="238">
        <v>24</v>
      </c>
      <c r="B87" s="309" t="s">
        <v>207</v>
      </c>
      <c r="C87" s="262">
        <v>45817</v>
      </c>
    </row>
    <row r="88" spans="1:30">
      <c r="A88" s="238">
        <v>25</v>
      </c>
      <c r="B88" s="309" t="s">
        <v>208</v>
      </c>
      <c r="C88" s="262">
        <v>45817</v>
      </c>
    </row>
    <row r="89" spans="1:30">
      <c r="A89" s="238">
        <v>26</v>
      </c>
      <c r="B89" s="309" t="s">
        <v>209</v>
      </c>
      <c r="C89" s="262">
        <v>45806</v>
      </c>
      <c r="D89" s="262">
        <v>45814</v>
      </c>
      <c r="F89" s="260" t="s">
        <v>210</v>
      </c>
      <c r="G89" t="s">
        <v>42</v>
      </c>
      <c r="M89" s="238" t="s">
        <v>89</v>
      </c>
    </row>
    <row r="90" spans="1:30" ht="23.25">
      <c r="A90" s="238">
        <v>27</v>
      </c>
      <c r="B90" s="279" t="s">
        <v>211</v>
      </c>
      <c r="C90" s="262">
        <v>45824</v>
      </c>
      <c r="F90" s="279" t="s">
        <v>212</v>
      </c>
    </row>
    <row r="91" spans="1:30" ht="23.25">
      <c r="A91" s="238">
        <v>28</v>
      </c>
      <c r="B91" s="224" t="s">
        <v>213</v>
      </c>
      <c r="C91" s="262">
        <v>45784</v>
      </c>
      <c r="D91" s="262">
        <v>45814</v>
      </c>
      <c r="E91" s="262" t="s">
        <v>214</v>
      </c>
      <c r="F91" s="224" t="s">
        <v>215</v>
      </c>
      <c r="G91" t="s">
        <v>216</v>
      </c>
      <c r="H91" t="s">
        <v>205</v>
      </c>
      <c r="I91" t="s">
        <v>80</v>
      </c>
    </row>
    <row r="92" spans="1:30">
      <c r="A92" s="238">
        <v>29</v>
      </c>
      <c r="B92" s="297" t="s">
        <v>217</v>
      </c>
      <c r="C92" s="262">
        <v>45810</v>
      </c>
      <c r="F92" s="260" t="s">
        <v>218</v>
      </c>
      <c r="I92" t="s">
        <v>44</v>
      </c>
    </row>
    <row r="93" spans="1:30">
      <c r="A93" s="238">
        <v>30</v>
      </c>
      <c r="B93" s="307" t="s">
        <v>219</v>
      </c>
      <c r="F93" s="260" t="s">
        <v>220</v>
      </c>
    </row>
    <row r="94" spans="1:30" ht="23.25">
      <c r="A94" s="238">
        <v>31</v>
      </c>
      <c r="B94" s="303" t="s">
        <v>221</v>
      </c>
      <c r="C94" s="262">
        <v>45804</v>
      </c>
      <c r="F94" s="260" t="s">
        <v>222</v>
      </c>
    </row>
    <row r="95" spans="1:30">
      <c r="A95" s="238">
        <v>32</v>
      </c>
      <c r="B95" s="224" t="s">
        <v>223</v>
      </c>
      <c r="F95" s="260"/>
      <c r="G95" t="s">
        <v>59</v>
      </c>
      <c r="H95" t="s">
        <v>66</v>
      </c>
      <c r="I95" t="s">
        <v>80</v>
      </c>
      <c r="J95" s="238" t="s">
        <v>89</v>
      </c>
      <c r="K95" s="238" t="s">
        <v>89</v>
      </c>
      <c r="W95" s="238" t="s">
        <v>89</v>
      </c>
    </row>
    <row r="96" spans="1:30">
      <c r="A96" s="238">
        <v>33</v>
      </c>
      <c r="B96" s="224" t="s">
        <v>224</v>
      </c>
      <c r="C96" s="262">
        <v>45814</v>
      </c>
      <c r="F96" s="260"/>
    </row>
    <row r="97" spans="1:16" ht="23.25">
      <c r="A97" s="238">
        <v>34</v>
      </c>
      <c r="B97" s="279" t="s">
        <v>225</v>
      </c>
      <c r="D97" s="262">
        <v>45814</v>
      </c>
      <c r="E97" s="262" t="s">
        <v>162</v>
      </c>
      <c r="F97" s="260" t="s">
        <v>226</v>
      </c>
      <c r="I97" t="s">
        <v>80</v>
      </c>
      <c r="L97" s="238" t="s">
        <v>88</v>
      </c>
      <c r="P97" s="238" t="s">
        <v>89</v>
      </c>
    </row>
    <row r="98" spans="1:16" ht="23.25">
      <c r="A98" s="238">
        <v>35</v>
      </c>
      <c r="B98" s="279" t="s">
        <v>227</v>
      </c>
      <c r="C98" s="262">
        <v>45776</v>
      </c>
      <c r="F98" s="260" t="s">
        <v>228</v>
      </c>
      <c r="K98" s="238" t="s">
        <v>89</v>
      </c>
      <c r="L98" s="238" t="s">
        <v>88</v>
      </c>
      <c r="P98" s="238" t="s">
        <v>89</v>
      </c>
    </row>
    <row r="99" spans="1:16">
      <c r="A99" s="238">
        <v>36</v>
      </c>
      <c r="B99" s="279" t="s">
        <v>229</v>
      </c>
      <c r="C99" s="262">
        <v>45814</v>
      </c>
      <c r="F99" s="260"/>
    </row>
    <row r="100" spans="1:16">
      <c r="A100" s="238">
        <v>37</v>
      </c>
      <c r="B100" s="279" t="s">
        <v>230</v>
      </c>
      <c r="C100" s="262">
        <v>45807</v>
      </c>
      <c r="F100" s="260"/>
    </row>
    <row r="101" spans="1:16">
      <c r="A101" s="238">
        <v>38</v>
      </c>
      <c r="B101" s="224" t="s">
        <v>231</v>
      </c>
      <c r="C101" s="262">
        <v>45784</v>
      </c>
      <c r="D101" s="262">
        <v>45784</v>
      </c>
      <c r="E101" s="262" t="s">
        <v>214</v>
      </c>
      <c r="F101" s="224" t="s">
        <v>232</v>
      </c>
      <c r="G101" t="s">
        <v>32</v>
      </c>
      <c r="H101" t="s">
        <v>233</v>
      </c>
      <c r="I101" t="s">
        <v>34</v>
      </c>
    </row>
    <row r="102" spans="1:16">
      <c r="A102" s="238">
        <v>39</v>
      </c>
      <c r="B102" s="224" t="s">
        <v>234</v>
      </c>
      <c r="C102" s="262">
        <v>45747</v>
      </c>
      <c r="F102" s="260" t="s">
        <v>235</v>
      </c>
      <c r="G102" t="s">
        <v>236</v>
      </c>
      <c r="I102" t="s">
        <v>44</v>
      </c>
    </row>
    <row r="103" spans="1:16">
      <c r="A103" s="238">
        <v>40</v>
      </c>
      <c r="B103" s="295" t="s">
        <v>237</v>
      </c>
      <c r="F103" s="260" t="s">
        <v>238</v>
      </c>
      <c r="G103" t="s">
        <v>69</v>
      </c>
      <c r="I103" t="s">
        <v>80</v>
      </c>
      <c r="J103" s="238" t="s">
        <v>89</v>
      </c>
      <c r="L103" s="238" t="s">
        <v>88</v>
      </c>
    </row>
    <row r="104" spans="1:16">
      <c r="A104" s="238">
        <v>41</v>
      </c>
      <c r="B104" s="295" t="s">
        <v>239</v>
      </c>
      <c r="C104" s="262">
        <v>45742</v>
      </c>
      <c r="F104" s="260" t="s">
        <v>240</v>
      </c>
    </row>
    <row r="105" spans="1:16" ht="22.5" customHeight="1">
      <c r="A105" s="238">
        <v>42</v>
      </c>
      <c r="B105" s="224" t="s">
        <v>241</v>
      </c>
      <c r="C105" s="262">
        <v>45750</v>
      </c>
      <c r="F105" s="260" t="s">
        <v>242</v>
      </c>
    </row>
    <row r="106" spans="1:16">
      <c r="A106" s="238">
        <v>43</v>
      </c>
      <c r="B106" s="279" t="s">
        <v>243</v>
      </c>
      <c r="C106" s="262">
        <v>45778</v>
      </c>
      <c r="F106" s="260"/>
      <c r="G106" t="s">
        <v>32</v>
      </c>
      <c r="H106" s="224" t="s">
        <v>66</v>
      </c>
      <c r="I106" t="s">
        <v>34</v>
      </c>
      <c r="J106" s="238" t="s">
        <v>89</v>
      </c>
    </row>
    <row r="107" spans="1:16">
      <c r="A107" s="238">
        <v>44</v>
      </c>
      <c r="B107" s="279" t="s">
        <v>244</v>
      </c>
      <c r="C107" s="262">
        <v>45805</v>
      </c>
      <c r="F107" s="260" t="s">
        <v>245</v>
      </c>
    </row>
    <row r="108" spans="1:16">
      <c r="A108" s="238">
        <v>45</v>
      </c>
      <c r="B108" s="224" t="s">
        <v>246</v>
      </c>
      <c r="F108" s="260" t="s">
        <v>247</v>
      </c>
      <c r="H108" t="s">
        <v>43</v>
      </c>
      <c r="I108" t="s">
        <v>34</v>
      </c>
      <c r="K108" s="238" t="s">
        <v>89</v>
      </c>
    </row>
    <row r="109" spans="1:16">
      <c r="A109" s="238">
        <v>46</v>
      </c>
      <c r="B109" s="224" t="s">
        <v>248</v>
      </c>
      <c r="C109" s="262">
        <v>45717</v>
      </c>
      <c r="E109" s="262" t="s">
        <v>214</v>
      </c>
      <c r="F109" s="260" t="s">
        <v>249</v>
      </c>
      <c r="G109" t="s">
        <v>59</v>
      </c>
      <c r="H109" t="s">
        <v>43</v>
      </c>
      <c r="I109" t="s">
        <v>44</v>
      </c>
      <c r="L109" s="238" t="s">
        <v>88</v>
      </c>
      <c r="M109" s="238" t="s">
        <v>89</v>
      </c>
    </row>
    <row r="110" spans="1:16">
      <c r="A110" s="238">
        <v>47</v>
      </c>
      <c r="B110" s="302" t="s">
        <v>250</v>
      </c>
      <c r="C110" s="262">
        <v>45741</v>
      </c>
      <c r="F110" s="260" t="s">
        <v>251</v>
      </c>
      <c r="G110" t="s">
        <v>32</v>
      </c>
      <c r="H110" t="s">
        <v>38</v>
      </c>
      <c r="I110" t="s">
        <v>34</v>
      </c>
      <c r="J110" s="238" t="s">
        <v>89</v>
      </c>
    </row>
    <row r="111" spans="1:16">
      <c r="A111" s="238">
        <v>48</v>
      </c>
      <c r="B111" s="279" t="s">
        <v>252</v>
      </c>
      <c r="C111" s="262">
        <v>45807</v>
      </c>
      <c r="F111" s="260"/>
    </row>
    <row r="112" spans="1:16">
      <c r="A112" s="238">
        <v>49</v>
      </c>
      <c r="B112" s="274" t="s">
        <v>253</v>
      </c>
      <c r="C112" s="262">
        <v>45750</v>
      </c>
      <c r="E112" s="262" t="s">
        <v>162</v>
      </c>
      <c r="F112" s="260"/>
    </row>
    <row r="113" spans="1:30">
      <c r="A113" s="238">
        <v>50</v>
      </c>
      <c r="B113" s="294" t="s">
        <v>254</v>
      </c>
      <c r="C113" s="262">
        <v>45748</v>
      </c>
      <c r="F113" s="260" t="s">
        <v>255</v>
      </c>
      <c r="G113" t="s">
        <v>95</v>
      </c>
      <c r="H113" t="s">
        <v>66</v>
      </c>
      <c r="I113" t="s">
        <v>34</v>
      </c>
    </row>
    <row r="114" spans="1:30">
      <c r="A114" s="238">
        <v>51</v>
      </c>
      <c r="B114" s="224" t="s">
        <v>256</v>
      </c>
      <c r="C114" s="262">
        <v>45748</v>
      </c>
      <c r="F114" s="260"/>
      <c r="G114" t="s">
        <v>95</v>
      </c>
    </row>
    <row r="115" spans="1:30">
      <c r="A115" s="238">
        <v>52</v>
      </c>
      <c r="B115" s="224" t="s">
        <v>257</v>
      </c>
      <c r="F115" s="260"/>
    </row>
    <row r="116" spans="1:30">
      <c r="A116" s="238">
        <v>53</v>
      </c>
      <c r="B116" s="224" t="s">
        <v>258</v>
      </c>
      <c r="F116" s="260"/>
      <c r="G116" t="s">
        <v>259</v>
      </c>
      <c r="H116" t="s">
        <v>43</v>
      </c>
      <c r="I116" t="s">
        <v>34</v>
      </c>
      <c r="P116" s="238" t="s">
        <v>88</v>
      </c>
      <c r="S116" s="238" t="s">
        <v>89</v>
      </c>
      <c r="T116" s="238" t="s">
        <v>88</v>
      </c>
      <c r="U116" s="238" t="s">
        <v>88</v>
      </c>
    </row>
    <row r="117" spans="1:30" ht="23.25">
      <c r="A117" s="238">
        <v>54</v>
      </c>
      <c r="B117" s="224" t="s">
        <v>260</v>
      </c>
      <c r="C117" s="262">
        <v>45784</v>
      </c>
      <c r="D117" s="262">
        <v>45784</v>
      </c>
      <c r="E117" s="262" t="s">
        <v>214</v>
      </c>
      <c r="F117" s="224" t="s">
        <v>261</v>
      </c>
    </row>
    <row r="118" spans="1:30" s="230" customFormat="1" ht="23.25">
      <c r="A118" s="238">
        <v>55</v>
      </c>
      <c r="B118" s="224" t="s">
        <v>262</v>
      </c>
      <c r="C118" s="262">
        <v>45784</v>
      </c>
      <c r="D118" s="262">
        <v>45784</v>
      </c>
      <c r="E118" s="262" t="s">
        <v>214</v>
      </c>
      <c r="F118" s="224" t="s">
        <v>261</v>
      </c>
      <c r="G118" t="s">
        <v>32</v>
      </c>
      <c r="H118" t="s">
        <v>66</v>
      </c>
      <c r="I118" t="s">
        <v>34</v>
      </c>
      <c r="J118" s="238"/>
      <c r="K118" s="238"/>
      <c r="L118" s="238"/>
      <c r="M118" s="238"/>
      <c r="N118" s="238"/>
      <c r="O118" s="238"/>
      <c r="P118" s="238"/>
      <c r="Q118" s="238"/>
      <c r="R118" s="238"/>
      <c r="S118" s="238"/>
      <c r="T118" s="238"/>
      <c r="U118" s="238"/>
      <c r="V118" s="238"/>
      <c r="W118" s="238"/>
      <c r="X118" s="238"/>
      <c r="Y118" s="238"/>
      <c r="Z118" s="238"/>
      <c r="AA118" s="238"/>
      <c r="AB118" s="238"/>
      <c r="AC118" s="238"/>
      <c r="AD118" s="238"/>
    </row>
    <row r="119" spans="1:30" ht="23.25">
      <c r="A119" s="238">
        <v>56</v>
      </c>
      <c r="B119" s="224" t="s">
        <v>263</v>
      </c>
      <c r="C119" s="262">
        <v>45743</v>
      </c>
      <c r="F119" s="260"/>
    </row>
    <row r="120" spans="1:30">
      <c r="A120" s="238">
        <v>57</v>
      </c>
      <c r="B120" s="224" t="s">
        <v>264</v>
      </c>
      <c r="F120" s="260" t="s">
        <v>265</v>
      </c>
      <c r="G120" t="s">
        <v>69</v>
      </c>
      <c r="I120" t="s">
        <v>34</v>
      </c>
      <c r="J120" s="238" t="s">
        <v>89</v>
      </c>
      <c r="L120" s="238" t="s">
        <v>89</v>
      </c>
    </row>
    <row r="121" spans="1:30">
      <c r="A121" s="238">
        <v>58</v>
      </c>
      <c r="B121" s="224" t="s">
        <v>266</v>
      </c>
      <c r="F121" s="260"/>
      <c r="G121" t="s">
        <v>69</v>
      </c>
      <c r="I121" t="s">
        <v>80</v>
      </c>
      <c r="J121" s="238" t="s">
        <v>88</v>
      </c>
      <c r="L121" s="238" t="s">
        <v>89</v>
      </c>
    </row>
    <row r="122" spans="1:30">
      <c r="A122" s="238">
        <v>59</v>
      </c>
      <c r="B122" s="224" t="s">
        <v>267</v>
      </c>
      <c r="F122" s="260"/>
      <c r="G122" t="s">
        <v>95</v>
      </c>
      <c r="H122" t="s">
        <v>54</v>
      </c>
      <c r="I122" t="s">
        <v>80</v>
      </c>
      <c r="K122" s="238" t="s">
        <v>88</v>
      </c>
      <c r="L122" s="238" t="s">
        <v>89</v>
      </c>
      <c r="M122" s="238" t="s">
        <v>88</v>
      </c>
      <c r="N122" s="238" t="s">
        <v>88</v>
      </c>
    </row>
    <row r="123" spans="1:30">
      <c r="A123" s="238">
        <v>60</v>
      </c>
      <c r="B123" s="224" t="s">
        <v>268</v>
      </c>
      <c r="F123" s="260"/>
      <c r="G123" t="s">
        <v>95</v>
      </c>
      <c r="H123" t="s">
        <v>54</v>
      </c>
      <c r="I123" t="s">
        <v>80</v>
      </c>
      <c r="L123" s="238" t="s">
        <v>89</v>
      </c>
      <c r="N123" s="238" t="s">
        <v>88</v>
      </c>
    </row>
    <row r="124" spans="1:30">
      <c r="A124" s="238">
        <v>61</v>
      </c>
      <c r="B124" s="224" t="s">
        <v>269</v>
      </c>
      <c r="F124" s="260"/>
      <c r="G124" t="s">
        <v>74</v>
      </c>
      <c r="H124" t="s">
        <v>66</v>
      </c>
      <c r="I124" t="s">
        <v>34</v>
      </c>
      <c r="K124" s="238" t="s">
        <v>88</v>
      </c>
      <c r="M124" s="238" t="s">
        <v>88</v>
      </c>
      <c r="P124" s="238" t="s">
        <v>89</v>
      </c>
    </row>
    <row r="125" spans="1:30">
      <c r="A125" s="238">
        <v>62</v>
      </c>
      <c r="B125" s="224" t="s">
        <v>270</v>
      </c>
      <c r="F125" s="260"/>
      <c r="G125" t="s">
        <v>69</v>
      </c>
      <c r="I125" t="s">
        <v>80</v>
      </c>
      <c r="L125" s="238" t="s">
        <v>89</v>
      </c>
    </row>
    <row r="126" spans="1:30" s="248" customFormat="1">
      <c r="A126" s="250"/>
      <c r="B126" s="278"/>
      <c r="F126" s="278"/>
    </row>
    <row r="127" spans="1:30" s="248" customFormat="1">
      <c r="A127" s="250"/>
      <c r="B127" s="278"/>
      <c r="F127" s="278"/>
    </row>
    <row r="128" spans="1:30" s="248" customFormat="1">
      <c r="A128" s="250"/>
      <c r="B128" s="278"/>
      <c r="F128" s="278"/>
    </row>
    <row r="129" spans="1:6" s="248" customFormat="1">
      <c r="A129" s="250"/>
      <c r="B129" s="278"/>
      <c r="F129" s="278"/>
    </row>
    <row r="130" spans="1:6" s="248" customFormat="1">
      <c r="A130" s="250"/>
      <c r="B130" s="278"/>
      <c r="F130" s="278"/>
    </row>
  </sheetData>
  <autoFilter ref="B1:AD1" xr:uid="{B62DED2A-68BF-498A-923D-F861B180E160}"/>
  <conditionalFormatting sqref="J2:W125">
    <cfRule type="cellIs" dxfId="3" priority="2" operator="equal">
      <formula>"R"</formula>
    </cfRule>
  </conditionalFormatting>
  <conditionalFormatting sqref="J2:W125">
    <cfRule type="beginsWith" dxfId="2" priority="1" operator="beginsWith" text="A">
      <formula>LEFT(J2,LEN("A"))="A"</formula>
    </cfRule>
  </conditionalFormatting>
  <hyperlinks>
    <hyperlink ref="B79" r:id="rId1" xr:uid="{51F78AFD-C34A-4724-AEDD-5B15F0C86329}"/>
    <hyperlink ref="B53" r:id="rId2" xr:uid="{17DF584A-1960-4F15-AEB0-D609EECBD4C7}"/>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A71D4-4378-4DA7-9C4F-0A0DBE907373}">
  <dimension ref="A1:AB29"/>
  <sheetViews>
    <sheetView workbookViewId="0">
      <selection activeCell="L7" sqref="L7"/>
    </sheetView>
  </sheetViews>
  <sheetFormatPr defaultRowHeight="12.75"/>
  <cols>
    <col min="1" max="1" width="25" customWidth="1"/>
    <col min="2" max="2" width="22.7109375" hidden="1" customWidth="1"/>
    <col min="3" max="3" width="22.140625" hidden="1" customWidth="1"/>
    <col min="4" max="4" width="23.28515625" hidden="1" customWidth="1"/>
    <col min="5" max="5" width="21.140625" hidden="1" customWidth="1"/>
    <col min="6" max="6" width="20.5703125" hidden="1" customWidth="1"/>
    <col min="7" max="9" width="21.140625" hidden="1" customWidth="1"/>
    <col min="10" max="10" width="20.5703125" style="231" customWidth="1"/>
    <col min="11" max="11" width="17.5703125" customWidth="1"/>
    <col min="12" max="12" width="19.140625" customWidth="1"/>
    <col min="13" max="13" width="18" customWidth="1"/>
    <col min="14" max="14" width="17.28515625" customWidth="1"/>
    <col min="15" max="15" width="16.5703125" customWidth="1"/>
    <col min="16" max="16" width="16" customWidth="1"/>
    <col min="17" max="21" width="12" customWidth="1"/>
  </cols>
  <sheetData>
    <row r="1" spans="1:28" s="238" customFormat="1" ht="14.25">
      <c r="A1" s="236"/>
      <c r="B1" s="237" t="s">
        <v>271</v>
      </c>
      <c r="C1" s="237" t="s">
        <v>272</v>
      </c>
      <c r="D1" s="237" t="s">
        <v>273</v>
      </c>
      <c r="E1" s="237" t="s">
        <v>274</v>
      </c>
      <c r="F1" s="237" t="s">
        <v>275</v>
      </c>
      <c r="G1" s="237" t="s">
        <v>276</v>
      </c>
      <c r="H1" s="237" t="s">
        <v>277</v>
      </c>
      <c r="I1" s="237" t="s">
        <v>278</v>
      </c>
      <c r="J1" s="313" t="s">
        <v>279</v>
      </c>
      <c r="K1" s="237" t="s">
        <v>280</v>
      </c>
      <c r="L1" s="237" t="s">
        <v>281</v>
      </c>
      <c r="M1" s="237" t="s">
        <v>282</v>
      </c>
      <c r="N1" s="237" t="s">
        <v>283</v>
      </c>
      <c r="O1" s="237" t="s">
        <v>284</v>
      </c>
      <c r="P1" s="237" t="s">
        <v>285</v>
      </c>
      <c r="Q1" s="237" t="s">
        <v>286</v>
      </c>
      <c r="R1" s="237" t="s">
        <v>287</v>
      </c>
    </row>
    <row r="2" spans="1:28" s="234" customFormat="1" ht="14.25">
      <c r="A2" s="235" t="s">
        <v>288</v>
      </c>
      <c r="B2" s="233">
        <v>45729</v>
      </c>
      <c r="C2" s="233">
        <v>45743</v>
      </c>
      <c r="D2" s="233">
        <v>45757</v>
      </c>
      <c r="E2" s="233">
        <v>45771</v>
      </c>
      <c r="F2" s="233">
        <v>45785</v>
      </c>
      <c r="G2" s="233">
        <v>45799</v>
      </c>
      <c r="H2" s="233">
        <v>45813</v>
      </c>
      <c r="I2" s="233">
        <v>45827</v>
      </c>
      <c r="J2" s="258">
        <v>45841</v>
      </c>
      <c r="K2" s="233">
        <v>45855</v>
      </c>
      <c r="L2" s="233">
        <v>45869</v>
      </c>
      <c r="M2" s="233">
        <v>45883</v>
      </c>
      <c r="N2" s="233">
        <v>45897</v>
      </c>
      <c r="O2" s="233">
        <v>45911</v>
      </c>
      <c r="P2" s="233">
        <v>45925</v>
      </c>
      <c r="Q2" s="258">
        <v>45939</v>
      </c>
      <c r="R2" s="233">
        <v>45953</v>
      </c>
    </row>
    <row r="3" spans="1:28" ht="14.25">
      <c r="A3" s="14" t="s">
        <v>289</v>
      </c>
      <c r="B3" s="252"/>
      <c r="C3" s="276" t="s">
        <v>290</v>
      </c>
      <c r="D3" s="252"/>
      <c r="E3" s="275" t="s">
        <v>291</v>
      </c>
      <c r="F3" s="252"/>
      <c r="G3" s="252" t="s">
        <v>292</v>
      </c>
      <c r="H3" s="252"/>
      <c r="I3" s="252"/>
      <c r="J3" s="259"/>
      <c r="M3" s="252" t="s">
        <v>293</v>
      </c>
      <c r="N3" s="252" t="s">
        <v>294</v>
      </c>
      <c r="O3" s="252" t="s">
        <v>295</v>
      </c>
      <c r="Q3" s="231"/>
    </row>
    <row r="4" spans="1:28" ht="30">
      <c r="A4" s="26" t="s">
        <v>296</v>
      </c>
      <c r="B4" s="252"/>
      <c r="C4" s="252"/>
      <c r="D4" s="252"/>
      <c r="E4" s="252"/>
      <c r="F4" s="252"/>
      <c r="G4" s="252"/>
      <c r="H4" s="252"/>
      <c r="I4" s="252"/>
      <c r="J4" s="259"/>
      <c r="K4" s="252"/>
      <c r="L4" s="252"/>
      <c r="Q4" s="231"/>
    </row>
    <row r="5" spans="1:28" ht="63.75" customHeight="1">
      <c r="A5" s="29" t="s">
        <v>297</v>
      </c>
      <c r="B5" s="277" t="s">
        <v>298</v>
      </c>
      <c r="C5" s="277" t="s">
        <v>299</v>
      </c>
      <c r="D5" s="272" t="s">
        <v>300</v>
      </c>
      <c r="E5" s="272" t="s">
        <v>300</v>
      </c>
      <c r="F5" s="280" t="s">
        <v>301</v>
      </c>
      <c r="G5" s="280" t="s">
        <v>301</v>
      </c>
      <c r="H5" s="287" t="s">
        <v>302</v>
      </c>
      <c r="I5" s="287" t="s">
        <v>303</v>
      </c>
      <c r="J5" s="288" t="s">
        <v>304</v>
      </c>
      <c r="K5" s="288" t="s">
        <v>305</v>
      </c>
      <c r="L5" s="281" t="s">
        <v>306</v>
      </c>
      <c r="M5" s="281" t="s">
        <v>307</v>
      </c>
      <c r="N5" s="225" t="s">
        <v>308</v>
      </c>
      <c r="O5" s="225" t="s">
        <v>309</v>
      </c>
      <c r="P5" s="225" t="s">
        <v>309</v>
      </c>
      <c r="Q5" s="271" t="s">
        <v>310</v>
      </c>
      <c r="R5" s="271" t="s">
        <v>311</v>
      </c>
      <c r="S5" s="271" t="s">
        <v>311</v>
      </c>
      <c r="T5" s="271" t="s">
        <v>311</v>
      </c>
      <c r="U5" s="263" t="s">
        <v>312</v>
      </c>
      <c r="V5" s="263" t="s">
        <v>312</v>
      </c>
      <c r="W5" s="263" t="s">
        <v>312</v>
      </c>
      <c r="X5" s="264" t="s">
        <v>313</v>
      </c>
      <c r="Y5" s="264" t="s">
        <v>314</v>
      </c>
      <c r="Z5" s="282" t="s">
        <v>315</v>
      </c>
      <c r="AB5" s="252" t="s">
        <v>292</v>
      </c>
    </row>
    <row r="6" spans="1:28" ht="92.25">
      <c r="A6" s="45" t="s">
        <v>316</v>
      </c>
      <c r="B6" s="253" t="s">
        <v>317</v>
      </c>
      <c r="C6" s="253" t="s">
        <v>318</v>
      </c>
      <c r="D6" s="225" t="s">
        <v>319</v>
      </c>
      <c r="E6" s="225" t="s">
        <v>320</v>
      </c>
      <c r="F6" s="253" t="s">
        <v>321</v>
      </c>
      <c r="G6" s="253" t="s">
        <v>322</v>
      </c>
      <c r="H6" s="225" t="s">
        <v>323</v>
      </c>
      <c r="I6" s="225" t="s">
        <v>324</v>
      </c>
      <c r="J6" s="312" t="s">
        <v>325</v>
      </c>
      <c r="K6" s="225" t="s">
        <v>326</v>
      </c>
      <c r="L6" s="253" t="s">
        <v>327</v>
      </c>
      <c r="M6" s="253" t="s">
        <v>328</v>
      </c>
      <c r="N6" s="253" t="s">
        <v>329</v>
      </c>
      <c r="O6" s="225" t="s">
        <v>330</v>
      </c>
      <c r="P6" s="225" t="s">
        <v>331</v>
      </c>
      <c r="Q6" s="252" t="s">
        <v>332</v>
      </c>
      <c r="R6" s="252" t="s">
        <v>332</v>
      </c>
      <c r="S6" s="252" t="s">
        <v>332</v>
      </c>
    </row>
    <row r="7" spans="1:28" ht="51" customHeight="1">
      <c r="A7" s="52" t="s">
        <v>333</v>
      </c>
      <c r="B7" s="277" t="s">
        <v>334</v>
      </c>
      <c r="C7" s="263" t="s">
        <v>335</v>
      </c>
      <c r="D7" s="263" t="s">
        <v>335</v>
      </c>
      <c r="E7" s="280" t="s">
        <v>336</v>
      </c>
      <c r="F7" s="271" t="s">
        <v>337</v>
      </c>
      <c r="G7" s="271" t="s">
        <v>337</v>
      </c>
      <c r="H7" s="271" t="s">
        <v>337</v>
      </c>
      <c r="I7" s="271" t="s">
        <v>338</v>
      </c>
      <c r="J7" s="271" t="s">
        <v>337</v>
      </c>
      <c r="K7" s="225" t="s">
        <v>339</v>
      </c>
      <c r="L7" s="315" t="s">
        <v>340</v>
      </c>
      <c r="M7" s="315" t="s">
        <v>340</v>
      </c>
      <c r="N7" s="315" t="s">
        <v>340</v>
      </c>
      <c r="O7" s="270" t="s">
        <v>341</v>
      </c>
      <c r="P7" s="270" t="s">
        <v>341</v>
      </c>
      <c r="Q7" s="298" t="s">
        <v>342</v>
      </c>
      <c r="R7" s="298" t="s">
        <v>342</v>
      </c>
    </row>
    <row r="8" spans="1:28" ht="14.25">
      <c r="A8" s="55" t="s">
        <v>343</v>
      </c>
      <c r="B8" s="253" t="s">
        <v>344</v>
      </c>
      <c r="C8" s="253" t="s">
        <v>345</v>
      </c>
      <c r="D8" s="253" t="s">
        <v>346</v>
      </c>
      <c r="F8" s="297" t="s">
        <v>347</v>
      </c>
      <c r="G8" s="297" t="s">
        <v>348</v>
      </c>
      <c r="H8" s="297" t="s">
        <v>348</v>
      </c>
      <c r="J8" s="259"/>
      <c r="N8" s="253" t="s">
        <v>349</v>
      </c>
    </row>
    <row r="9" spans="1:28" ht="33" customHeight="1">
      <c r="A9" s="296" t="s">
        <v>350</v>
      </c>
      <c r="B9" s="252" t="s">
        <v>351</v>
      </c>
      <c r="C9" s="252"/>
      <c r="D9" s="252"/>
      <c r="E9" s="252"/>
      <c r="F9" s="253" t="s">
        <v>352</v>
      </c>
      <c r="G9" s="252" t="s">
        <v>353</v>
      </c>
      <c r="H9" s="253" t="s">
        <v>354</v>
      </c>
      <c r="I9" s="252"/>
      <c r="J9" s="259"/>
      <c r="K9" s="252"/>
      <c r="L9" s="252"/>
    </row>
    <row r="10" spans="1:28" ht="45.75" customHeight="1">
      <c r="A10" s="62" t="s">
        <v>355</v>
      </c>
      <c r="B10" s="273" t="s">
        <v>356</v>
      </c>
      <c r="C10" s="273" t="s">
        <v>356</v>
      </c>
      <c r="D10" s="252"/>
      <c r="G10" s="252"/>
      <c r="H10" s="271" t="s">
        <v>311</v>
      </c>
      <c r="K10" s="271" t="s">
        <v>357</v>
      </c>
      <c r="L10" s="282" t="s">
        <v>315</v>
      </c>
      <c r="P10" s="264" t="s">
        <v>314</v>
      </c>
    </row>
    <row r="11" spans="1:28" ht="33" customHeight="1">
      <c r="A11" s="66" t="s">
        <v>358</v>
      </c>
      <c r="B11" s="253" t="s">
        <v>359</v>
      </c>
      <c r="C11" s="252"/>
      <c r="D11" s="252"/>
      <c r="E11" s="252"/>
      <c r="F11" s="252"/>
      <c r="G11" s="252"/>
      <c r="H11" s="252"/>
      <c r="I11" s="252"/>
      <c r="J11" s="259"/>
      <c r="K11" s="252"/>
      <c r="L11" s="252"/>
    </row>
    <row r="12" spans="1:28" ht="33" customHeight="1">
      <c r="A12" s="219" t="s">
        <v>360</v>
      </c>
      <c r="B12" s="252"/>
      <c r="C12" s="252"/>
      <c r="D12" s="252"/>
      <c r="E12" s="252"/>
      <c r="F12" s="252"/>
      <c r="G12" s="252"/>
      <c r="H12" s="252"/>
      <c r="I12" s="252"/>
      <c r="J12" s="259"/>
      <c r="K12" s="252"/>
      <c r="L12" s="252"/>
    </row>
    <row r="13" spans="1:28" ht="33" customHeight="1">
      <c r="A13" s="74" t="s">
        <v>361</v>
      </c>
      <c r="B13" s="252"/>
      <c r="C13" s="252"/>
      <c r="D13" s="252"/>
      <c r="E13" s="252"/>
      <c r="F13" s="252"/>
      <c r="G13" s="252"/>
      <c r="H13" s="252"/>
      <c r="I13" s="252"/>
      <c r="J13" s="259"/>
      <c r="K13" s="252"/>
      <c r="L13" s="252"/>
    </row>
    <row r="14" spans="1:28" ht="33" customHeight="1">
      <c r="A14" s="70" t="s">
        <v>362</v>
      </c>
      <c r="B14" s="253" t="s">
        <v>363</v>
      </c>
      <c r="C14" s="264" t="s">
        <v>349</v>
      </c>
      <c r="D14" s="264" t="s">
        <v>349</v>
      </c>
      <c r="E14" s="264" t="s">
        <v>349</v>
      </c>
      <c r="F14" s="252"/>
      <c r="G14" s="252"/>
      <c r="H14" s="252"/>
      <c r="I14" s="252"/>
      <c r="J14" s="259"/>
      <c r="K14" s="252"/>
      <c r="L14" s="252"/>
    </row>
    <row r="15" spans="1:28" ht="33" customHeight="1">
      <c r="A15" s="72" t="s">
        <v>364</v>
      </c>
      <c r="B15" s="252"/>
      <c r="C15" s="252"/>
      <c r="D15" s="252"/>
      <c r="E15" s="252"/>
      <c r="F15" s="252"/>
      <c r="G15" s="252"/>
      <c r="H15" s="252"/>
      <c r="I15" s="252"/>
      <c r="J15" s="259"/>
      <c r="K15" s="252"/>
      <c r="L15" s="252"/>
    </row>
    <row r="16" spans="1:28" ht="33" customHeight="1">
      <c r="A16" s="75" t="s">
        <v>365</v>
      </c>
      <c r="B16" s="252"/>
      <c r="C16" s="252"/>
      <c r="D16" s="252"/>
      <c r="E16" s="252"/>
      <c r="F16" s="253"/>
      <c r="G16" s="252"/>
      <c r="H16" s="252"/>
      <c r="I16" s="252"/>
      <c r="J16" s="259"/>
      <c r="K16" s="252"/>
      <c r="L16" s="252"/>
    </row>
    <row r="17" spans="3:14" ht="75.75" customHeight="1">
      <c r="C17" s="224"/>
      <c r="F17" s="253" t="s">
        <v>366</v>
      </c>
      <c r="G17" s="224" t="s">
        <v>367</v>
      </c>
    </row>
    <row r="23" spans="3:14">
      <c r="M23" s="240" t="s">
        <v>368</v>
      </c>
    </row>
    <row r="24" spans="3:14">
      <c r="L24" t="s">
        <v>369</v>
      </c>
      <c r="M24" t="s">
        <v>370</v>
      </c>
    </row>
    <row r="25" spans="3:14">
      <c r="L25" t="s">
        <v>371</v>
      </c>
      <c r="M25" t="s">
        <v>372</v>
      </c>
    </row>
    <row r="26" spans="3:14">
      <c r="L26" t="s">
        <v>373</v>
      </c>
      <c r="M26" t="s">
        <v>374</v>
      </c>
    </row>
    <row r="27" spans="3:14">
      <c r="L27" t="s">
        <v>375</v>
      </c>
      <c r="M27" t="s">
        <v>374</v>
      </c>
      <c r="N27" t="s">
        <v>376</v>
      </c>
    </row>
    <row r="28" spans="3:14">
      <c r="L28" t="s">
        <v>377</v>
      </c>
      <c r="M28" t="s">
        <v>378</v>
      </c>
      <c r="N28" t="s">
        <v>379</v>
      </c>
    </row>
    <row r="29" spans="3:14">
      <c r="L29" t="s">
        <v>380</v>
      </c>
    </row>
  </sheetData>
  <hyperlinks>
    <hyperlink ref="A12" r:id="rId1" xr:uid="{7FC2A38A-826C-4BFF-AB8B-3FB1FB032FAD}"/>
    <hyperlink ref="A9" r:id="rId2" xr:uid="{283551C1-78DA-4B25-B2C1-7C2D607AD2C5}"/>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188AA-E602-4939-8006-342657534D5D}">
  <dimension ref="A2:AA17"/>
  <sheetViews>
    <sheetView workbookViewId="0">
      <selection activeCell="A17" sqref="A17"/>
    </sheetView>
  </sheetViews>
  <sheetFormatPr defaultRowHeight="12.75"/>
  <sheetData>
    <row r="2" spans="1:27">
      <c r="A2" s="256" t="s">
        <v>381</v>
      </c>
      <c r="B2" s="267"/>
      <c r="C2" s="222"/>
      <c r="D2" s="222"/>
      <c r="E2" s="222"/>
      <c r="F2" s="222"/>
      <c r="G2" s="257"/>
      <c r="H2" s="257"/>
      <c r="I2" s="257"/>
      <c r="J2" s="257"/>
      <c r="K2" s="257"/>
      <c r="L2" s="257"/>
      <c r="M2" s="257"/>
      <c r="N2" s="257"/>
      <c r="O2" s="257"/>
      <c r="P2" s="257"/>
      <c r="Q2" s="257"/>
      <c r="R2" s="257"/>
      <c r="S2" s="257"/>
      <c r="T2" s="257"/>
      <c r="U2" s="257"/>
      <c r="V2" s="257"/>
      <c r="W2" s="257"/>
      <c r="X2" s="257"/>
      <c r="Y2" s="257"/>
      <c r="Z2" s="257"/>
      <c r="AA2" s="257"/>
    </row>
    <row r="3" spans="1:27">
      <c r="A3" s="241" t="s">
        <v>382</v>
      </c>
      <c r="B3" s="268"/>
      <c r="G3" s="238"/>
      <c r="H3" s="238"/>
      <c r="I3" s="238"/>
      <c r="J3" s="238" t="s">
        <v>36</v>
      </c>
      <c r="K3" s="238" t="s">
        <v>36</v>
      </c>
      <c r="L3" s="238" t="s">
        <v>36</v>
      </c>
      <c r="M3" s="238"/>
      <c r="N3" s="238" t="s">
        <v>36</v>
      </c>
      <c r="O3" s="238" t="s">
        <v>36</v>
      </c>
      <c r="P3" s="238"/>
      <c r="Q3" s="238"/>
      <c r="R3" s="238"/>
      <c r="S3" s="238"/>
      <c r="T3" s="238"/>
      <c r="U3" s="238"/>
      <c r="V3" s="238"/>
      <c r="W3" s="238"/>
      <c r="X3" s="238"/>
      <c r="Y3" s="238"/>
      <c r="Z3" s="238"/>
      <c r="AA3" s="238"/>
    </row>
    <row r="4" spans="1:27">
      <c r="A4" s="241" t="s">
        <v>383</v>
      </c>
      <c r="B4" s="268"/>
      <c r="G4" s="238"/>
      <c r="H4" s="238"/>
      <c r="I4" s="238" t="s">
        <v>36</v>
      </c>
      <c r="J4" s="238" t="s">
        <v>36</v>
      </c>
      <c r="K4" s="238" t="s">
        <v>35</v>
      </c>
      <c r="L4" s="238" t="s">
        <v>35</v>
      </c>
      <c r="M4" s="238"/>
      <c r="N4" s="238"/>
      <c r="O4" s="238"/>
      <c r="P4" s="238"/>
      <c r="Q4" s="238"/>
      <c r="R4" s="238"/>
      <c r="S4" s="238"/>
      <c r="T4" s="238"/>
      <c r="U4" s="238"/>
      <c r="V4" s="238"/>
      <c r="W4" s="238"/>
      <c r="X4" s="238"/>
      <c r="Y4" s="238"/>
      <c r="Z4" s="238"/>
      <c r="AA4" s="238"/>
    </row>
    <row r="5" spans="1:27">
      <c r="A5" s="241" t="s">
        <v>384</v>
      </c>
      <c r="B5" s="268"/>
      <c r="G5" s="238"/>
      <c r="H5" s="238"/>
      <c r="I5" s="238" t="s">
        <v>36</v>
      </c>
      <c r="J5" s="238" t="s">
        <v>36</v>
      </c>
      <c r="K5" s="238"/>
      <c r="L5" s="238"/>
      <c r="M5" s="238"/>
      <c r="N5" s="238"/>
      <c r="O5" s="238"/>
      <c r="P5" s="238"/>
      <c r="Q5" s="238"/>
      <c r="R5" s="238"/>
      <c r="S5" s="238"/>
      <c r="T5" s="238"/>
      <c r="U5" s="238"/>
      <c r="V5" s="238"/>
      <c r="W5" s="238"/>
      <c r="X5" s="238"/>
      <c r="Y5" s="238"/>
      <c r="Z5" s="238"/>
      <c r="AA5" s="238"/>
    </row>
    <row r="6" spans="1:27">
      <c r="A6" s="241" t="s">
        <v>385</v>
      </c>
      <c r="B6" s="268"/>
      <c r="G6" s="238"/>
      <c r="H6" s="238"/>
      <c r="I6" s="238" t="s">
        <v>36</v>
      </c>
      <c r="J6" s="238"/>
      <c r="K6" s="238"/>
      <c r="L6" s="238"/>
      <c r="M6" s="238"/>
      <c r="N6" s="238"/>
      <c r="O6" s="238"/>
      <c r="P6" s="238"/>
      <c r="Q6" s="238"/>
      <c r="R6" s="238"/>
      <c r="S6" s="238"/>
      <c r="T6" s="238"/>
      <c r="U6" s="238"/>
      <c r="V6" s="238"/>
      <c r="W6" s="238"/>
      <c r="X6" s="238"/>
      <c r="Y6" s="238"/>
      <c r="Z6" s="238"/>
      <c r="AA6" s="238"/>
    </row>
    <row r="7" spans="1:27">
      <c r="A7" s="241" t="s">
        <v>386</v>
      </c>
      <c r="B7" s="268"/>
      <c r="G7" s="238"/>
      <c r="H7" s="238" t="s">
        <v>35</v>
      </c>
      <c r="I7" s="238" t="s">
        <v>35</v>
      </c>
      <c r="J7" s="238" t="s">
        <v>35</v>
      </c>
      <c r="K7" s="238" t="s">
        <v>36</v>
      </c>
      <c r="L7" s="238"/>
      <c r="M7" s="238"/>
      <c r="N7" s="238"/>
      <c r="O7" s="238"/>
      <c r="P7" s="238"/>
      <c r="Q7" s="238"/>
      <c r="R7" s="238"/>
      <c r="S7" s="238"/>
      <c r="T7" s="238"/>
      <c r="U7" s="238"/>
      <c r="V7" s="238"/>
      <c r="W7" s="238"/>
      <c r="X7" s="238"/>
      <c r="Y7" s="238"/>
      <c r="Z7" s="238"/>
      <c r="AA7" s="238"/>
    </row>
    <row r="8" spans="1:27">
      <c r="A8" s="241" t="s">
        <v>387</v>
      </c>
      <c r="B8" s="268"/>
      <c r="G8" s="238"/>
      <c r="H8" s="238" t="s">
        <v>36</v>
      </c>
      <c r="I8" s="238" t="s">
        <v>35</v>
      </c>
      <c r="J8" s="238" t="s">
        <v>35</v>
      </c>
      <c r="K8" s="238"/>
      <c r="L8" s="238"/>
      <c r="M8" s="238"/>
      <c r="N8" s="238"/>
      <c r="O8" s="238"/>
      <c r="P8" s="238"/>
      <c r="Q8" s="238"/>
      <c r="R8" s="238"/>
      <c r="S8" s="238"/>
      <c r="T8" s="238"/>
      <c r="U8" s="238"/>
      <c r="V8" s="238"/>
      <c r="W8" s="238"/>
      <c r="X8" s="238"/>
      <c r="Y8" s="238"/>
      <c r="Z8" s="238"/>
      <c r="AA8" s="238"/>
    </row>
    <row r="9" spans="1:27">
      <c r="B9" s="262"/>
      <c r="G9" s="238"/>
      <c r="H9" s="238"/>
      <c r="I9" s="238"/>
      <c r="J9" s="238"/>
      <c r="K9" s="238"/>
      <c r="L9" s="238"/>
      <c r="M9" s="238"/>
      <c r="N9" s="238"/>
      <c r="O9" s="238"/>
      <c r="P9" s="238"/>
      <c r="Q9" s="238"/>
      <c r="R9" s="238"/>
      <c r="S9" s="238"/>
      <c r="T9" s="238"/>
      <c r="U9" s="238"/>
      <c r="V9" s="238"/>
      <c r="W9" s="238"/>
      <c r="X9" s="238"/>
      <c r="Y9" s="238"/>
      <c r="Z9" s="238"/>
      <c r="AA9" s="238"/>
    </row>
    <row r="10" spans="1:27">
      <c r="A10" s="254" t="s">
        <v>388</v>
      </c>
      <c r="B10" s="269"/>
      <c r="C10" s="230"/>
      <c r="D10" s="230"/>
      <c r="E10" s="230"/>
      <c r="F10" s="230"/>
      <c r="G10" s="255"/>
      <c r="H10" s="255"/>
      <c r="I10" s="255"/>
      <c r="J10" s="255"/>
      <c r="K10" s="255"/>
      <c r="L10" s="255"/>
      <c r="M10" s="255"/>
      <c r="N10" s="255"/>
      <c r="O10" s="255"/>
      <c r="P10" s="255"/>
      <c r="Q10" s="255"/>
      <c r="R10" s="255"/>
      <c r="S10" s="255"/>
      <c r="T10" s="255"/>
      <c r="U10" s="255"/>
      <c r="V10" s="255"/>
      <c r="W10" s="255"/>
      <c r="X10" s="255"/>
      <c r="Y10" s="255"/>
      <c r="Z10" s="255"/>
      <c r="AA10" s="255"/>
    </row>
    <row r="11" spans="1:27">
      <c r="A11" s="248" t="s">
        <v>389</v>
      </c>
      <c r="B11" s="266"/>
      <c r="C11" s="249"/>
      <c r="D11" s="251" t="s">
        <v>259</v>
      </c>
      <c r="E11" s="251" t="s">
        <v>43</v>
      </c>
      <c r="F11" s="248" t="s">
        <v>34</v>
      </c>
      <c r="G11" s="250"/>
      <c r="H11" s="250"/>
      <c r="I11" s="250"/>
      <c r="J11" s="250"/>
      <c r="K11" s="250"/>
      <c r="L11" s="250"/>
      <c r="M11" s="250" t="s">
        <v>36</v>
      </c>
      <c r="N11" s="250"/>
      <c r="O11" s="250"/>
      <c r="P11" s="250"/>
      <c r="Q11" s="250"/>
      <c r="R11" s="250"/>
      <c r="S11" s="250"/>
      <c r="T11" s="250"/>
      <c r="U11" s="250"/>
      <c r="V11" s="250"/>
      <c r="W11" s="250"/>
      <c r="X11" s="250"/>
      <c r="Y11" s="250"/>
      <c r="Z11" s="250"/>
      <c r="AA11" s="250"/>
    </row>
    <row r="12" spans="1:27">
      <c r="A12" s="248" t="s">
        <v>390</v>
      </c>
      <c r="B12" s="266"/>
      <c r="C12" s="249"/>
      <c r="D12" s="251" t="s">
        <v>59</v>
      </c>
      <c r="E12" s="251"/>
      <c r="F12" s="248" t="s">
        <v>34</v>
      </c>
      <c r="G12" s="250"/>
      <c r="H12" s="250"/>
      <c r="I12" s="250"/>
      <c r="J12" s="250"/>
      <c r="K12" s="250"/>
      <c r="L12" s="250"/>
      <c r="M12" s="250" t="s">
        <v>36</v>
      </c>
      <c r="N12" s="250"/>
      <c r="O12" s="250"/>
      <c r="P12" s="250"/>
      <c r="Q12" s="250"/>
      <c r="R12" s="250"/>
      <c r="S12" s="250"/>
      <c r="T12" s="250"/>
      <c r="U12" s="250"/>
      <c r="V12" s="250"/>
      <c r="W12" s="250"/>
      <c r="X12" s="250"/>
      <c r="Y12" s="250"/>
      <c r="Z12" s="250"/>
      <c r="AA12" s="250"/>
    </row>
    <row r="13" spans="1:27">
      <c r="A13" s="248" t="s">
        <v>391</v>
      </c>
      <c r="B13" s="266"/>
      <c r="C13" s="249"/>
      <c r="D13" s="251" t="s">
        <v>259</v>
      </c>
      <c r="E13" s="251"/>
      <c r="F13" s="248" t="s">
        <v>44</v>
      </c>
      <c r="G13" s="250"/>
      <c r="H13" s="250"/>
      <c r="I13" s="250"/>
      <c r="J13" s="250"/>
      <c r="K13" s="250"/>
      <c r="L13" s="250"/>
      <c r="M13" s="250" t="s">
        <v>36</v>
      </c>
      <c r="N13" s="250"/>
      <c r="O13" s="250"/>
      <c r="P13" s="250"/>
      <c r="Q13" s="250"/>
      <c r="R13" s="250"/>
      <c r="S13" s="250"/>
      <c r="T13" s="250"/>
      <c r="U13" s="250"/>
      <c r="V13" s="250"/>
      <c r="W13" s="250"/>
      <c r="X13" s="250"/>
      <c r="Y13" s="250"/>
      <c r="Z13" s="250"/>
      <c r="AA13" s="250"/>
    </row>
    <row r="14" spans="1:27">
      <c r="A14" s="248" t="s">
        <v>392</v>
      </c>
      <c r="B14" s="266"/>
      <c r="C14" s="249"/>
      <c r="D14" s="251" t="s">
        <v>259</v>
      </c>
      <c r="E14" s="251"/>
      <c r="F14" s="248" t="s">
        <v>34</v>
      </c>
      <c r="G14" s="250"/>
      <c r="H14" s="250"/>
      <c r="I14" s="250"/>
      <c r="J14" s="250"/>
      <c r="K14" s="250"/>
      <c r="L14" s="250"/>
      <c r="M14" s="250" t="s">
        <v>35</v>
      </c>
      <c r="N14" s="250"/>
      <c r="O14" s="250"/>
      <c r="P14" s="250" t="s">
        <v>36</v>
      </c>
      <c r="Q14" s="250"/>
      <c r="R14" s="250"/>
      <c r="S14" s="250"/>
      <c r="T14" s="250"/>
      <c r="U14" s="250"/>
      <c r="V14" s="250"/>
      <c r="W14" s="250"/>
      <c r="X14" s="250"/>
      <c r="Y14" s="250"/>
      <c r="Z14" s="250"/>
      <c r="AA14" s="250"/>
    </row>
    <row r="15" spans="1:27">
      <c r="A15" s="248" t="s">
        <v>393</v>
      </c>
      <c r="B15" s="266"/>
      <c r="C15" s="249"/>
      <c r="D15" s="251" t="s">
        <v>32</v>
      </c>
      <c r="E15" s="251" t="s">
        <v>43</v>
      </c>
      <c r="F15" s="248" t="s">
        <v>34</v>
      </c>
      <c r="G15" s="250"/>
      <c r="H15" s="250"/>
      <c r="I15" s="250"/>
      <c r="J15" s="250" t="s">
        <v>35</v>
      </c>
      <c r="K15" s="250"/>
      <c r="L15" s="250"/>
      <c r="M15" s="250" t="s">
        <v>36</v>
      </c>
      <c r="N15" s="250"/>
      <c r="O15" s="250"/>
      <c r="P15" s="250"/>
      <c r="Q15" s="250"/>
      <c r="R15" s="250"/>
      <c r="S15" s="250"/>
      <c r="T15" s="250"/>
      <c r="U15" s="250"/>
      <c r="V15" s="250"/>
      <c r="W15" s="250"/>
      <c r="X15" s="250"/>
      <c r="Y15" s="250"/>
      <c r="Z15" s="250"/>
      <c r="AA15" s="250"/>
    </row>
    <row r="16" spans="1:27">
      <c r="A16" s="248" t="s">
        <v>394</v>
      </c>
      <c r="B16" s="266"/>
      <c r="C16" s="249"/>
      <c r="D16" s="251" t="s">
        <v>259</v>
      </c>
      <c r="E16" s="251"/>
      <c r="F16" s="248" t="s">
        <v>34</v>
      </c>
      <c r="G16" s="250"/>
      <c r="H16" s="250"/>
      <c r="I16" s="250"/>
      <c r="J16" s="250"/>
      <c r="K16" s="250"/>
      <c r="L16" s="250"/>
      <c r="M16" s="250" t="s">
        <v>36</v>
      </c>
      <c r="N16" s="250"/>
      <c r="O16" s="250"/>
      <c r="P16" s="250" t="s">
        <v>35</v>
      </c>
      <c r="Q16" s="250"/>
      <c r="R16" s="250"/>
      <c r="S16" s="250"/>
      <c r="T16" s="250"/>
      <c r="U16" s="250"/>
      <c r="V16" s="250"/>
      <c r="W16" s="250"/>
      <c r="X16" s="250"/>
      <c r="Y16" s="250"/>
      <c r="Z16" s="250"/>
      <c r="AA16" s="250"/>
    </row>
    <row r="17" spans="1:27">
      <c r="A17" t="s">
        <v>395</v>
      </c>
      <c r="B17" s="262"/>
      <c r="C17" s="249"/>
      <c r="G17" s="238"/>
      <c r="H17" s="238"/>
      <c r="I17" s="238"/>
      <c r="J17" s="238"/>
      <c r="K17" s="238"/>
      <c r="L17" s="238"/>
      <c r="M17" s="238"/>
      <c r="N17" s="238"/>
      <c r="O17" s="238"/>
      <c r="P17" s="238"/>
      <c r="Q17" s="238"/>
      <c r="R17" s="238"/>
      <c r="S17" s="238"/>
      <c r="T17" s="238"/>
      <c r="U17" s="238"/>
      <c r="V17" s="238"/>
      <c r="W17" s="238"/>
      <c r="X17" s="238"/>
      <c r="Y17" s="238"/>
      <c r="Z17" s="238"/>
      <c r="AA17" s="238"/>
    </row>
  </sheetData>
  <conditionalFormatting sqref="U2:AA16 G2:T17">
    <cfRule type="cellIs" dxfId="1" priority="2" operator="equal">
      <formula>"P"</formula>
    </cfRule>
  </conditionalFormatting>
  <conditionalFormatting sqref="U2:AA16 G2:T17">
    <cfRule type="containsText" dxfId="0" priority="1" operator="containsText" text="S">
      <formula>NOT(ISERROR(SEARCH("S",G2)))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53EF4-5C7A-4E08-A9A2-528BCC3C8B95}">
  <sheetPr>
    <outlinePr summaryBelow="0" summaryRight="0"/>
  </sheetPr>
  <dimension ref="A1:AW16"/>
  <sheetViews>
    <sheetView workbookViewId="0">
      <pane xSplit="1" ySplit="2" topLeftCell="Q5" activePane="bottomRight" state="frozen"/>
      <selection pane="bottomRight" activeCell="Q5" sqref="Q5"/>
      <selection pane="bottomLeft" activeCell="A3" sqref="A3"/>
      <selection pane="topRight" activeCell="B1" sqref="B1"/>
    </sheetView>
  </sheetViews>
  <sheetFormatPr defaultColWidth="12.5703125" defaultRowHeight="15.75" customHeight="1"/>
  <cols>
    <col min="1" max="1" width="12.5703125" customWidth="1"/>
    <col min="2" max="2" width="18.85546875" customWidth="1"/>
    <col min="3" max="3" width="21.85546875" customWidth="1"/>
    <col min="4" max="4" width="22.7109375" customWidth="1"/>
    <col min="5" max="5" width="20.42578125" customWidth="1"/>
    <col min="6" max="6" width="21.42578125" customWidth="1"/>
    <col min="7" max="7" width="31.7109375" customWidth="1"/>
    <col min="8" max="8" width="26.42578125" customWidth="1"/>
    <col min="9" max="9" width="20" customWidth="1"/>
    <col min="10" max="10" width="17.7109375" customWidth="1"/>
    <col min="11" max="11" width="24.42578125" customWidth="1"/>
    <col min="12" max="12" width="18.85546875" customWidth="1"/>
    <col min="13" max="15" width="17.7109375" customWidth="1"/>
    <col min="16" max="16" width="16.7109375" customWidth="1"/>
    <col min="17" max="17" width="21.42578125" customWidth="1"/>
    <col min="18" max="18" width="17.5703125" customWidth="1"/>
    <col min="19" max="19" width="19" customWidth="1"/>
    <col min="20" max="20" width="17.5703125" customWidth="1"/>
    <col min="21" max="21" width="21.5703125" customWidth="1"/>
    <col min="22" max="22" width="16.42578125" customWidth="1"/>
    <col min="23" max="27" width="22.85546875" customWidth="1"/>
    <col min="28" max="31" width="20.7109375" customWidth="1"/>
    <col min="32" max="32" width="19" customWidth="1"/>
  </cols>
  <sheetData>
    <row r="1" spans="1:49" ht="14.25">
      <c r="A1" s="1"/>
      <c r="B1" s="4" t="s">
        <v>396</v>
      </c>
      <c r="C1" s="3" t="s">
        <v>397</v>
      </c>
      <c r="D1" s="3" t="s">
        <v>398</v>
      </c>
      <c r="E1" s="3" t="s">
        <v>399</v>
      </c>
      <c r="F1" s="3" t="s">
        <v>400</v>
      </c>
      <c r="G1" s="3" t="s">
        <v>401</v>
      </c>
      <c r="H1" s="5" t="s">
        <v>402</v>
      </c>
      <c r="I1" s="6" t="s">
        <v>403</v>
      </c>
      <c r="J1" s="3" t="s">
        <v>404</v>
      </c>
      <c r="K1" s="3" t="s">
        <v>405</v>
      </c>
      <c r="L1" s="6" t="s">
        <v>406</v>
      </c>
      <c r="M1" s="3" t="s">
        <v>407</v>
      </c>
      <c r="N1" s="3" t="s">
        <v>408</v>
      </c>
      <c r="O1" s="5" t="s">
        <v>409</v>
      </c>
      <c r="P1" s="6" t="s">
        <v>410</v>
      </c>
      <c r="Q1" s="6" t="s">
        <v>411</v>
      </c>
      <c r="R1" s="3" t="s">
        <v>412</v>
      </c>
      <c r="S1" s="3" t="s">
        <v>413</v>
      </c>
      <c r="T1" s="3" t="s">
        <v>414</v>
      </c>
      <c r="U1" s="6" t="s">
        <v>415</v>
      </c>
      <c r="V1" s="3" t="s">
        <v>416</v>
      </c>
      <c r="W1" s="6" t="s">
        <v>417</v>
      </c>
      <c r="X1" s="3" t="s">
        <v>418</v>
      </c>
      <c r="Y1" s="6" t="s">
        <v>419</v>
      </c>
      <c r="Z1" s="3" t="s">
        <v>420</v>
      </c>
      <c r="AA1" s="7" t="s">
        <v>421</v>
      </c>
      <c r="AB1" s="3" t="s">
        <v>422</v>
      </c>
      <c r="AC1" s="7" t="s">
        <v>423</v>
      </c>
      <c r="AD1" s="3" t="s">
        <v>424</v>
      </c>
      <c r="AE1" s="7" t="s">
        <v>425</v>
      </c>
      <c r="AF1" s="3" t="s">
        <v>426</v>
      </c>
      <c r="AG1" s="7" t="s">
        <v>427</v>
      </c>
      <c r="AH1" s="3" t="s">
        <v>271</v>
      </c>
      <c r="AI1" s="7" t="s">
        <v>272</v>
      </c>
      <c r="AJ1" s="3" t="s">
        <v>273</v>
      </c>
      <c r="AK1" s="7" t="s">
        <v>274</v>
      </c>
      <c r="AL1" s="3" t="s">
        <v>275</v>
      </c>
      <c r="AM1" s="7" t="s">
        <v>276</v>
      </c>
    </row>
    <row r="2" spans="1:49" ht="12.75">
      <c r="A2" s="1"/>
      <c r="B2" s="10" t="s">
        <v>428</v>
      </c>
      <c r="C2" s="9" t="s">
        <v>429</v>
      </c>
      <c r="D2" s="11" t="s">
        <v>430</v>
      </c>
      <c r="E2" s="11" t="s">
        <v>431</v>
      </c>
      <c r="F2" s="11" t="s">
        <v>432</v>
      </c>
      <c r="G2" s="11" t="s">
        <v>433</v>
      </c>
      <c r="H2" s="12" t="s">
        <v>434</v>
      </c>
      <c r="I2" s="11" t="s">
        <v>435</v>
      </c>
      <c r="J2" s="11" t="s">
        <v>436</v>
      </c>
      <c r="K2" s="11" t="s">
        <v>437</v>
      </c>
      <c r="L2" s="11" t="s">
        <v>438</v>
      </c>
      <c r="M2" s="11" t="s">
        <v>439</v>
      </c>
      <c r="N2" s="11" t="s">
        <v>440</v>
      </c>
      <c r="O2" s="12" t="s">
        <v>441</v>
      </c>
      <c r="P2" s="13" t="s">
        <v>442</v>
      </c>
      <c r="Q2" s="13" t="s">
        <v>443</v>
      </c>
      <c r="R2" s="13" t="s">
        <v>444</v>
      </c>
      <c r="S2" s="13" t="s">
        <v>445</v>
      </c>
      <c r="T2" s="13" t="s">
        <v>446</v>
      </c>
      <c r="U2" s="11" t="s">
        <v>447</v>
      </c>
      <c r="V2" s="11" t="s">
        <v>448</v>
      </c>
      <c r="W2" s="11" t="s">
        <v>449</v>
      </c>
      <c r="X2" s="11" t="s">
        <v>450</v>
      </c>
      <c r="Y2" s="11" t="s">
        <v>451</v>
      </c>
      <c r="Z2" s="11" t="s">
        <v>452</v>
      </c>
      <c r="AA2" s="12" t="s">
        <v>453</v>
      </c>
      <c r="AB2" s="11" t="s">
        <v>454</v>
      </c>
      <c r="AC2" s="11" t="s">
        <v>455</v>
      </c>
      <c r="AD2" s="11" t="s">
        <v>456</v>
      </c>
      <c r="AE2" s="11" t="s">
        <v>457</v>
      </c>
      <c r="AF2" s="11" t="s">
        <v>458</v>
      </c>
      <c r="AG2" s="11" t="s">
        <v>459</v>
      </c>
      <c r="AH2" s="11" t="s">
        <v>460</v>
      </c>
      <c r="AI2" s="11" t="s">
        <v>461</v>
      </c>
      <c r="AJ2" s="11" t="s">
        <v>462</v>
      </c>
      <c r="AK2" s="11" t="s">
        <v>462</v>
      </c>
      <c r="AL2" s="11" t="s">
        <v>463</v>
      </c>
      <c r="AM2" s="11" t="s">
        <v>463</v>
      </c>
    </row>
    <row r="3" spans="1:49" ht="81" customHeight="1">
      <c r="A3" s="14" t="s">
        <v>289</v>
      </c>
      <c r="B3" s="20"/>
      <c r="C3" s="17" t="s">
        <v>464</v>
      </c>
      <c r="D3" s="15"/>
      <c r="E3" s="17" t="s">
        <v>465</v>
      </c>
      <c r="F3" s="15"/>
      <c r="G3" s="1"/>
      <c r="H3" s="21"/>
      <c r="I3" s="15"/>
      <c r="J3" s="15"/>
      <c r="K3" s="22" t="s">
        <v>466</v>
      </c>
      <c r="L3" s="23"/>
      <c r="M3" s="23"/>
      <c r="N3" s="15"/>
      <c r="O3" s="17" t="s">
        <v>467</v>
      </c>
      <c r="R3" s="24" t="s">
        <v>468</v>
      </c>
      <c r="S3" s="1"/>
      <c r="T3" s="1"/>
      <c r="U3" s="23" t="s">
        <v>469</v>
      </c>
      <c r="V3" s="1"/>
      <c r="W3" s="1"/>
      <c r="X3" s="1"/>
      <c r="Y3" s="1"/>
      <c r="Z3" s="1"/>
      <c r="AA3" s="25" t="s">
        <v>470</v>
      </c>
      <c r="AB3" s="1"/>
      <c r="AC3" s="1"/>
      <c r="AD3" s="1"/>
      <c r="AE3" s="1"/>
      <c r="AF3" s="1" t="s">
        <v>471</v>
      </c>
      <c r="AG3" s="1" t="s">
        <v>472</v>
      </c>
      <c r="AH3" s="1"/>
      <c r="AI3" s="1"/>
      <c r="AJ3" s="1"/>
      <c r="AK3" s="1"/>
      <c r="AL3" s="1"/>
      <c r="AM3" s="1"/>
    </row>
    <row r="4" spans="1:49" ht="47.25" customHeight="1">
      <c r="A4" s="26" t="s">
        <v>296</v>
      </c>
      <c r="B4" s="27" t="s">
        <v>473</v>
      </c>
      <c r="C4" s="19"/>
      <c r="D4" s="19"/>
      <c r="E4" s="19"/>
      <c r="F4" s="19"/>
      <c r="G4" s="15"/>
      <c r="H4" s="21"/>
      <c r="I4" s="15"/>
      <c r="J4" s="17" t="s">
        <v>474</v>
      </c>
      <c r="K4" s="15"/>
      <c r="L4" s="15"/>
      <c r="M4" s="15" t="s">
        <v>475</v>
      </c>
      <c r="N4" s="15"/>
      <c r="O4" s="21"/>
      <c r="P4" s="1"/>
      <c r="Q4" s="23" t="s">
        <v>476</v>
      </c>
      <c r="R4" s="1"/>
      <c r="S4" s="1"/>
      <c r="T4" s="1"/>
      <c r="U4" s="15"/>
      <c r="V4" s="15"/>
      <c r="W4" s="15"/>
      <c r="X4" s="15"/>
      <c r="Y4" s="15"/>
      <c r="Z4" s="15"/>
      <c r="AA4" s="28"/>
      <c r="AC4" s="15"/>
      <c r="AD4" s="15"/>
      <c r="AE4" s="15"/>
      <c r="AF4" s="15"/>
      <c r="AG4" s="15"/>
      <c r="AH4" s="15"/>
      <c r="AI4" s="15"/>
      <c r="AJ4" s="15"/>
      <c r="AK4" s="15"/>
      <c r="AL4" s="15"/>
      <c r="AM4" s="15"/>
    </row>
    <row r="5" spans="1:49" ht="119.25" customHeight="1">
      <c r="A5" s="29" t="s">
        <v>477</v>
      </c>
      <c r="B5" s="20" t="s">
        <v>478</v>
      </c>
      <c r="C5" s="32" t="s">
        <v>479</v>
      </c>
      <c r="D5" s="34" t="s">
        <v>480</v>
      </c>
      <c r="E5" s="35" t="s">
        <v>481</v>
      </c>
      <c r="F5" s="35" t="s">
        <v>482</v>
      </c>
      <c r="G5" s="35" t="s">
        <v>483</v>
      </c>
      <c r="H5" s="36" t="s">
        <v>484</v>
      </c>
      <c r="I5" s="19" t="s">
        <v>485</v>
      </c>
      <c r="J5" s="17" t="s">
        <v>486</v>
      </c>
      <c r="K5" s="17" t="s">
        <v>487</v>
      </c>
      <c r="L5" s="17" t="s">
        <v>488</v>
      </c>
      <c r="M5" s="17" t="s">
        <v>489</v>
      </c>
      <c r="N5" s="17" t="s">
        <v>490</v>
      </c>
      <c r="O5" s="37" t="s">
        <v>491</v>
      </c>
      <c r="P5" s="38" t="s">
        <v>492</v>
      </c>
      <c r="Q5" s="17" t="s">
        <v>492</v>
      </c>
      <c r="R5" s="17" t="s">
        <v>493</v>
      </c>
      <c r="S5" s="39" t="s">
        <v>494</v>
      </c>
      <c r="T5" s="39" t="s">
        <v>495</v>
      </c>
      <c r="U5" s="17" t="s">
        <v>496</v>
      </c>
      <c r="V5" s="17" t="s">
        <v>497</v>
      </c>
      <c r="W5" s="17" t="s">
        <v>498</v>
      </c>
      <c r="X5" s="17" t="s">
        <v>499</v>
      </c>
      <c r="Y5" s="17" t="s">
        <v>500</v>
      </c>
      <c r="AC5" s="17" t="s">
        <v>501</v>
      </c>
      <c r="AD5" s="17" t="s">
        <v>502</v>
      </c>
      <c r="AE5" s="17" t="s">
        <v>503</v>
      </c>
      <c r="AG5" s="17" t="s">
        <v>504</v>
      </c>
      <c r="AH5" s="17" t="s">
        <v>505</v>
      </c>
      <c r="AI5" s="17" t="s">
        <v>506</v>
      </c>
      <c r="AJ5" s="17" t="s">
        <v>507</v>
      </c>
      <c r="AK5" s="17" t="s">
        <v>508</v>
      </c>
      <c r="AL5" s="226" t="s">
        <v>509</v>
      </c>
      <c r="AO5" s="40" t="s">
        <v>510</v>
      </c>
      <c r="AP5" s="41" t="s">
        <v>511</v>
      </c>
      <c r="AQ5" s="41" t="s">
        <v>511</v>
      </c>
      <c r="AR5" s="42" t="s">
        <v>512</v>
      </c>
      <c r="AT5" s="17" t="s">
        <v>513</v>
      </c>
      <c r="AU5" s="43" t="s">
        <v>514</v>
      </c>
      <c r="AV5" s="44" t="s">
        <v>515</v>
      </c>
      <c r="AW5" s="33" t="s">
        <v>516</v>
      </c>
    </row>
    <row r="6" spans="1:49" ht="116.25" customHeight="1">
      <c r="A6" s="45" t="s">
        <v>517</v>
      </c>
      <c r="B6" s="49" t="s">
        <v>518</v>
      </c>
      <c r="C6" s="18" t="s">
        <v>519</v>
      </c>
      <c r="D6" s="18" t="s">
        <v>520</v>
      </c>
      <c r="E6" s="18" t="s">
        <v>521</v>
      </c>
      <c r="F6" s="18" t="s">
        <v>522</v>
      </c>
      <c r="G6" s="18" t="s">
        <v>523</v>
      </c>
      <c r="H6" s="40" t="s">
        <v>524</v>
      </c>
      <c r="I6" s="17" t="s">
        <v>525</v>
      </c>
      <c r="J6" s="50" t="s">
        <v>526</v>
      </c>
      <c r="K6" s="50" t="s">
        <v>527</v>
      </c>
      <c r="L6" s="17" t="s">
        <v>528</v>
      </c>
      <c r="M6" s="17" t="s">
        <v>529</v>
      </c>
      <c r="N6" s="17" t="s">
        <v>530</v>
      </c>
      <c r="O6" s="17" t="s">
        <v>530</v>
      </c>
      <c r="P6" s="17" t="s">
        <v>531</v>
      </c>
      <c r="Q6" s="17" t="s">
        <v>532</v>
      </c>
      <c r="R6" s="17" t="s">
        <v>533</v>
      </c>
      <c r="S6" s="17" t="s">
        <v>534</v>
      </c>
      <c r="T6" s="17" t="s">
        <v>535</v>
      </c>
      <c r="U6" s="51" t="s">
        <v>536</v>
      </c>
      <c r="V6" s="50" t="s">
        <v>537</v>
      </c>
      <c r="W6" s="59" t="s">
        <v>538</v>
      </c>
      <c r="X6" s="225" t="s">
        <v>539</v>
      </c>
      <c r="Z6" s="17" t="s">
        <v>540</v>
      </c>
      <c r="AA6" s="25"/>
      <c r="AB6" s="1"/>
      <c r="AC6" s="17" t="s">
        <v>541</v>
      </c>
      <c r="AD6" s="1"/>
      <c r="AE6" s="1"/>
      <c r="AF6" s="1"/>
      <c r="AG6" s="1"/>
      <c r="AH6" s="1"/>
      <c r="AI6" s="1"/>
      <c r="AJ6" s="1"/>
      <c r="AK6" s="1"/>
      <c r="AL6" s="1"/>
      <c r="AM6" s="1"/>
    </row>
    <row r="7" spans="1:49" ht="202.5" customHeight="1">
      <c r="A7" s="52" t="s">
        <v>333</v>
      </c>
      <c r="B7" s="49" t="s">
        <v>542</v>
      </c>
      <c r="C7" s="54" t="s">
        <v>543</v>
      </c>
      <c r="D7" s="54" t="s">
        <v>544</v>
      </c>
      <c r="E7" s="54" t="s">
        <v>545</v>
      </c>
      <c r="F7" s="18" t="s">
        <v>546</v>
      </c>
      <c r="G7" s="18" t="s">
        <v>547</v>
      </c>
      <c r="H7" s="36" t="s">
        <v>548</v>
      </c>
      <c r="I7" s="18" t="s">
        <v>549</v>
      </c>
      <c r="J7" s="50" t="s">
        <v>550</v>
      </c>
      <c r="K7" s="50" t="s">
        <v>551</v>
      </c>
      <c r="L7" s="50" t="s">
        <v>552</v>
      </c>
      <c r="M7" s="50" t="s">
        <v>553</v>
      </c>
      <c r="N7" s="50" t="s">
        <v>554</v>
      </c>
      <c r="O7" s="50" t="s">
        <v>555</v>
      </c>
      <c r="P7" s="50" t="s">
        <v>556</v>
      </c>
      <c r="Q7" s="50" t="s">
        <v>557</v>
      </c>
      <c r="R7" s="50" t="s">
        <v>558</v>
      </c>
      <c r="S7" s="17" t="s">
        <v>559</v>
      </c>
      <c r="T7" s="17" t="s">
        <v>560</v>
      </c>
      <c r="U7" s="17" t="s">
        <v>561</v>
      </c>
      <c r="V7" s="50" t="s">
        <v>562</v>
      </c>
      <c r="W7" s="50" t="s">
        <v>563</v>
      </c>
      <c r="X7" s="50" t="s">
        <v>563</v>
      </c>
      <c r="Y7" s="50" t="s">
        <v>564</v>
      </c>
      <c r="Z7" s="50" t="s">
        <v>564</v>
      </c>
      <c r="AA7" s="50" t="s">
        <v>565</v>
      </c>
      <c r="AB7" s="50" t="s">
        <v>566</v>
      </c>
      <c r="AC7" s="50" t="s">
        <v>566</v>
      </c>
      <c r="AD7" s="227" t="s">
        <v>314</v>
      </c>
      <c r="AE7" s="227" t="s">
        <v>314</v>
      </c>
      <c r="AF7" s="227" t="s">
        <v>314</v>
      </c>
      <c r="AG7" s="227" t="s">
        <v>567</v>
      </c>
      <c r="AH7" s="227" t="s">
        <v>567</v>
      </c>
      <c r="AI7" s="50" t="s">
        <v>568</v>
      </c>
      <c r="AJ7" s="217" t="s">
        <v>569</v>
      </c>
      <c r="AK7" s="50" t="s">
        <v>570</v>
      </c>
      <c r="AL7" s="50" t="s">
        <v>571</v>
      </c>
      <c r="AM7" s="36" t="s">
        <v>572</v>
      </c>
      <c r="AN7" s="18" t="s">
        <v>572</v>
      </c>
      <c r="AO7" s="18" t="s">
        <v>573</v>
      </c>
      <c r="AP7" s="18" t="s">
        <v>574</v>
      </c>
      <c r="AQ7" s="61" t="s">
        <v>575</v>
      </c>
    </row>
    <row r="8" spans="1:49" ht="186" customHeight="1">
      <c r="A8" s="55" t="s">
        <v>343</v>
      </c>
      <c r="B8" s="49" t="s">
        <v>576</v>
      </c>
      <c r="C8" s="18" t="s">
        <v>577</v>
      </c>
      <c r="D8" s="17" t="s">
        <v>578</v>
      </c>
      <c r="E8" s="17" t="s">
        <v>579</v>
      </c>
      <c r="F8" s="17" t="s">
        <v>580</v>
      </c>
      <c r="G8" s="17" t="s">
        <v>581</v>
      </c>
      <c r="H8" s="40" t="s">
        <v>582</v>
      </c>
      <c r="I8" s="17" t="s">
        <v>583</v>
      </c>
      <c r="J8" s="19" t="s">
        <v>584</v>
      </c>
      <c r="K8" s="19" t="s">
        <v>585</v>
      </c>
      <c r="L8" s="19" t="s">
        <v>586</v>
      </c>
      <c r="M8" s="19" t="s">
        <v>587</v>
      </c>
      <c r="N8" s="19" t="s">
        <v>588</v>
      </c>
      <c r="O8" s="17" t="s">
        <v>589</v>
      </c>
      <c r="P8" s="57" t="s">
        <v>590</v>
      </c>
      <c r="Q8" s="57" t="s">
        <v>591</v>
      </c>
      <c r="R8" s="58" t="s">
        <v>592</v>
      </c>
      <c r="S8" s="59" t="s">
        <v>593</v>
      </c>
      <c r="T8" s="50" t="s">
        <v>594</v>
      </c>
      <c r="U8" s="50" t="s">
        <v>595</v>
      </c>
      <c r="V8" s="60" t="s">
        <v>596</v>
      </c>
      <c r="X8" s="50" t="s">
        <v>597</v>
      </c>
      <c r="AA8" s="228" t="s">
        <v>598</v>
      </c>
      <c r="AC8" s="57" t="s">
        <v>599</v>
      </c>
      <c r="AD8" s="224" t="s">
        <v>600</v>
      </c>
      <c r="AE8" s="224" t="s">
        <v>601</v>
      </c>
      <c r="AF8" s="50" t="s">
        <v>602</v>
      </c>
      <c r="AJ8" s="50" t="s">
        <v>603</v>
      </c>
      <c r="AK8" s="50" t="s">
        <v>604</v>
      </c>
      <c r="AL8" s="61" t="s">
        <v>605</v>
      </c>
      <c r="AN8" s="18" t="s">
        <v>606</v>
      </c>
      <c r="AO8" s="18" t="s">
        <v>607</v>
      </c>
    </row>
    <row r="9" spans="1:49" ht="43.5" customHeight="1">
      <c r="A9" s="62" t="s">
        <v>355</v>
      </c>
      <c r="B9" s="10"/>
      <c r="C9" s="15"/>
      <c r="D9" s="63" t="s">
        <v>511</v>
      </c>
      <c r="E9" s="15" t="s">
        <v>511</v>
      </c>
      <c r="F9" s="15"/>
      <c r="G9" s="15"/>
      <c r="H9" s="218" t="s">
        <v>608</v>
      </c>
      <c r="I9" s="17" t="s">
        <v>609</v>
      </c>
      <c r="J9" s="17" t="s">
        <v>610</v>
      </c>
      <c r="K9" s="15"/>
      <c r="L9" s="15"/>
      <c r="M9" s="15"/>
      <c r="N9" s="15"/>
      <c r="O9" s="64" t="s">
        <v>611</v>
      </c>
      <c r="P9" s="1"/>
      <c r="Q9" s="17"/>
      <c r="R9" s="64" t="s">
        <v>612</v>
      </c>
      <c r="S9" s="17"/>
      <c r="T9" s="17"/>
      <c r="V9" s="19"/>
      <c r="W9" s="19"/>
      <c r="X9" s="19"/>
      <c r="Y9" s="19"/>
      <c r="Z9" s="19"/>
      <c r="AA9" s="65"/>
      <c r="AB9" s="19"/>
      <c r="AC9" s="19"/>
      <c r="AD9" s="19"/>
      <c r="AE9" s="19"/>
      <c r="AF9" s="19"/>
      <c r="AG9" s="19"/>
      <c r="AH9" s="19"/>
      <c r="AI9" s="19"/>
      <c r="AJ9" s="19"/>
      <c r="AK9" s="19"/>
      <c r="AL9" s="19"/>
      <c r="AM9" s="19"/>
    </row>
    <row r="10" spans="1:49" ht="42.75" customHeight="1">
      <c r="A10" s="66" t="s">
        <v>358</v>
      </c>
      <c r="B10" s="27"/>
      <c r="C10" s="15"/>
      <c r="D10" s="19" t="s">
        <v>613</v>
      </c>
      <c r="E10" s="19" t="s">
        <v>614</v>
      </c>
      <c r="F10" s="67" t="s">
        <v>615</v>
      </c>
      <c r="G10" s="68" t="s">
        <v>616</v>
      </c>
      <c r="H10" s="40"/>
      <c r="I10" s="15"/>
      <c r="J10" s="19" t="s">
        <v>617</v>
      </c>
      <c r="K10" s="17" t="s">
        <v>618</v>
      </c>
      <c r="L10" s="15"/>
      <c r="M10" s="15"/>
      <c r="N10" s="15"/>
      <c r="O10" s="21"/>
      <c r="P10" s="1"/>
      <c r="Q10" s="1"/>
      <c r="R10" s="1"/>
      <c r="S10" s="1"/>
      <c r="T10" s="1"/>
      <c r="U10" s="15"/>
      <c r="V10" s="15"/>
      <c r="W10" s="15"/>
      <c r="X10" s="15"/>
      <c r="Y10" s="15"/>
      <c r="Z10" s="15"/>
      <c r="AA10" s="21"/>
      <c r="AB10" s="15"/>
      <c r="AC10" s="15"/>
      <c r="AD10" s="15"/>
      <c r="AE10" s="15"/>
      <c r="AF10" s="15"/>
      <c r="AG10" s="15"/>
      <c r="AH10" s="15"/>
      <c r="AI10" s="15"/>
      <c r="AJ10" s="15"/>
      <c r="AK10" s="15"/>
      <c r="AL10" s="15"/>
      <c r="AM10" s="15"/>
    </row>
    <row r="11" spans="1:49" ht="96.75" customHeight="1">
      <c r="A11" s="219" t="s">
        <v>360</v>
      </c>
      <c r="B11" s="10"/>
      <c r="C11" s="15"/>
      <c r="D11" s="15"/>
      <c r="E11" s="69" t="s">
        <v>619</v>
      </c>
      <c r="F11" s="69" t="s">
        <v>619</v>
      </c>
      <c r="G11" s="69" t="s">
        <v>619</v>
      </c>
      <c r="H11" s="69" t="s">
        <v>619</v>
      </c>
      <c r="I11" s="69" t="s">
        <v>619</v>
      </c>
      <c r="J11" s="69" t="s">
        <v>619</v>
      </c>
      <c r="K11" s="1"/>
      <c r="L11" s="15"/>
      <c r="M11" s="15"/>
      <c r="N11" s="15"/>
      <c r="O11" s="21"/>
      <c r="P11" s="1"/>
      <c r="Q11" s="1"/>
      <c r="R11" s="1"/>
      <c r="S11" s="1"/>
      <c r="T11" s="1"/>
      <c r="U11" s="15"/>
      <c r="V11" s="15"/>
      <c r="W11" s="15"/>
      <c r="X11" s="15"/>
      <c r="Y11" s="15"/>
      <c r="Z11" s="15"/>
      <c r="AA11" s="21"/>
      <c r="AB11" s="15"/>
      <c r="AC11" s="15"/>
      <c r="AD11" s="15"/>
      <c r="AE11" s="15"/>
      <c r="AF11" s="15"/>
      <c r="AG11" s="15"/>
      <c r="AH11" s="15"/>
      <c r="AI11" s="15"/>
      <c r="AJ11" s="15"/>
      <c r="AK11" s="15"/>
      <c r="AL11" s="15"/>
      <c r="AM11" s="15"/>
    </row>
    <row r="12" spans="1:49" ht="14.25">
      <c r="A12" s="70" t="s">
        <v>362</v>
      </c>
      <c r="B12" s="27" t="s">
        <v>620</v>
      </c>
      <c r="C12" s="54" t="s">
        <v>621</v>
      </c>
      <c r="D12" s="54" t="s">
        <v>622</v>
      </c>
      <c r="E12" s="54" t="s">
        <v>623</v>
      </c>
      <c r="F12" s="18" t="s">
        <v>624</v>
      </c>
      <c r="G12" s="18" t="s">
        <v>625</v>
      </c>
      <c r="H12" s="40" t="s">
        <v>626</v>
      </c>
      <c r="I12" s="17" t="s">
        <v>627</v>
      </c>
      <c r="J12" s="17"/>
      <c r="K12" s="17"/>
      <c r="L12" s="19"/>
      <c r="M12" s="19"/>
      <c r="N12" s="19"/>
      <c r="O12" s="65"/>
      <c r="P12" s="17"/>
      <c r="Q12" s="17"/>
      <c r="R12" s="17"/>
      <c r="S12" s="17"/>
      <c r="T12" s="17"/>
      <c r="U12" s="19"/>
      <c r="V12" s="19"/>
      <c r="W12" s="19"/>
      <c r="X12" s="19"/>
      <c r="Y12" s="19"/>
      <c r="Z12" s="19"/>
      <c r="AA12" s="65"/>
      <c r="AB12" s="19"/>
      <c r="AC12" s="19"/>
      <c r="AD12" s="19"/>
      <c r="AE12" s="19"/>
      <c r="AF12" s="19"/>
      <c r="AG12" s="19"/>
      <c r="AH12" s="19"/>
      <c r="AI12" s="19"/>
      <c r="AJ12" s="19"/>
      <c r="AK12" s="19"/>
      <c r="AL12" s="19"/>
      <c r="AM12" s="19"/>
    </row>
    <row r="13" spans="1:49" ht="14.25">
      <c r="A13" s="71" t="s">
        <v>628</v>
      </c>
      <c r="B13" s="27"/>
      <c r="C13" s="19"/>
      <c r="D13" s="15"/>
      <c r="E13" s="15"/>
      <c r="F13" s="15"/>
      <c r="G13" s="15"/>
      <c r="H13" s="25"/>
      <c r="I13" s="1"/>
      <c r="J13" s="1"/>
      <c r="K13" s="1"/>
      <c r="L13" s="15"/>
      <c r="M13" s="15"/>
      <c r="N13" s="15"/>
      <c r="O13" s="21"/>
      <c r="P13" s="1"/>
      <c r="Q13" s="1"/>
      <c r="R13" s="1"/>
      <c r="S13" s="1"/>
      <c r="T13" s="1"/>
      <c r="U13" s="15"/>
      <c r="V13" s="15"/>
      <c r="W13" s="15"/>
      <c r="X13" s="15"/>
      <c r="Y13" s="15"/>
      <c r="Z13" s="15"/>
      <c r="AA13" s="21"/>
      <c r="AB13" s="15"/>
      <c r="AC13" s="15"/>
      <c r="AD13" s="15"/>
      <c r="AE13" s="15"/>
      <c r="AF13" s="15"/>
      <c r="AG13" s="15"/>
      <c r="AH13" s="15"/>
      <c r="AI13" s="15"/>
      <c r="AJ13" s="15"/>
      <c r="AK13" s="15"/>
      <c r="AL13" s="15"/>
      <c r="AM13" s="15"/>
    </row>
    <row r="14" spans="1:49" ht="39" customHeight="1">
      <c r="A14" s="72" t="s">
        <v>364</v>
      </c>
      <c r="B14" s="10"/>
      <c r="C14" s="15"/>
      <c r="D14" s="15"/>
      <c r="E14" s="15"/>
      <c r="F14" s="15"/>
      <c r="G14" s="15"/>
      <c r="H14" s="25"/>
      <c r="I14" s="1"/>
      <c r="J14" s="1"/>
      <c r="K14" s="1"/>
      <c r="L14" s="15"/>
      <c r="M14" s="15"/>
      <c r="N14" s="15"/>
      <c r="O14" s="21"/>
      <c r="P14" s="1"/>
      <c r="Q14" s="1"/>
      <c r="R14" s="1"/>
      <c r="S14" s="1"/>
      <c r="T14" s="1"/>
      <c r="U14" s="15"/>
      <c r="V14" s="15"/>
      <c r="W14" s="15"/>
      <c r="X14" s="15"/>
      <c r="Y14" s="15"/>
      <c r="Z14" s="15"/>
      <c r="AA14" s="21"/>
      <c r="AB14" s="15"/>
      <c r="AC14" s="15"/>
      <c r="AD14" s="15"/>
      <c r="AE14" s="15"/>
      <c r="AF14" s="15"/>
      <c r="AG14" s="15"/>
      <c r="AH14" s="15"/>
      <c r="AI14" s="15"/>
      <c r="AJ14" s="15"/>
      <c r="AK14" s="15"/>
      <c r="AL14" s="15"/>
      <c r="AM14" s="15"/>
    </row>
    <row r="15" spans="1:49" ht="48.75" customHeight="1">
      <c r="A15" s="74" t="s">
        <v>361</v>
      </c>
      <c r="B15" s="10"/>
      <c r="C15" s="15"/>
      <c r="D15" s="15"/>
      <c r="E15" s="15"/>
      <c r="F15" s="15"/>
      <c r="G15" s="15"/>
      <c r="H15" s="25"/>
      <c r="I15" s="1"/>
      <c r="J15" s="1"/>
      <c r="K15" s="1"/>
      <c r="L15" s="15"/>
      <c r="M15" s="15"/>
      <c r="N15" s="15"/>
      <c r="O15" s="21"/>
      <c r="P15" s="1"/>
      <c r="Q15" s="1"/>
      <c r="R15" s="1"/>
      <c r="S15" s="1"/>
      <c r="T15" s="1"/>
      <c r="U15" s="15"/>
      <c r="V15" s="15"/>
      <c r="W15" s="15"/>
      <c r="X15" s="15"/>
      <c r="Y15" s="15"/>
      <c r="Z15" s="15"/>
      <c r="AA15" s="21"/>
      <c r="AB15" s="15"/>
      <c r="AC15" s="15" t="s">
        <v>629</v>
      </c>
      <c r="AD15" s="15"/>
      <c r="AE15" s="15"/>
      <c r="AF15" s="15"/>
      <c r="AG15" s="15"/>
      <c r="AH15" s="15"/>
      <c r="AI15" s="15"/>
      <c r="AJ15" s="15"/>
      <c r="AK15" s="15"/>
      <c r="AL15" s="15"/>
      <c r="AM15" s="15"/>
    </row>
    <row r="16" spans="1:49" ht="14.25">
      <c r="A16" s="75" t="s">
        <v>365</v>
      </c>
      <c r="B16" s="10"/>
      <c r="C16" s="15"/>
      <c r="D16" s="15"/>
      <c r="E16" s="15"/>
      <c r="F16" s="15"/>
      <c r="G16" s="15"/>
      <c r="H16" s="25"/>
      <c r="I16" s="1"/>
      <c r="J16" s="1"/>
      <c r="K16" s="1"/>
      <c r="L16" s="15"/>
      <c r="M16" s="15"/>
      <c r="N16" s="15"/>
      <c r="O16" s="21"/>
      <c r="P16" s="1"/>
      <c r="Q16" s="1"/>
      <c r="R16" s="1"/>
      <c r="S16" s="1"/>
      <c r="T16" s="1"/>
      <c r="U16" s="15"/>
      <c r="V16" s="15"/>
      <c r="W16" s="15"/>
      <c r="X16" s="15"/>
      <c r="Y16" s="15"/>
      <c r="Z16" s="15"/>
      <c r="AA16" s="21"/>
      <c r="AB16" s="15"/>
      <c r="AC16" s="15"/>
      <c r="AD16" s="15"/>
      <c r="AE16" s="15"/>
      <c r="AF16" s="15"/>
      <c r="AG16" s="15"/>
      <c r="AH16" s="15"/>
      <c r="AI16" s="15"/>
      <c r="AJ16" s="15"/>
      <c r="AK16" s="15"/>
      <c r="AL16" s="15"/>
      <c r="AM16" s="15"/>
    </row>
  </sheetData>
  <hyperlinks>
    <hyperlink ref="F10" r:id="rId1" xr:uid="{F6641743-1555-4202-A1BD-18740BA4C191}"/>
    <hyperlink ref="A11" r:id="rId2" xr:uid="{672ADFA7-E2F0-42CD-8BFB-5FE745A9516F}"/>
  </hyperlinks>
  <pageMargins left="0" right="0" top="0" bottom="0" header="0" footer="0"/>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D22"/>
  <sheetViews>
    <sheetView workbookViewId="0">
      <pane xSplit="1" topLeftCell="BX1" activePane="topRight" state="frozen"/>
      <selection pane="topRight" activeCell="CE20" sqref="CE20"/>
      <selection activeCell="A3" sqref="A3"/>
    </sheetView>
  </sheetViews>
  <sheetFormatPr defaultColWidth="9.140625" defaultRowHeight="15.75" customHeight="1"/>
  <cols>
    <col min="1" max="1" width="29.85546875" customWidth="1"/>
    <col min="2" max="5" width="5.85546875" hidden="1" customWidth="1"/>
    <col min="6" max="6" width="6.42578125" hidden="1" customWidth="1"/>
    <col min="7" max="19" width="5.85546875" hidden="1" customWidth="1"/>
    <col min="20" max="21" width="5" hidden="1" customWidth="1"/>
    <col min="22" max="22" width="3.7109375" hidden="1" customWidth="1"/>
    <col min="23" max="23" width="4" hidden="1" customWidth="1"/>
    <col min="24" max="24" width="4.42578125" hidden="1" customWidth="1"/>
    <col min="25" max="25" width="4.85546875" hidden="1" customWidth="1"/>
    <col min="26" max="26" width="5.28515625" hidden="1" customWidth="1"/>
    <col min="27" max="28" width="5" hidden="1" customWidth="1"/>
    <col min="29" max="31" width="4.7109375" hidden="1" customWidth="1"/>
    <col min="32" max="32" width="4.85546875" hidden="1" customWidth="1"/>
    <col min="33" max="33" width="5.28515625" hidden="1" customWidth="1"/>
    <col min="34" max="35" width="5" hidden="1" customWidth="1"/>
    <col min="36" max="36" width="4.85546875" hidden="1" customWidth="1"/>
    <col min="37" max="39" width="4.7109375" hidden="1" customWidth="1"/>
    <col min="40" max="40" width="5.28515625" hidden="1" customWidth="1"/>
    <col min="41" max="42" width="5" hidden="1" customWidth="1"/>
    <col min="43" max="46" width="4.7109375" hidden="1" customWidth="1"/>
    <col min="47" max="47" width="5.28515625" hidden="1" customWidth="1"/>
    <col min="48" max="49" width="5" hidden="1" customWidth="1"/>
    <col min="50" max="50" width="3.28515625" hidden="1" customWidth="1"/>
    <col min="51" max="51" width="3.7109375" hidden="1" customWidth="1"/>
    <col min="52" max="61" width="5.42578125" hidden="1" customWidth="1"/>
    <col min="62" max="62" width="6.85546875" hidden="1" customWidth="1"/>
    <col min="63" max="65" width="5.42578125" hidden="1" customWidth="1"/>
    <col min="66" max="75" width="4.7109375" hidden="1" customWidth="1"/>
    <col min="76" max="76" width="4.7109375" bestFit="1" customWidth="1"/>
    <col min="77" max="77" width="5" bestFit="1" customWidth="1"/>
    <col min="78" max="78" width="4.7109375" bestFit="1" customWidth="1"/>
    <col min="79" max="79" width="4" bestFit="1" customWidth="1"/>
    <col min="80" max="80" width="4.42578125" bestFit="1" customWidth="1"/>
    <col min="81" max="81" width="4.7109375" bestFit="1" customWidth="1"/>
    <col min="82" max="82" width="5.28515625" bestFit="1" customWidth="1"/>
    <col min="83" max="84" width="5" bestFit="1" customWidth="1"/>
    <col min="85" max="85" width="3.7109375" bestFit="1" customWidth="1"/>
    <col min="86" max="86" width="4" bestFit="1" customWidth="1"/>
    <col min="87" max="87" width="3.7109375" bestFit="1" customWidth="1"/>
    <col min="88" max="108" width="4.7109375" bestFit="1" customWidth="1"/>
    <col min="16291" max="16291" width="12.5703125" bestFit="1" customWidth="1"/>
    <col min="16292" max="16384" width="12.5703125" customWidth="1"/>
  </cols>
  <sheetData>
    <row r="1" spans="1:108" ht="12.75">
      <c r="B1" s="76">
        <v>45640</v>
      </c>
      <c r="C1" s="76">
        <v>45641</v>
      </c>
      <c r="D1" s="76">
        <v>45642</v>
      </c>
      <c r="E1" s="76">
        <v>45643</v>
      </c>
      <c r="F1" s="76">
        <v>45644</v>
      </c>
      <c r="G1" s="76">
        <v>45645</v>
      </c>
      <c r="H1" s="76">
        <v>45646</v>
      </c>
      <c r="I1" s="76">
        <v>45647</v>
      </c>
      <c r="J1" s="76">
        <v>45648</v>
      </c>
      <c r="K1" s="76">
        <v>45649</v>
      </c>
      <c r="L1" s="76">
        <v>45650</v>
      </c>
      <c r="M1" s="76">
        <v>45651</v>
      </c>
      <c r="N1" s="76">
        <v>45652</v>
      </c>
      <c r="O1" s="76">
        <v>45653</v>
      </c>
      <c r="P1" s="76">
        <v>45654</v>
      </c>
      <c r="Q1" s="76">
        <v>45655</v>
      </c>
      <c r="R1" s="76">
        <v>45656</v>
      </c>
      <c r="S1" s="76">
        <v>45657</v>
      </c>
      <c r="T1" s="76">
        <v>45658</v>
      </c>
      <c r="U1" s="76">
        <v>45659</v>
      </c>
      <c r="V1" s="76">
        <v>45660</v>
      </c>
      <c r="W1" s="76">
        <v>45661</v>
      </c>
      <c r="X1" s="76">
        <v>45662</v>
      </c>
      <c r="Y1" s="76">
        <v>45663</v>
      </c>
      <c r="Z1" s="76">
        <v>45664</v>
      </c>
      <c r="AA1" s="76">
        <v>45665</v>
      </c>
      <c r="AB1" s="76">
        <v>45666</v>
      </c>
      <c r="AC1" s="76">
        <v>45667</v>
      </c>
      <c r="AD1" s="76">
        <v>45668</v>
      </c>
      <c r="AE1" s="76">
        <v>45669</v>
      </c>
      <c r="AF1" s="76">
        <v>45670</v>
      </c>
      <c r="AG1" s="76">
        <v>45671</v>
      </c>
      <c r="AH1" s="76">
        <v>45672</v>
      </c>
      <c r="AI1" s="76">
        <v>45673</v>
      </c>
      <c r="AJ1" s="76">
        <v>45674</v>
      </c>
      <c r="AK1" s="76">
        <v>45675</v>
      </c>
      <c r="AL1" s="76">
        <v>45676</v>
      </c>
      <c r="AM1" s="76">
        <v>45677</v>
      </c>
      <c r="AN1" s="76">
        <v>45678</v>
      </c>
      <c r="AO1" s="76">
        <v>45679</v>
      </c>
      <c r="AP1" s="76">
        <v>45680</v>
      </c>
      <c r="AQ1" s="76">
        <v>45681</v>
      </c>
      <c r="AR1" s="76">
        <v>45682</v>
      </c>
      <c r="AS1" s="76">
        <v>45683</v>
      </c>
      <c r="AT1" s="76">
        <v>45684</v>
      </c>
      <c r="AU1" s="76">
        <v>45685</v>
      </c>
      <c r="AV1" s="76">
        <v>45686</v>
      </c>
      <c r="AW1" s="76">
        <v>45687</v>
      </c>
      <c r="AX1" s="76">
        <v>45688</v>
      </c>
      <c r="AY1" s="76">
        <v>45689</v>
      </c>
      <c r="AZ1" s="76">
        <v>45690</v>
      </c>
      <c r="BA1" s="76">
        <v>45691</v>
      </c>
      <c r="BB1" s="76">
        <v>45692</v>
      </c>
      <c r="BC1" s="76">
        <v>45693</v>
      </c>
      <c r="BD1" s="76">
        <v>45694</v>
      </c>
      <c r="BE1" s="76">
        <v>45695</v>
      </c>
      <c r="BF1" s="76">
        <v>45696</v>
      </c>
      <c r="BG1" s="76">
        <v>45697</v>
      </c>
      <c r="BH1" s="76">
        <v>45698</v>
      </c>
      <c r="BI1" s="76">
        <v>45699</v>
      </c>
      <c r="BJ1" s="76">
        <v>45700</v>
      </c>
      <c r="BK1" s="76">
        <v>45701</v>
      </c>
      <c r="BL1" s="76">
        <v>45702</v>
      </c>
      <c r="BM1" s="76">
        <v>45703</v>
      </c>
      <c r="BN1" s="76">
        <v>45704</v>
      </c>
      <c r="BO1" s="76">
        <v>45705</v>
      </c>
      <c r="BP1" s="76">
        <v>45706</v>
      </c>
      <c r="BQ1" s="76">
        <v>45707</v>
      </c>
      <c r="BR1" s="76">
        <v>45708</v>
      </c>
      <c r="BS1" s="76">
        <v>45709</v>
      </c>
      <c r="BT1" s="76">
        <v>45710</v>
      </c>
      <c r="BU1" s="76">
        <v>45711</v>
      </c>
      <c r="BV1" s="76">
        <v>45712</v>
      </c>
      <c r="BW1" s="76">
        <v>45713</v>
      </c>
      <c r="BX1" s="76">
        <v>45714</v>
      </c>
      <c r="BY1" s="76">
        <v>45715</v>
      </c>
      <c r="BZ1" s="76">
        <v>45716</v>
      </c>
      <c r="CA1" s="76">
        <v>45717</v>
      </c>
      <c r="CB1" s="76">
        <v>45718</v>
      </c>
      <c r="CC1" s="76">
        <v>45719</v>
      </c>
      <c r="CD1" s="76">
        <v>45720</v>
      </c>
      <c r="CE1" s="76">
        <v>45721</v>
      </c>
      <c r="CF1" s="76">
        <v>45722</v>
      </c>
      <c r="CG1" s="76">
        <v>45723</v>
      </c>
      <c r="CH1" s="76">
        <v>45724</v>
      </c>
      <c r="CI1" s="76">
        <v>45725</v>
      </c>
      <c r="CJ1" s="76">
        <v>45726</v>
      </c>
      <c r="CK1" s="76">
        <v>45727</v>
      </c>
      <c r="CL1" s="76">
        <v>45728</v>
      </c>
      <c r="CM1" s="76">
        <v>45729</v>
      </c>
      <c r="CN1" s="76">
        <v>45730</v>
      </c>
      <c r="CO1" s="76">
        <v>45731</v>
      </c>
      <c r="CP1" s="76">
        <v>45732</v>
      </c>
      <c r="CQ1" s="76">
        <v>45733</v>
      </c>
      <c r="CR1" s="76">
        <v>45734</v>
      </c>
      <c r="CS1" s="76">
        <v>45735</v>
      </c>
      <c r="CT1" s="76">
        <v>45736</v>
      </c>
      <c r="CU1" s="76">
        <v>45737</v>
      </c>
      <c r="CV1" s="76">
        <v>45738</v>
      </c>
      <c r="CW1" s="76">
        <v>45739</v>
      </c>
      <c r="CX1" s="76">
        <v>45740</v>
      </c>
      <c r="CY1" s="76">
        <v>45741</v>
      </c>
      <c r="CZ1" s="76">
        <v>45742</v>
      </c>
      <c r="DA1" s="76">
        <v>45743</v>
      </c>
      <c r="DB1" s="76">
        <v>45744</v>
      </c>
      <c r="DC1" s="76">
        <v>45745</v>
      </c>
      <c r="DD1" s="76">
        <v>45746</v>
      </c>
    </row>
    <row r="2" spans="1:108" ht="12.75">
      <c r="B2" s="78" t="s">
        <v>630</v>
      </c>
      <c r="C2" s="78" t="s">
        <v>631</v>
      </c>
      <c r="D2" s="77" t="s">
        <v>632</v>
      </c>
      <c r="E2" s="77" t="s">
        <v>633</v>
      </c>
      <c r="F2" s="77" t="s">
        <v>634</v>
      </c>
      <c r="G2" s="77" t="s">
        <v>635</v>
      </c>
      <c r="H2" s="77" t="s">
        <v>636</v>
      </c>
      <c r="I2" s="78" t="s">
        <v>630</v>
      </c>
      <c r="J2" s="78" t="s">
        <v>631</v>
      </c>
      <c r="K2" s="77" t="s">
        <v>632</v>
      </c>
      <c r="L2" s="77" t="s">
        <v>633</v>
      </c>
      <c r="M2" s="77" t="s">
        <v>634</v>
      </c>
      <c r="N2" s="77" t="s">
        <v>635</v>
      </c>
      <c r="O2" s="77" t="s">
        <v>636</v>
      </c>
      <c r="P2" s="78" t="s">
        <v>630</v>
      </c>
      <c r="Q2" s="78" t="s">
        <v>631</v>
      </c>
      <c r="R2" s="77" t="s">
        <v>632</v>
      </c>
      <c r="S2" s="77" t="s">
        <v>633</v>
      </c>
      <c r="T2" s="77" t="s">
        <v>634</v>
      </c>
      <c r="U2" s="77" t="s">
        <v>635</v>
      </c>
      <c r="V2" s="77" t="s">
        <v>636</v>
      </c>
      <c r="W2" s="78" t="s">
        <v>630</v>
      </c>
      <c r="X2" s="78" t="s">
        <v>631</v>
      </c>
      <c r="Y2" s="77" t="s">
        <v>632</v>
      </c>
      <c r="Z2" s="77" t="s">
        <v>633</v>
      </c>
      <c r="AA2" s="77" t="s">
        <v>634</v>
      </c>
      <c r="AB2" s="77" t="s">
        <v>635</v>
      </c>
      <c r="AC2" s="77" t="s">
        <v>636</v>
      </c>
      <c r="AD2" s="78" t="s">
        <v>630</v>
      </c>
      <c r="AE2" s="78" t="s">
        <v>631</v>
      </c>
      <c r="AF2" s="77" t="s">
        <v>632</v>
      </c>
      <c r="AG2" s="77" t="s">
        <v>633</v>
      </c>
      <c r="AH2" s="77" t="s">
        <v>634</v>
      </c>
      <c r="AI2" s="77" t="s">
        <v>635</v>
      </c>
      <c r="AJ2" s="77" t="s">
        <v>636</v>
      </c>
      <c r="AK2" s="78" t="s">
        <v>630</v>
      </c>
      <c r="AL2" s="78" t="s">
        <v>631</v>
      </c>
      <c r="AM2" s="77" t="s">
        <v>632</v>
      </c>
      <c r="AN2" s="77" t="s">
        <v>633</v>
      </c>
      <c r="AO2" s="77" t="s">
        <v>634</v>
      </c>
      <c r="AP2" s="77" t="s">
        <v>635</v>
      </c>
      <c r="AQ2" s="77" t="s">
        <v>636</v>
      </c>
      <c r="AR2" s="78" t="s">
        <v>630</v>
      </c>
      <c r="AS2" s="78" t="s">
        <v>631</v>
      </c>
      <c r="AT2" s="77" t="s">
        <v>632</v>
      </c>
      <c r="AU2" s="77" t="s">
        <v>633</v>
      </c>
      <c r="AV2" s="77" t="s">
        <v>634</v>
      </c>
      <c r="AW2" s="77" t="s">
        <v>635</v>
      </c>
      <c r="AX2" s="77" t="s">
        <v>636</v>
      </c>
      <c r="AY2" s="78" t="s">
        <v>630</v>
      </c>
      <c r="AZ2" s="78" t="s">
        <v>631</v>
      </c>
      <c r="BA2" s="77" t="s">
        <v>632</v>
      </c>
      <c r="BB2" s="77" t="s">
        <v>633</v>
      </c>
      <c r="BC2" s="77" t="s">
        <v>634</v>
      </c>
      <c r="BD2" s="77" t="s">
        <v>635</v>
      </c>
      <c r="BE2" s="77" t="s">
        <v>636</v>
      </c>
      <c r="BF2" s="78" t="s">
        <v>630</v>
      </c>
      <c r="BG2" s="78" t="s">
        <v>631</v>
      </c>
      <c r="BH2" s="77" t="s">
        <v>632</v>
      </c>
      <c r="BI2" s="77" t="s">
        <v>633</v>
      </c>
      <c r="BJ2" s="77" t="s">
        <v>634</v>
      </c>
      <c r="BK2" s="77" t="s">
        <v>635</v>
      </c>
      <c r="BL2" s="77" t="s">
        <v>636</v>
      </c>
      <c r="BM2" s="78" t="s">
        <v>630</v>
      </c>
      <c r="BN2" s="78" t="s">
        <v>631</v>
      </c>
      <c r="BO2" s="77" t="s">
        <v>632</v>
      </c>
      <c r="BP2" s="77" t="s">
        <v>633</v>
      </c>
      <c r="BQ2" s="77" t="s">
        <v>634</v>
      </c>
      <c r="BR2" s="77" t="s">
        <v>635</v>
      </c>
      <c r="BS2" s="77" t="s">
        <v>636</v>
      </c>
      <c r="BT2" s="78" t="s">
        <v>630</v>
      </c>
      <c r="BU2" s="78" t="s">
        <v>631</v>
      </c>
      <c r="BV2" s="77" t="s">
        <v>632</v>
      </c>
      <c r="BW2" s="77" t="s">
        <v>633</v>
      </c>
      <c r="BX2" s="77" t="s">
        <v>634</v>
      </c>
      <c r="BY2" s="77" t="s">
        <v>635</v>
      </c>
      <c r="BZ2" s="77" t="s">
        <v>636</v>
      </c>
      <c r="CA2" s="78" t="s">
        <v>630</v>
      </c>
      <c r="CB2" s="78" t="s">
        <v>631</v>
      </c>
      <c r="CC2" s="77" t="s">
        <v>632</v>
      </c>
      <c r="CD2" s="77" t="s">
        <v>633</v>
      </c>
      <c r="CE2" s="77" t="s">
        <v>634</v>
      </c>
      <c r="CF2" s="77" t="s">
        <v>635</v>
      </c>
      <c r="CG2" s="77" t="s">
        <v>636</v>
      </c>
      <c r="CH2" s="78" t="s">
        <v>630</v>
      </c>
      <c r="CI2" s="78" t="s">
        <v>631</v>
      </c>
      <c r="CJ2" s="77" t="s">
        <v>632</v>
      </c>
      <c r="CK2" s="77" t="s">
        <v>633</v>
      </c>
      <c r="CL2" s="77" t="s">
        <v>634</v>
      </c>
      <c r="CM2" s="77" t="s">
        <v>635</v>
      </c>
      <c r="CN2" s="77" t="s">
        <v>636</v>
      </c>
      <c r="CO2" s="78" t="s">
        <v>630</v>
      </c>
      <c r="CP2" s="78" t="s">
        <v>631</v>
      </c>
      <c r="CQ2" s="77" t="s">
        <v>632</v>
      </c>
      <c r="CR2" s="77" t="s">
        <v>633</v>
      </c>
      <c r="CS2" s="77" t="s">
        <v>634</v>
      </c>
      <c r="CT2" s="77" t="s">
        <v>635</v>
      </c>
      <c r="CU2" s="77" t="s">
        <v>636</v>
      </c>
      <c r="CV2" s="78" t="s">
        <v>630</v>
      </c>
      <c r="CW2" s="78" t="s">
        <v>631</v>
      </c>
      <c r="CX2" s="77" t="s">
        <v>632</v>
      </c>
      <c r="CY2" s="77" t="s">
        <v>633</v>
      </c>
      <c r="CZ2" s="77" t="s">
        <v>634</v>
      </c>
      <c r="DA2" s="77" t="s">
        <v>635</v>
      </c>
      <c r="DB2" s="77" t="s">
        <v>636</v>
      </c>
    </row>
    <row r="3" spans="1:108" ht="12.75">
      <c r="A3" s="79" t="s">
        <v>637</v>
      </c>
      <c r="B3" s="221"/>
      <c r="C3" s="221"/>
      <c r="D3" s="223"/>
      <c r="E3" s="223"/>
      <c r="F3" s="223"/>
      <c r="G3" s="223"/>
      <c r="H3" s="223"/>
      <c r="I3" s="221"/>
      <c r="J3" s="221"/>
      <c r="L3" s="229"/>
      <c r="M3" s="229"/>
      <c r="N3" s="229"/>
      <c r="O3" s="229"/>
      <c r="P3" s="221"/>
      <c r="Q3" s="221"/>
      <c r="R3" s="229"/>
      <c r="S3" s="229"/>
      <c r="T3" s="229"/>
      <c r="W3" s="221"/>
      <c r="X3" s="221"/>
      <c r="AD3" s="221"/>
      <c r="AE3" s="221"/>
      <c r="AK3" s="221"/>
      <c r="AL3" s="221"/>
      <c r="AO3" s="230" t="s">
        <v>638</v>
      </c>
      <c r="AR3" s="221"/>
      <c r="AS3" s="221"/>
      <c r="AY3" s="221"/>
      <c r="AZ3" s="221"/>
      <c r="BF3" s="221"/>
      <c r="BG3" s="221"/>
      <c r="BM3" s="221"/>
      <c r="BN3" s="221"/>
      <c r="BT3" s="221"/>
      <c r="BU3" s="221"/>
      <c r="CA3" s="221"/>
      <c r="CB3" s="221"/>
      <c r="CH3" s="221"/>
      <c r="CI3" s="221"/>
      <c r="CO3" s="221"/>
      <c r="CP3" s="221"/>
      <c r="CV3" s="221"/>
      <c r="CW3" s="221"/>
    </row>
    <row r="4" spans="1:108" ht="12.75">
      <c r="A4" t="s">
        <v>639</v>
      </c>
      <c r="B4" s="221"/>
      <c r="C4" s="221"/>
      <c r="D4" s="223" t="s">
        <v>640</v>
      </c>
      <c r="E4" s="223"/>
      <c r="F4" s="223"/>
      <c r="G4" s="223"/>
      <c r="H4" s="223"/>
      <c r="I4" s="221"/>
      <c r="J4" s="221"/>
      <c r="K4" s="223"/>
      <c r="L4" s="229"/>
      <c r="M4" s="229"/>
      <c r="N4" s="229"/>
      <c r="O4" s="229"/>
      <c r="P4" s="221"/>
      <c r="Q4" s="221"/>
      <c r="R4" s="229"/>
      <c r="S4" s="229"/>
      <c r="T4" s="229"/>
      <c r="U4" s="222"/>
      <c r="V4" s="222"/>
      <c r="W4" s="221"/>
      <c r="X4" s="221"/>
      <c r="Y4" s="222"/>
      <c r="Z4" s="222"/>
      <c r="AA4" s="222"/>
      <c r="AB4" s="222"/>
      <c r="AC4" s="222"/>
      <c r="AD4" s="221"/>
      <c r="AE4" s="221"/>
      <c r="AF4" s="222"/>
      <c r="AG4" s="222"/>
      <c r="AH4" s="222"/>
      <c r="AI4" s="222"/>
      <c r="AJ4" s="222"/>
      <c r="AK4" s="221"/>
      <c r="AL4" s="221"/>
      <c r="AO4" s="223" t="s">
        <v>641</v>
      </c>
      <c r="AP4" s="223"/>
      <c r="AR4" s="221"/>
      <c r="AS4" s="221"/>
      <c r="AY4" s="221"/>
      <c r="AZ4" s="221"/>
      <c r="BF4" s="221"/>
      <c r="BG4" s="221"/>
      <c r="BM4" s="221"/>
      <c r="BN4" s="221"/>
      <c r="BT4" s="221"/>
      <c r="BU4" s="221"/>
      <c r="CA4" s="221"/>
      <c r="CB4" s="221"/>
      <c r="CH4" s="221"/>
      <c r="CI4" s="221"/>
      <c r="CO4" s="221"/>
      <c r="CP4" s="221"/>
      <c r="CV4" s="221"/>
      <c r="CW4" s="221"/>
    </row>
    <row r="5" spans="1:108" ht="12.75">
      <c r="A5" s="79" t="s">
        <v>642</v>
      </c>
      <c r="B5" s="221"/>
      <c r="C5" s="221"/>
      <c r="D5" s="222"/>
      <c r="E5" s="222"/>
      <c r="F5" s="222"/>
      <c r="G5" s="222"/>
      <c r="H5" s="222"/>
      <c r="I5" s="221"/>
      <c r="J5" s="221"/>
      <c r="K5" s="222"/>
      <c r="L5" s="229"/>
      <c r="M5" s="229"/>
      <c r="N5" s="229"/>
      <c r="O5" s="229"/>
      <c r="P5" s="221"/>
      <c r="Q5" s="221"/>
      <c r="R5" s="229"/>
      <c r="S5" s="229"/>
      <c r="T5" s="229"/>
      <c r="U5" s="222"/>
      <c r="V5" s="222"/>
      <c r="W5" s="221"/>
      <c r="X5" s="221"/>
      <c r="Y5" s="223" t="s">
        <v>641</v>
      </c>
      <c r="Z5" s="223"/>
      <c r="AA5" s="223"/>
      <c r="AB5" s="223"/>
      <c r="AC5" s="223"/>
      <c r="AD5" s="221"/>
      <c r="AE5" s="221"/>
      <c r="AF5" s="223"/>
      <c r="AG5" s="223"/>
      <c r="AH5" s="223"/>
      <c r="AI5" s="223"/>
      <c r="AJ5" s="223"/>
      <c r="AK5" s="221"/>
      <c r="AL5" s="221"/>
      <c r="AR5" s="221"/>
      <c r="AS5" s="221"/>
      <c r="AY5" s="221"/>
      <c r="AZ5" s="221"/>
      <c r="BF5" s="221"/>
      <c r="BG5" s="221"/>
      <c r="BM5" s="221"/>
      <c r="BN5" s="221"/>
      <c r="BT5" s="221"/>
      <c r="BU5" s="221"/>
      <c r="BW5" s="231" t="s">
        <v>643</v>
      </c>
      <c r="BX5" s="231"/>
      <c r="BY5" s="231"/>
      <c r="BZ5" s="231"/>
      <c r="CA5" s="221"/>
      <c r="CB5" s="221"/>
      <c r="CH5" s="221"/>
      <c r="CI5" s="221"/>
      <c r="CO5" s="221"/>
      <c r="CP5" s="221"/>
      <c r="CV5" s="221"/>
      <c r="CW5" s="221"/>
    </row>
    <row r="6" spans="1:108" ht="12.75">
      <c r="A6" s="79" t="s">
        <v>644</v>
      </c>
      <c r="B6" s="221"/>
      <c r="C6" s="221"/>
      <c r="D6" s="222"/>
      <c r="E6" s="222"/>
      <c r="F6" s="222"/>
      <c r="G6" s="222"/>
      <c r="H6" s="222"/>
      <c r="I6" s="221"/>
      <c r="J6" s="221"/>
      <c r="K6" s="222"/>
      <c r="L6" s="229"/>
      <c r="M6" s="229"/>
      <c r="N6" s="229"/>
      <c r="O6" s="229"/>
      <c r="P6" s="221"/>
      <c r="Q6" s="221"/>
      <c r="R6" s="229"/>
      <c r="S6" s="229"/>
      <c r="T6" s="229"/>
      <c r="U6" s="222"/>
      <c r="V6" s="222"/>
      <c r="W6" s="221"/>
      <c r="X6" s="221"/>
      <c r="Y6" s="222"/>
      <c r="Z6" s="222"/>
      <c r="AA6" s="222"/>
      <c r="AB6" s="222"/>
      <c r="AC6" s="222"/>
      <c r="AD6" s="221"/>
      <c r="AE6" s="221"/>
      <c r="AF6" s="222"/>
      <c r="AG6" s="222"/>
      <c r="AH6" s="222"/>
      <c r="AI6" s="222"/>
      <c r="AJ6" s="223" t="s">
        <v>641</v>
      </c>
      <c r="AK6" s="221"/>
      <c r="AL6" s="221"/>
      <c r="AM6" s="223"/>
      <c r="AN6" s="223"/>
      <c r="AO6" s="223"/>
      <c r="AP6" s="223"/>
      <c r="AQ6" s="223"/>
      <c r="AR6" s="221"/>
      <c r="AS6" s="221"/>
      <c r="AT6" s="223"/>
      <c r="AU6" s="223"/>
      <c r="AV6" s="223"/>
      <c r="AW6" s="223"/>
      <c r="AX6" s="223"/>
      <c r="AY6" s="221"/>
      <c r="AZ6" s="221"/>
      <c r="BF6" s="221"/>
      <c r="BG6" s="221"/>
      <c r="BM6" s="221"/>
      <c r="BN6" s="221"/>
      <c r="BT6" s="221"/>
      <c r="BU6" s="221"/>
      <c r="BW6" s="231" t="s">
        <v>643</v>
      </c>
      <c r="BX6" s="231"/>
      <c r="BY6" s="231"/>
      <c r="BZ6" s="231"/>
      <c r="CA6" s="221"/>
      <c r="CB6" s="221"/>
      <c r="CH6" s="221"/>
      <c r="CI6" s="221"/>
      <c r="CO6" s="221"/>
      <c r="CP6" s="221"/>
      <c r="CV6" s="221"/>
      <c r="CW6" s="221"/>
    </row>
    <row r="7" spans="1:108" ht="12.75">
      <c r="A7" s="79" t="s">
        <v>645</v>
      </c>
      <c r="B7" s="221"/>
      <c r="C7" s="221"/>
      <c r="D7" s="222"/>
      <c r="E7" s="222"/>
      <c r="F7" s="222"/>
      <c r="G7" s="222"/>
      <c r="H7" s="222"/>
      <c r="I7" s="221"/>
      <c r="J7" s="221"/>
      <c r="K7" s="222"/>
      <c r="L7" s="229"/>
      <c r="M7" s="229"/>
      <c r="N7" s="229"/>
      <c r="O7" s="229"/>
      <c r="P7" s="221"/>
      <c r="Q7" s="221"/>
      <c r="R7" s="229"/>
      <c r="S7" s="229"/>
      <c r="T7" s="229"/>
      <c r="U7" s="222"/>
      <c r="V7" s="222"/>
      <c r="W7" s="221"/>
      <c r="X7" s="221"/>
      <c r="AD7" s="221"/>
      <c r="AE7" s="221"/>
      <c r="AK7" s="221"/>
      <c r="AL7" s="221"/>
      <c r="AM7" s="222"/>
      <c r="AN7" s="222"/>
      <c r="AO7" s="222"/>
      <c r="AP7" s="222"/>
      <c r="AQ7" s="222"/>
      <c r="AR7" s="221"/>
      <c r="AS7" s="221"/>
      <c r="AT7" s="222"/>
      <c r="AU7" s="222"/>
      <c r="AV7" s="222"/>
      <c r="AW7" s="222"/>
      <c r="AX7" s="222"/>
      <c r="AY7" s="221"/>
      <c r="AZ7" s="221"/>
      <c r="BA7" s="222"/>
      <c r="BB7" s="222"/>
      <c r="BC7" s="222"/>
      <c r="BD7" s="222"/>
      <c r="BE7" s="222"/>
      <c r="BF7" s="221"/>
      <c r="BG7" s="221"/>
      <c r="BJ7" s="223" t="s">
        <v>641</v>
      </c>
      <c r="BK7" s="223"/>
      <c r="BL7" s="223"/>
      <c r="BM7" s="221"/>
      <c r="BN7" s="221"/>
      <c r="BO7" s="223"/>
      <c r="BP7" s="223"/>
      <c r="BQ7" s="223"/>
      <c r="BR7" s="223"/>
      <c r="BS7" s="223"/>
      <c r="BT7" s="221"/>
      <c r="BU7" s="221"/>
      <c r="BV7" s="223"/>
      <c r="BW7" s="231" t="s">
        <v>643</v>
      </c>
      <c r="BX7" s="231"/>
      <c r="BY7" s="231"/>
      <c r="BZ7" s="231"/>
      <c r="CA7" s="221"/>
      <c r="CB7" s="221"/>
      <c r="CH7" s="221"/>
      <c r="CI7" s="221"/>
      <c r="CO7" s="221"/>
      <c r="CP7" s="221"/>
      <c r="CV7" s="221"/>
      <c r="CW7" s="221"/>
    </row>
    <row r="8" spans="1:108" ht="23.25">
      <c r="A8" s="79" t="s">
        <v>646</v>
      </c>
      <c r="B8" s="221"/>
      <c r="C8" s="221"/>
      <c r="D8" s="222"/>
      <c r="E8" s="222"/>
      <c r="I8" s="221"/>
      <c r="J8" s="221"/>
      <c r="L8" s="229"/>
      <c r="M8" s="229"/>
      <c r="N8" s="229"/>
      <c r="O8" s="229"/>
      <c r="P8" s="221"/>
      <c r="Q8" s="221"/>
      <c r="R8" s="229"/>
      <c r="S8" s="229"/>
      <c r="T8" s="229"/>
      <c r="W8" s="221"/>
      <c r="X8" s="221"/>
      <c r="AA8" s="222"/>
      <c r="AB8" s="222"/>
      <c r="AC8" s="222"/>
      <c r="AD8" s="221"/>
      <c r="AE8" s="221"/>
      <c r="AF8" s="222"/>
      <c r="AG8" s="222"/>
      <c r="AH8" s="222"/>
      <c r="AI8" s="222"/>
      <c r="AJ8" s="222"/>
      <c r="AK8" s="221"/>
      <c r="AL8" s="221"/>
      <c r="AR8" s="221"/>
      <c r="AS8" s="221"/>
      <c r="AY8" s="221"/>
      <c r="AZ8" s="221"/>
      <c r="BA8" s="222"/>
      <c r="BB8" s="223" t="s">
        <v>641</v>
      </c>
      <c r="BC8" s="223"/>
      <c r="BD8" s="223"/>
      <c r="BF8" s="221"/>
      <c r="BG8" s="221"/>
      <c r="BI8" s="231" t="s">
        <v>643</v>
      </c>
      <c r="BJ8" s="232" t="s">
        <v>647</v>
      </c>
      <c r="BM8" s="221"/>
      <c r="BN8" s="221"/>
      <c r="BT8" s="221"/>
      <c r="BU8" s="221"/>
      <c r="CA8" s="221"/>
      <c r="CB8" s="221"/>
      <c r="CH8" s="221"/>
      <c r="CI8" s="221"/>
      <c r="CO8" s="221"/>
      <c r="CP8" s="221"/>
      <c r="CV8" s="221"/>
      <c r="CW8" s="221"/>
    </row>
    <row r="9" spans="1:108" ht="12.75">
      <c r="A9" s="79" t="s">
        <v>648</v>
      </c>
      <c r="B9" s="221"/>
      <c r="C9" s="221"/>
      <c r="I9" s="221"/>
      <c r="J9" s="221"/>
      <c r="L9" s="229"/>
      <c r="M9" s="229"/>
      <c r="N9" s="229"/>
      <c r="O9" s="229"/>
      <c r="P9" s="221"/>
      <c r="Q9" s="221"/>
      <c r="R9" s="229"/>
      <c r="S9" s="229"/>
      <c r="T9" s="229"/>
      <c r="W9" s="221"/>
      <c r="X9" s="221"/>
      <c r="AD9" s="221"/>
      <c r="AE9" s="221"/>
      <c r="AK9" s="221"/>
      <c r="AL9" s="221"/>
      <c r="AR9" s="221"/>
      <c r="AS9" s="221"/>
      <c r="AY9" s="221"/>
      <c r="AZ9" s="221"/>
      <c r="BF9" s="221"/>
      <c r="BG9" s="221"/>
      <c r="BI9" s="222"/>
      <c r="BJ9" s="222"/>
      <c r="BK9" s="222"/>
      <c r="BL9" s="222"/>
      <c r="BM9" s="221"/>
      <c r="BN9" s="221"/>
      <c r="BT9" s="221"/>
      <c r="BU9" s="221"/>
      <c r="BW9" s="231" t="s">
        <v>643</v>
      </c>
      <c r="CA9" s="221"/>
      <c r="CB9" s="221"/>
      <c r="CH9" s="221"/>
      <c r="CI9" s="221"/>
      <c r="CO9" s="221"/>
      <c r="CP9" s="221"/>
      <c r="CV9" s="221"/>
      <c r="CW9" s="221"/>
    </row>
    <row r="10" spans="1:108" ht="12.75">
      <c r="A10" t="s">
        <v>649</v>
      </c>
      <c r="B10" s="221"/>
      <c r="C10" s="221"/>
      <c r="I10" s="221"/>
      <c r="J10" s="221"/>
      <c r="L10" s="229"/>
      <c r="M10" s="229"/>
      <c r="N10" s="229"/>
      <c r="O10" s="229"/>
      <c r="P10" s="221"/>
      <c r="Q10" s="221"/>
      <c r="R10" s="229"/>
      <c r="S10" s="229"/>
      <c r="T10" s="229"/>
      <c r="W10" s="221"/>
      <c r="X10" s="221"/>
      <c r="AD10" s="221"/>
      <c r="AE10" s="221"/>
      <c r="AK10" s="221"/>
      <c r="AL10" s="221"/>
      <c r="AM10" s="222"/>
      <c r="AN10" s="222"/>
      <c r="AO10" s="222"/>
      <c r="AP10" s="222"/>
      <c r="AQ10" s="222"/>
      <c r="AR10" s="221"/>
      <c r="AS10" s="221"/>
      <c r="AY10" s="221"/>
      <c r="AZ10" s="221"/>
      <c r="BF10" s="221"/>
      <c r="BG10" s="221"/>
      <c r="BI10" s="222"/>
      <c r="BJ10" s="222"/>
      <c r="BK10" s="222"/>
      <c r="BL10" s="222"/>
      <c r="BM10" s="221"/>
      <c r="BN10" s="221"/>
      <c r="BO10" s="222"/>
      <c r="BT10" s="221"/>
      <c r="BU10" s="221"/>
      <c r="BW10" s="231" t="s">
        <v>643</v>
      </c>
      <c r="CA10" s="221"/>
      <c r="CB10" s="221"/>
      <c r="CH10" s="221"/>
      <c r="CI10" s="221"/>
      <c r="CO10" s="221"/>
      <c r="CP10" s="221"/>
      <c r="CV10" s="221"/>
      <c r="CW10" s="221"/>
    </row>
    <row r="11" spans="1:108" ht="12.75">
      <c r="A11" s="79"/>
      <c r="B11" s="221"/>
      <c r="C11" s="221"/>
      <c r="I11" s="221"/>
      <c r="J11" s="221"/>
      <c r="L11" s="229"/>
      <c r="M11" s="229"/>
      <c r="N11" s="229"/>
      <c r="O11" s="229"/>
      <c r="P11" s="221"/>
      <c r="Q11" s="221"/>
      <c r="R11" s="229"/>
      <c r="S11" s="229"/>
      <c r="T11" s="229"/>
      <c r="W11" s="221"/>
      <c r="X11" s="221"/>
      <c r="AD11" s="221"/>
      <c r="AE11" s="221"/>
      <c r="AK11" s="221"/>
      <c r="AL11" s="221"/>
      <c r="AR11" s="221"/>
      <c r="AS11" s="221"/>
      <c r="AY11" s="221"/>
      <c r="AZ11" s="221"/>
      <c r="BA11" s="222"/>
      <c r="BB11" s="222"/>
      <c r="BC11" s="222"/>
      <c r="BD11" s="222"/>
      <c r="BE11" s="222"/>
      <c r="BF11" s="221"/>
      <c r="BG11" s="221"/>
      <c r="BH11" s="222"/>
      <c r="BI11" s="222"/>
      <c r="BJ11" s="222"/>
      <c r="BK11" s="222"/>
      <c r="BL11" s="222"/>
      <c r="BM11" s="221"/>
      <c r="BN11" s="221"/>
      <c r="BO11" s="222"/>
      <c r="BP11" s="222"/>
      <c r="BQ11" s="222"/>
      <c r="BR11" s="222"/>
      <c r="BS11" s="222"/>
      <c r="BT11" s="221"/>
      <c r="BU11" s="221"/>
      <c r="BV11" s="222"/>
      <c r="BW11" s="222"/>
      <c r="BX11" s="222"/>
      <c r="BY11" s="222"/>
      <c r="BZ11" s="222"/>
      <c r="CA11" s="221"/>
      <c r="CB11" s="221"/>
      <c r="CH11" s="221"/>
      <c r="CI11" s="221"/>
      <c r="CO11" s="221"/>
      <c r="CP11" s="221"/>
      <c r="CV11" s="221"/>
      <c r="CW11" s="221"/>
    </row>
    <row r="12" spans="1:108" ht="12.75">
      <c r="A12" s="79"/>
      <c r="B12" s="221"/>
      <c r="C12" s="221"/>
      <c r="I12" s="221"/>
      <c r="J12" s="221"/>
      <c r="L12" s="229"/>
      <c r="M12" s="229"/>
      <c r="N12" s="229"/>
      <c r="O12" s="229"/>
      <c r="P12" s="221"/>
      <c r="Q12" s="221"/>
      <c r="R12" s="229"/>
      <c r="S12" s="229"/>
      <c r="T12" s="229"/>
      <c r="W12" s="221"/>
      <c r="X12" s="221"/>
      <c r="AD12" s="221"/>
      <c r="AE12" s="221"/>
      <c r="AK12" s="221"/>
      <c r="AL12" s="221"/>
      <c r="AR12" s="221"/>
      <c r="AS12" s="221"/>
      <c r="AY12" s="221"/>
      <c r="AZ12" s="221"/>
      <c r="BF12" s="221"/>
      <c r="BG12" s="221"/>
      <c r="BM12" s="221"/>
      <c r="BN12" s="221"/>
      <c r="BT12" s="221"/>
      <c r="BU12" s="221"/>
      <c r="CA12" s="221"/>
      <c r="CB12" s="221"/>
      <c r="CH12" s="221"/>
      <c r="CI12" s="221"/>
      <c r="CO12" s="221"/>
      <c r="CP12" s="221"/>
      <c r="CV12" s="221"/>
      <c r="CW12" s="221"/>
    </row>
    <row r="13" spans="1:108" ht="12.75">
      <c r="A13" s="79" t="s">
        <v>650</v>
      </c>
      <c r="B13" s="221"/>
      <c r="C13" s="221"/>
      <c r="I13" s="221"/>
      <c r="J13" s="221"/>
      <c r="L13" s="229"/>
      <c r="M13" s="229"/>
      <c r="N13" s="229"/>
      <c r="O13" s="229"/>
      <c r="P13" s="221"/>
      <c r="Q13" s="221"/>
      <c r="R13" s="229"/>
      <c r="S13" s="229"/>
      <c r="T13" s="229"/>
      <c r="W13" s="221"/>
      <c r="X13" s="221"/>
      <c r="AD13" s="221"/>
      <c r="AE13" s="221"/>
      <c r="AK13" s="221"/>
      <c r="AL13" s="221"/>
      <c r="AR13" s="221"/>
      <c r="AS13" s="221"/>
      <c r="AY13" s="221"/>
      <c r="AZ13" s="221"/>
      <c r="BF13" s="221"/>
      <c r="BG13" s="221"/>
      <c r="BM13" s="221"/>
      <c r="BN13" s="221"/>
      <c r="BT13" s="221"/>
      <c r="BU13" s="221"/>
      <c r="CA13" s="221"/>
      <c r="CB13" s="221"/>
      <c r="CH13" s="221"/>
      <c r="CI13" s="221"/>
      <c r="CO13" s="221"/>
      <c r="CP13" s="221"/>
      <c r="CV13" s="221"/>
      <c r="CW13" s="221"/>
    </row>
    <row r="14" spans="1:108" ht="12.75">
      <c r="A14" s="79" t="s">
        <v>651</v>
      </c>
      <c r="B14" s="221"/>
      <c r="C14" s="221"/>
      <c r="I14" s="221"/>
      <c r="J14" s="221"/>
      <c r="L14" s="229"/>
      <c r="M14" s="229"/>
      <c r="N14" s="229"/>
      <c r="O14" s="229"/>
      <c r="P14" s="221"/>
      <c r="Q14" s="221"/>
      <c r="R14" s="229"/>
      <c r="S14" s="229"/>
      <c r="T14" s="229"/>
      <c r="W14" s="221"/>
      <c r="X14" s="221"/>
      <c r="AD14" s="221"/>
      <c r="AE14" s="221"/>
      <c r="AK14" s="221"/>
      <c r="AL14" s="221"/>
      <c r="AR14" s="221"/>
      <c r="AS14" s="221"/>
      <c r="AY14" s="221"/>
      <c r="AZ14" s="221"/>
      <c r="BF14" s="221"/>
      <c r="BG14" s="221"/>
      <c r="BM14" s="221"/>
      <c r="BN14" s="221"/>
      <c r="BT14" s="221"/>
      <c r="BU14" s="221"/>
      <c r="CA14" s="221"/>
      <c r="CB14" s="221"/>
      <c r="CH14" s="221"/>
      <c r="CI14" s="221"/>
      <c r="CO14" s="221"/>
      <c r="CP14" s="221"/>
      <c r="CV14" s="221"/>
      <c r="CW14" s="221"/>
    </row>
    <row r="15" spans="1:108" ht="15.75" customHeight="1">
      <c r="A15" t="s">
        <v>509</v>
      </c>
      <c r="B15" s="221"/>
      <c r="C15" s="221"/>
      <c r="I15" s="221"/>
      <c r="J15" s="221"/>
      <c r="L15" s="229"/>
      <c r="M15" s="229"/>
      <c r="N15" s="229"/>
      <c r="O15" s="229"/>
      <c r="P15" s="221"/>
      <c r="Q15" s="221"/>
      <c r="R15" s="229"/>
      <c r="S15" s="229"/>
      <c r="T15" s="229"/>
      <c r="W15" s="221"/>
      <c r="X15" s="221"/>
      <c r="AD15" s="221"/>
      <c r="AE15" s="221"/>
      <c r="AK15" s="221"/>
      <c r="AL15" s="221"/>
      <c r="AR15" s="221"/>
      <c r="AS15" s="221"/>
      <c r="AY15" s="221"/>
      <c r="AZ15" s="221"/>
      <c r="BF15" s="221"/>
      <c r="BG15" s="221"/>
      <c r="BM15" s="221"/>
      <c r="BN15" s="221"/>
      <c r="BT15" s="221"/>
      <c r="BU15" s="221"/>
      <c r="CA15" s="221"/>
      <c r="CB15" s="221"/>
      <c r="CH15" s="221"/>
      <c r="CI15" s="221"/>
      <c r="CO15" s="221"/>
      <c r="CP15" s="221"/>
      <c r="CV15" s="221"/>
      <c r="CW15" s="221"/>
    </row>
    <row r="16" spans="1:108" ht="15.75" customHeight="1">
      <c r="A16" t="s">
        <v>652</v>
      </c>
      <c r="B16" s="221"/>
      <c r="C16" s="221"/>
      <c r="I16" s="221"/>
      <c r="J16" s="221"/>
      <c r="L16" s="229"/>
      <c r="M16" s="229"/>
      <c r="N16" s="229"/>
      <c r="O16" s="229"/>
      <c r="P16" s="221"/>
      <c r="Q16" s="221"/>
      <c r="R16" s="229"/>
      <c r="S16" s="229"/>
      <c r="T16" s="229"/>
      <c r="W16" s="221"/>
      <c r="X16" s="221"/>
      <c r="AD16" s="221"/>
      <c r="AE16" s="221"/>
      <c r="AK16" s="221"/>
      <c r="AL16" s="221"/>
      <c r="AR16" s="221"/>
      <c r="AS16" s="221"/>
      <c r="AY16" s="221"/>
      <c r="AZ16" s="221"/>
      <c r="BF16" s="221"/>
      <c r="BG16" s="221"/>
      <c r="BM16" s="221"/>
      <c r="BN16" s="221"/>
      <c r="BT16" s="221"/>
      <c r="BU16" s="221"/>
      <c r="CA16" s="221"/>
      <c r="CB16" s="221"/>
      <c r="CH16" s="221"/>
      <c r="CI16" s="221"/>
      <c r="CO16" s="221"/>
      <c r="CP16" s="221"/>
      <c r="CV16" s="221"/>
      <c r="CW16" s="221"/>
    </row>
    <row r="17" spans="1:101" ht="12.75">
      <c r="A17" s="79" t="s">
        <v>653</v>
      </c>
      <c r="B17" s="221"/>
      <c r="C17" s="221"/>
      <c r="I17" s="221"/>
      <c r="J17" s="221"/>
      <c r="L17" s="229"/>
      <c r="M17" s="229"/>
      <c r="N17" s="229"/>
      <c r="O17" s="229"/>
      <c r="P17" s="221"/>
      <c r="Q17" s="221"/>
      <c r="R17" s="229"/>
      <c r="S17" s="229"/>
      <c r="T17" s="229"/>
      <c r="W17" s="221"/>
      <c r="X17" s="221"/>
      <c r="AD17" s="221"/>
      <c r="AE17" s="221"/>
      <c r="AK17" s="221"/>
      <c r="AL17" s="221"/>
      <c r="AR17" s="221"/>
      <c r="AS17" s="221"/>
      <c r="AY17" s="221"/>
      <c r="AZ17" s="221"/>
      <c r="BF17" s="221"/>
      <c r="BG17" s="221"/>
      <c r="BM17" s="221"/>
      <c r="BN17" s="221"/>
      <c r="BT17" s="221"/>
      <c r="BU17" s="221"/>
      <c r="CA17" s="221"/>
      <c r="CB17" s="221"/>
      <c r="CH17" s="221"/>
      <c r="CI17" s="221"/>
      <c r="CO17" s="221"/>
      <c r="CP17" s="221"/>
      <c r="CV17" s="221"/>
      <c r="CW17" s="221"/>
    </row>
    <row r="18" spans="1:101" ht="12.75">
      <c r="A18" s="79" t="s">
        <v>654</v>
      </c>
      <c r="B18" s="221"/>
      <c r="C18" s="221"/>
      <c r="I18" s="221"/>
      <c r="J18" s="221"/>
      <c r="L18" s="229"/>
      <c r="M18" s="229"/>
      <c r="N18" s="229"/>
      <c r="O18" s="229"/>
      <c r="P18" s="221"/>
      <c r="Q18" s="221"/>
      <c r="R18" s="229"/>
      <c r="S18" s="229"/>
      <c r="T18" s="229"/>
      <c r="W18" s="221"/>
      <c r="X18" s="221"/>
      <c r="AD18" s="221"/>
      <c r="AE18" s="221"/>
      <c r="AK18" s="221"/>
      <c r="AL18" s="221"/>
      <c r="AR18" s="221"/>
      <c r="AS18" s="221"/>
      <c r="AY18" s="221"/>
      <c r="AZ18" s="221"/>
      <c r="BF18" s="221"/>
      <c r="BG18" s="221"/>
      <c r="BM18" s="221"/>
      <c r="BN18" s="221"/>
      <c r="BT18" s="221"/>
      <c r="BU18" s="221"/>
      <c r="CA18" s="221"/>
      <c r="CB18" s="221"/>
      <c r="CH18" s="221"/>
      <c r="CI18" s="221"/>
      <c r="CO18" s="221"/>
      <c r="CP18" s="221"/>
      <c r="CV18" s="221"/>
      <c r="CW18" s="221"/>
    </row>
    <row r="19" spans="1:101" ht="12.75">
      <c r="A19" s="79" t="s">
        <v>510</v>
      </c>
      <c r="B19" s="221"/>
      <c r="C19" s="221"/>
      <c r="I19" s="221"/>
      <c r="J19" s="221"/>
      <c r="L19" s="229"/>
      <c r="M19" s="229"/>
      <c r="N19" s="229"/>
      <c r="O19" s="229"/>
      <c r="P19" s="221"/>
      <c r="Q19" s="221"/>
      <c r="R19" s="229"/>
      <c r="S19" s="229"/>
      <c r="T19" s="229"/>
      <c r="W19" s="221"/>
      <c r="X19" s="221"/>
      <c r="AD19" s="221"/>
      <c r="AE19" s="221"/>
      <c r="AK19" s="221"/>
      <c r="AL19" s="221"/>
      <c r="AR19" s="221"/>
      <c r="AS19" s="221"/>
      <c r="AY19" s="221"/>
      <c r="AZ19" s="221"/>
      <c r="BF19" s="221"/>
      <c r="BG19" s="221"/>
      <c r="BM19" s="221"/>
      <c r="BN19" s="221"/>
      <c r="BT19" s="221"/>
      <c r="BU19" s="221"/>
      <c r="CA19" s="221"/>
      <c r="CB19" s="221"/>
      <c r="CH19" s="221"/>
      <c r="CI19" s="221"/>
      <c r="CO19" s="221"/>
      <c r="CP19" s="221"/>
      <c r="CV19" s="221"/>
      <c r="CW19" s="221"/>
    </row>
    <row r="20" spans="1:101" ht="12.75">
      <c r="A20" s="79" t="s">
        <v>511</v>
      </c>
      <c r="B20" s="221"/>
      <c r="C20" s="221"/>
      <c r="I20" s="221"/>
      <c r="J20" s="221"/>
      <c r="L20" s="229"/>
      <c r="M20" s="229"/>
      <c r="N20" s="229"/>
      <c r="O20" s="229"/>
      <c r="P20" s="221"/>
      <c r="Q20" s="221"/>
      <c r="R20" s="229"/>
      <c r="S20" s="229"/>
      <c r="T20" s="229"/>
      <c r="W20" s="221"/>
      <c r="X20" s="221"/>
      <c r="AD20" s="221"/>
      <c r="AE20" s="221"/>
      <c r="AK20" s="221"/>
      <c r="AL20" s="221"/>
      <c r="AR20" s="221"/>
      <c r="AS20" s="221"/>
      <c r="AY20" s="221"/>
      <c r="AZ20" s="221"/>
      <c r="BF20" s="221"/>
      <c r="BG20" s="221"/>
      <c r="BM20" s="221"/>
      <c r="BN20" s="221"/>
      <c r="BT20" s="221"/>
      <c r="BU20" s="221"/>
      <c r="CA20" s="221"/>
      <c r="CB20" s="221"/>
      <c r="CH20" s="221"/>
      <c r="CI20" s="221"/>
      <c r="CO20" s="221"/>
      <c r="CP20" s="221"/>
      <c r="CV20" s="221"/>
      <c r="CW20" s="221"/>
    </row>
    <row r="21" spans="1:101" ht="12.75">
      <c r="A21" s="79" t="s">
        <v>655</v>
      </c>
      <c r="B21" s="221"/>
      <c r="C21" s="221"/>
      <c r="I21" s="221"/>
      <c r="J21" s="221"/>
      <c r="L21" s="229"/>
      <c r="M21" s="229"/>
      <c r="N21" s="229"/>
      <c r="O21" s="229"/>
      <c r="P21" s="221"/>
      <c r="Q21" s="221"/>
      <c r="R21" s="229"/>
      <c r="S21" s="229"/>
      <c r="T21" s="229"/>
      <c r="W21" s="221"/>
      <c r="X21" s="221"/>
      <c r="AD21" s="221"/>
      <c r="AE21" s="221"/>
      <c r="AK21" s="221"/>
      <c r="AL21" s="221"/>
      <c r="AR21" s="221"/>
      <c r="AS21" s="221"/>
      <c r="AY21" s="221"/>
      <c r="AZ21" s="221"/>
      <c r="BF21" s="221"/>
      <c r="BG21" s="221"/>
      <c r="BM21" s="221"/>
      <c r="BN21" s="221"/>
      <c r="BT21" s="221"/>
      <c r="BU21" s="221"/>
      <c r="CA21" s="221"/>
      <c r="CB21" s="221"/>
      <c r="CH21" s="221"/>
      <c r="CI21" s="221"/>
      <c r="CO21" s="221"/>
      <c r="CP21" s="221"/>
      <c r="CV21" s="221"/>
      <c r="CW21" s="221"/>
    </row>
    <row r="22" spans="1:101" ht="15.75" customHeight="1">
      <c r="B22" s="221"/>
      <c r="C22" s="221"/>
      <c r="I22" s="221"/>
      <c r="J22" s="221"/>
    </row>
  </sheetData>
  <pageMargins left="0" right="0" top="0" bottom="0" header="0" footer="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V1024"/>
  <sheetViews>
    <sheetView workbookViewId="0">
      <pane xSplit="2" ySplit="2" topLeftCell="GE28" activePane="bottomRight" state="frozen"/>
      <selection pane="bottomRight" activeCell="Z25" sqref="Z23:GO25"/>
      <selection pane="bottomLeft" activeCell="A3" sqref="A3"/>
      <selection pane="topRight" activeCell="C1" sqref="C1"/>
    </sheetView>
  </sheetViews>
  <sheetFormatPr defaultColWidth="12.5703125" defaultRowHeight="15.75" customHeight="1"/>
  <cols>
    <col min="1" max="1" width="28.5703125" customWidth="1"/>
    <col min="2" max="2" width="0.42578125" customWidth="1"/>
    <col min="3" max="10" width="4.28515625" customWidth="1"/>
    <col min="11" max="11" width="4.42578125" customWidth="1"/>
    <col min="12" max="14" width="4.28515625" customWidth="1"/>
    <col min="15" max="15" width="4.5703125" customWidth="1"/>
    <col min="16" max="16" width="4.42578125" customWidth="1"/>
    <col min="17" max="17" width="5.28515625" customWidth="1"/>
    <col min="18" max="24" width="4.28515625" customWidth="1"/>
    <col min="25" max="26" width="3.42578125" customWidth="1"/>
    <col min="27" max="27" width="4" customWidth="1"/>
    <col min="28" max="28" width="4.28515625" customWidth="1"/>
    <col min="29" max="29" width="4.5703125" customWidth="1"/>
    <col min="30" max="30" width="4.42578125" customWidth="1"/>
    <col min="31" max="31" width="5.28515625" customWidth="1"/>
    <col min="32" max="33" width="3.42578125" customWidth="1"/>
    <col min="34" max="91" width="4.28515625" customWidth="1"/>
    <col min="92" max="92" width="5.42578125" customWidth="1"/>
    <col min="93" max="124" width="4.28515625" customWidth="1"/>
    <col min="125" max="145" width="4.85546875" customWidth="1"/>
    <col min="146" max="256" width="4.28515625" customWidth="1"/>
  </cols>
  <sheetData>
    <row r="1" spans="1:256">
      <c r="A1" s="114"/>
      <c r="B1" s="114"/>
      <c r="C1" s="114">
        <v>45148</v>
      </c>
      <c r="D1" s="114">
        <v>45149</v>
      </c>
      <c r="E1" s="114">
        <v>45150</v>
      </c>
      <c r="F1" s="114">
        <v>45151</v>
      </c>
      <c r="G1" s="114">
        <v>45152</v>
      </c>
      <c r="H1" s="114">
        <v>45153</v>
      </c>
      <c r="I1" s="114">
        <v>45154</v>
      </c>
      <c r="J1" s="114">
        <v>45155</v>
      </c>
      <c r="K1" s="114">
        <v>45156</v>
      </c>
      <c r="L1" s="114">
        <v>45157</v>
      </c>
      <c r="M1" s="114">
        <v>45158</v>
      </c>
      <c r="N1" s="114">
        <v>45159</v>
      </c>
      <c r="O1" s="114">
        <v>45160</v>
      </c>
      <c r="P1" s="114">
        <v>45161</v>
      </c>
      <c r="Q1" s="114">
        <v>45162</v>
      </c>
      <c r="R1" s="114">
        <v>45163</v>
      </c>
      <c r="S1" s="114">
        <v>45164</v>
      </c>
      <c r="T1" s="114">
        <v>45165</v>
      </c>
      <c r="U1" s="114">
        <v>45166</v>
      </c>
      <c r="V1" s="114">
        <v>45167</v>
      </c>
      <c r="W1" s="114">
        <v>45168</v>
      </c>
      <c r="X1" s="114">
        <v>45169</v>
      </c>
      <c r="Y1" s="114">
        <v>45170</v>
      </c>
      <c r="Z1" s="114">
        <v>45171</v>
      </c>
      <c r="AA1" s="114">
        <v>45172</v>
      </c>
      <c r="AB1" s="114">
        <v>45173</v>
      </c>
      <c r="AC1" s="114">
        <v>45174</v>
      </c>
      <c r="AD1" s="114">
        <v>45175</v>
      </c>
      <c r="AE1" s="114">
        <v>45176</v>
      </c>
      <c r="AF1" s="114">
        <v>45177</v>
      </c>
      <c r="AG1" s="114">
        <v>45178</v>
      </c>
      <c r="AH1" s="114">
        <v>45179</v>
      </c>
      <c r="AI1" s="114">
        <v>45180</v>
      </c>
      <c r="AJ1" s="114">
        <v>45181</v>
      </c>
      <c r="AK1" s="114">
        <v>45182</v>
      </c>
      <c r="AL1" s="114">
        <v>45183</v>
      </c>
      <c r="AM1" s="114">
        <v>45184</v>
      </c>
      <c r="AN1" s="114">
        <v>45185</v>
      </c>
      <c r="AO1" s="114">
        <v>45186</v>
      </c>
      <c r="AP1" s="114">
        <v>45187</v>
      </c>
      <c r="AQ1" s="114">
        <v>45188</v>
      </c>
      <c r="AR1" s="114">
        <v>45189</v>
      </c>
      <c r="AS1" s="114">
        <v>45190</v>
      </c>
      <c r="AT1" s="114">
        <v>45191</v>
      </c>
      <c r="AU1" s="114">
        <v>45192</v>
      </c>
      <c r="AV1" s="114">
        <v>45193</v>
      </c>
      <c r="AW1" s="114">
        <v>45194</v>
      </c>
      <c r="AX1" s="114">
        <v>45195</v>
      </c>
      <c r="AY1" s="114">
        <v>45196</v>
      </c>
      <c r="AZ1" s="114">
        <v>45197</v>
      </c>
      <c r="BA1" s="114">
        <v>45198</v>
      </c>
      <c r="BB1" s="114">
        <v>45199</v>
      </c>
      <c r="BC1" s="114">
        <v>45200</v>
      </c>
      <c r="BD1" s="114">
        <v>45201</v>
      </c>
      <c r="BE1" s="114">
        <v>45202</v>
      </c>
      <c r="BF1" s="114">
        <v>45203</v>
      </c>
      <c r="BG1" s="114">
        <v>45204</v>
      </c>
      <c r="BH1" s="114">
        <v>45205</v>
      </c>
      <c r="BI1" s="114">
        <v>45206</v>
      </c>
      <c r="BJ1" s="114">
        <v>45207</v>
      </c>
      <c r="BK1" s="114">
        <v>45208</v>
      </c>
      <c r="BL1" s="114">
        <v>45209</v>
      </c>
      <c r="BM1" s="114">
        <v>45210</v>
      </c>
      <c r="BN1" s="114">
        <v>45211</v>
      </c>
      <c r="BO1" s="114">
        <v>45212</v>
      </c>
      <c r="BP1" s="114">
        <v>45213</v>
      </c>
      <c r="BQ1" s="114">
        <v>45214</v>
      </c>
      <c r="BR1" s="114">
        <v>45215</v>
      </c>
      <c r="BS1" s="114">
        <v>45216</v>
      </c>
      <c r="BT1" s="114">
        <v>45217</v>
      </c>
      <c r="BU1" s="114">
        <v>45218</v>
      </c>
      <c r="BV1" s="114">
        <v>45219</v>
      </c>
      <c r="BW1" s="114">
        <v>45220</v>
      </c>
      <c r="BX1" s="114">
        <v>45221</v>
      </c>
      <c r="BY1" s="114">
        <v>45222</v>
      </c>
      <c r="BZ1" s="114">
        <v>45223</v>
      </c>
      <c r="CA1" s="114">
        <v>45224</v>
      </c>
      <c r="CB1" s="114">
        <v>45225</v>
      </c>
      <c r="CC1" s="114">
        <v>45226</v>
      </c>
      <c r="CD1" s="114">
        <v>45227</v>
      </c>
      <c r="CE1" s="114">
        <v>45228</v>
      </c>
      <c r="CF1" s="114">
        <v>45229</v>
      </c>
      <c r="CG1" s="114">
        <v>45230</v>
      </c>
      <c r="CH1" s="114">
        <v>45231</v>
      </c>
      <c r="CI1" s="114">
        <v>45232</v>
      </c>
      <c r="CJ1" s="114">
        <v>45233</v>
      </c>
      <c r="CK1" s="114">
        <v>45234</v>
      </c>
      <c r="CL1" s="114">
        <v>45235</v>
      </c>
      <c r="CM1" s="114">
        <v>45236</v>
      </c>
      <c r="CN1" s="114">
        <v>45237</v>
      </c>
      <c r="CO1" s="114">
        <v>45238</v>
      </c>
      <c r="CP1" s="114">
        <v>45239</v>
      </c>
      <c r="CQ1" s="114">
        <v>45240</v>
      </c>
      <c r="CR1" s="114">
        <v>45241</v>
      </c>
      <c r="CS1" s="114">
        <v>45242</v>
      </c>
      <c r="CT1" s="114">
        <v>45243</v>
      </c>
      <c r="CU1" s="114">
        <v>45244</v>
      </c>
      <c r="CV1" s="114">
        <v>45245</v>
      </c>
      <c r="CW1" s="114">
        <v>45246</v>
      </c>
      <c r="CX1" s="114">
        <v>45247</v>
      </c>
      <c r="CY1" s="114">
        <v>45248</v>
      </c>
      <c r="CZ1" s="114">
        <v>45249</v>
      </c>
      <c r="DA1" s="114">
        <v>45250</v>
      </c>
      <c r="DB1" s="114">
        <v>45251</v>
      </c>
      <c r="DC1" s="114">
        <v>45252</v>
      </c>
      <c r="DD1" s="114">
        <v>45253</v>
      </c>
      <c r="DE1" s="114">
        <v>45254</v>
      </c>
      <c r="DF1" s="114">
        <v>45255</v>
      </c>
      <c r="DG1" s="114">
        <v>45256</v>
      </c>
      <c r="DH1" s="114">
        <v>45257</v>
      </c>
      <c r="DI1" s="114">
        <v>45258</v>
      </c>
      <c r="DJ1" s="114">
        <v>45259</v>
      </c>
      <c r="DK1" s="114">
        <v>45260</v>
      </c>
      <c r="DL1" s="114">
        <v>45261</v>
      </c>
      <c r="DM1" s="114">
        <v>45262</v>
      </c>
      <c r="DN1" s="114">
        <v>45263</v>
      </c>
      <c r="DO1" s="114">
        <v>45264</v>
      </c>
      <c r="DP1" s="114">
        <v>45265</v>
      </c>
      <c r="DQ1" s="114">
        <v>45266</v>
      </c>
      <c r="DR1" s="114">
        <v>45267</v>
      </c>
      <c r="DS1" s="114">
        <v>45268</v>
      </c>
      <c r="DT1" s="114">
        <v>45269</v>
      </c>
      <c r="DU1" s="114">
        <v>45270</v>
      </c>
      <c r="DV1" s="114">
        <v>45271</v>
      </c>
      <c r="DW1" s="114">
        <v>45272</v>
      </c>
      <c r="DX1" s="114">
        <v>45273</v>
      </c>
      <c r="DY1" s="114">
        <v>45274</v>
      </c>
      <c r="DZ1" s="114">
        <v>45275</v>
      </c>
      <c r="EA1" s="114">
        <v>45276</v>
      </c>
      <c r="EB1" s="114">
        <v>45277</v>
      </c>
      <c r="EC1" s="114">
        <v>45278</v>
      </c>
      <c r="ED1" s="114">
        <v>45279</v>
      </c>
      <c r="EE1" s="114">
        <v>45280</v>
      </c>
      <c r="EF1" s="114">
        <v>45281</v>
      </c>
      <c r="EG1" s="115">
        <v>45282</v>
      </c>
      <c r="EH1" s="114">
        <v>45283</v>
      </c>
      <c r="EI1" s="114">
        <v>45284</v>
      </c>
      <c r="EJ1" s="115">
        <v>45285</v>
      </c>
      <c r="EK1" s="114">
        <v>45286</v>
      </c>
      <c r="EL1" s="114">
        <v>45287</v>
      </c>
      <c r="EM1" s="114">
        <v>45288</v>
      </c>
      <c r="EN1" s="115">
        <v>45289</v>
      </c>
      <c r="EO1" s="114">
        <v>45290</v>
      </c>
      <c r="EP1" s="114">
        <v>45291</v>
      </c>
      <c r="EQ1" s="115">
        <v>45292</v>
      </c>
      <c r="ER1" s="114">
        <v>45293</v>
      </c>
      <c r="ES1" s="114">
        <v>45294</v>
      </c>
      <c r="ET1" s="114">
        <v>45295</v>
      </c>
      <c r="EU1" s="114">
        <v>45296</v>
      </c>
      <c r="EV1" s="114">
        <v>45297</v>
      </c>
      <c r="EW1" s="114">
        <v>45298</v>
      </c>
      <c r="EX1" s="114">
        <v>45299</v>
      </c>
      <c r="EY1" s="114">
        <v>45300</v>
      </c>
      <c r="EZ1" s="114">
        <v>45301</v>
      </c>
      <c r="FA1" s="114">
        <v>45302</v>
      </c>
      <c r="FB1" s="114">
        <v>45303</v>
      </c>
      <c r="FC1" s="114">
        <v>45304</v>
      </c>
      <c r="FD1" s="114">
        <v>45305</v>
      </c>
      <c r="FE1" s="114">
        <v>45306</v>
      </c>
      <c r="FF1" s="114">
        <v>45307</v>
      </c>
      <c r="FG1" s="114">
        <v>45308</v>
      </c>
      <c r="FH1" s="114">
        <v>45309</v>
      </c>
      <c r="FI1" s="114">
        <v>45310</v>
      </c>
      <c r="FJ1" s="114">
        <v>45311</v>
      </c>
      <c r="FK1" s="114">
        <v>45312</v>
      </c>
      <c r="FL1" s="114">
        <v>45313</v>
      </c>
      <c r="FM1" s="114">
        <v>45314</v>
      </c>
      <c r="FN1" s="79" t="s">
        <v>656</v>
      </c>
      <c r="FO1" s="114">
        <v>45316</v>
      </c>
      <c r="FP1" s="114">
        <v>45317</v>
      </c>
      <c r="FQ1" s="114">
        <v>45318</v>
      </c>
      <c r="FR1" s="114">
        <v>45319</v>
      </c>
      <c r="FS1" s="114">
        <v>45320</v>
      </c>
      <c r="FT1" s="114">
        <v>45321</v>
      </c>
      <c r="FU1" s="114">
        <v>45322</v>
      </c>
      <c r="FV1" s="114">
        <v>45323</v>
      </c>
      <c r="FW1" s="114">
        <v>45324</v>
      </c>
      <c r="FX1" s="114">
        <v>45325</v>
      </c>
      <c r="FY1" s="114">
        <v>45326</v>
      </c>
      <c r="FZ1" s="114">
        <v>45327</v>
      </c>
      <c r="GA1" s="114">
        <v>45328</v>
      </c>
      <c r="GB1" s="114">
        <v>45329</v>
      </c>
      <c r="GC1" s="114">
        <v>45330</v>
      </c>
      <c r="GD1" s="114">
        <v>45331</v>
      </c>
      <c r="GE1" s="114">
        <v>45332</v>
      </c>
      <c r="GF1" s="114">
        <v>45333</v>
      </c>
      <c r="GG1" s="114">
        <v>45334</v>
      </c>
      <c r="GH1" s="114">
        <v>45335</v>
      </c>
      <c r="GI1" s="114">
        <v>45336</v>
      </c>
      <c r="GJ1" s="114">
        <v>45337</v>
      </c>
      <c r="GK1" s="114">
        <v>45338</v>
      </c>
      <c r="GL1" s="114">
        <v>45339</v>
      </c>
      <c r="GM1" s="114">
        <v>45340</v>
      </c>
      <c r="GN1" s="114">
        <v>45341</v>
      </c>
      <c r="GO1" s="114">
        <v>45342</v>
      </c>
      <c r="GP1" s="114">
        <v>45343</v>
      </c>
      <c r="GQ1" s="114">
        <v>45344</v>
      </c>
      <c r="GR1" s="114">
        <v>45345</v>
      </c>
      <c r="GS1" s="114">
        <v>45346</v>
      </c>
      <c r="GT1" s="114">
        <v>45347</v>
      </c>
      <c r="GU1" s="114">
        <v>45348</v>
      </c>
      <c r="GV1" s="114">
        <v>45349</v>
      </c>
      <c r="GW1" s="114">
        <v>45350</v>
      </c>
      <c r="GX1" s="114">
        <v>45351</v>
      </c>
      <c r="GY1" s="114">
        <v>45352</v>
      </c>
      <c r="GZ1" s="114">
        <v>45353</v>
      </c>
      <c r="HA1" s="114">
        <v>45354</v>
      </c>
      <c r="HB1" s="114">
        <v>45355</v>
      </c>
      <c r="HC1" s="114">
        <v>45356</v>
      </c>
      <c r="HD1" s="114">
        <v>45357</v>
      </c>
      <c r="HE1" s="114">
        <v>45358</v>
      </c>
      <c r="HF1" s="114">
        <v>45359</v>
      </c>
      <c r="HG1" s="114">
        <v>45360</v>
      </c>
      <c r="HH1" s="114">
        <v>45361</v>
      </c>
      <c r="HI1" s="114">
        <v>45362</v>
      </c>
      <c r="HJ1" s="114">
        <v>45363</v>
      </c>
      <c r="HK1" s="114">
        <v>45364</v>
      </c>
      <c r="HL1" s="114">
        <v>45365</v>
      </c>
      <c r="HM1" s="114">
        <v>45366</v>
      </c>
      <c r="HN1" s="114">
        <v>45367</v>
      </c>
      <c r="HO1" s="114">
        <v>45368</v>
      </c>
      <c r="HP1" s="114">
        <v>45369</v>
      </c>
      <c r="HQ1" s="114">
        <v>45370</v>
      </c>
      <c r="HR1" s="114">
        <v>45371</v>
      </c>
      <c r="HS1" s="114">
        <v>45372</v>
      </c>
      <c r="HT1" s="114">
        <v>45373</v>
      </c>
      <c r="HU1" s="114">
        <v>45374</v>
      </c>
      <c r="HV1" s="114">
        <v>45375</v>
      </c>
      <c r="HW1" s="114">
        <v>45376</v>
      </c>
      <c r="HX1" s="114">
        <v>45377</v>
      </c>
      <c r="HY1" s="114">
        <v>45378</v>
      </c>
      <c r="HZ1" s="114">
        <v>45379</v>
      </c>
      <c r="IA1" s="114">
        <v>45380</v>
      </c>
      <c r="IB1" s="114">
        <v>45381</v>
      </c>
      <c r="IC1" s="114">
        <v>45382</v>
      </c>
      <c r="ID1" s="114">
        <v>45383</v>
      </c>
      <c r="IE1" s="114">
        <v>45384</v>
      </c>
      <c r="IF1" s="114">
        <v>45385</v>
      </c>
      <c r="IG1" s="114">
        <v>45386</v>
      </c>
      <c r="IH1" s="114">
        <v>45387</v>
      </c>
      <c r="II1" s="114">
        <v>45388</v>
      </c>
      <c r="IJ1" s="114">
        <v>45389</v>
      </c>
      <c r="IK1" s="114">
        <v>45390</v>
      </c>
      <c r="IL1" s="114">
        <v>45391</v>
      </c>
      <c r="IM1" s="114">
        <v>45392</v>
      </c>
      <c r="IN1" s="114">
        <v>45393</v>
      </c>
      <c r="IO1" s="114">
        <v>45394</v>
      </c>
      <c r="IP1" s="114">
        <v>45395</v>
      </c>
      <c r="IQ1" s="114">
        <v>45396</v>
      </c>
      <c r="IR1" s="114">
        <v>45397</v>
      </c>
      <c r="IS1" s="114">
        <v>45398</v>
      </c>
      <c r="IT1" s="114">
        <v>45399</v>
      </c>
      <c r="IU1" s="114">
        <v>45400</v>
      </c>
      <c r="IV1" s="114"/>
    </row>
    <row r="2" spans="1:256">
      <c r="C2" s="79" t="s">
        <v>657</v>
      </c>
      <c r="D2" s="79" t="s">
        <v>636</v>
      </c>
      <c r="E2" s="116" t="s">
        <v>630</v>
      </c>
      <c r="F2" s="116" t="s">
        <v>631</v>
      </c>
      <c r="G2" s="79" t="s">
        <v>632</v>
      </c>
      <c r="H2" s="79" t="s">
        <v>633</v>
      </c>
      <c r="I2" s="79" t="s">
        <v>634</v>
      </c>
      <c r="J2" s="79" t="s">
        <v>635</v>
      </c>
      <c r="K2" s="79" t="s">
        <v>636</v>
      </c>
      <c r="L2" s="82" t="s">
        <v>630</v>
      </c>
      <c r="M2" s="82" t="s">
        <v>631</v>
      </c>
      <c r="N2" s="79" t="s">
        <v>632</v>
      </c>
      <c r="O2" s="79" t="s">
        <v>633</v>
      </c>
      <c r="P2" s="79" t="s">
        <v>634</v>
      </c>
      <c r="Q2" s="79" t="s">
        <v>657</v>
      </c>
      <c r="R2" s="79" t="s">
        <v>636</v>
      </c>
      <c r="S2" s="116" t="s">
        <v>630</v>
      </c>
      <c r="T2" s="116" t="s">
        <v>631</v>
      </c>
      <c r="U2" s="79" t="s">
        <v>632</v>
      </c>
      <c r="V2" s="79" t="s">
        <v>633</v>
      </c>
      <c r="W2" s="79" t="s">
        <v>634</v>
      </c>
      <c r="X2" s="79" t="s">
        <v>657</v>
      </c>
      <c r="Y2" s="79" t="s">
        <v>636</v>
      </c>
      <c r="Z2" s="116" t="s">
        <v>630</v>
      </c>
      <c r="AA2" s="116" t="s">
        <v>631</v>
      </c>
      <c r="AB2" s="79" t="s">
        <v>632</v>
      </c>
      <c r="AC2" s="79" t="s">
        <v>633</v>
      </c>
      <c r="AD2" s="79" t="s">
        <v>634</v>
      </c>
      <c r="AE2" s="79" t="s">
        <v>657</v>
      </c>
      <c r="AF2" s="79" t="s">
        <v>636</v>
      </c>
      <c r="AG2" s="116" t="s">
        <v>630</v>
      </c>
      <c r="AH2" s="116" t="s">
        <v>631</v>
      </c>
      <c r="AI2" s="79" t="s">
        <v>632</v>
      </c>
      <c r="AJ2" s="79" t="s">
        <v>633</v>
      </c>
      <c r="AK2" s="79" t="s">
        <v>634</v>
      </c>
      <c r="AL2" s="79" t="s">
        <v>657</v>
      </c>
      <c r="AM2" s="79" t="s">
        <v>636</v>
      </c>
      <c r="AN2" s="116" t="s">
        <v>630</v>
      </c>
      <c r="AO2" s="116" t="s">
        <v>631</v>
      </c>
      <c r="AP2" s="79" t="s">
        <v>632</v>
      </c>
      <c r="AQ2" s="79" t="s">
        <v>633</v>
      </c>
      <c r="AR2" s="79" t="s">
        <v>634</v>
      </c>
      <c r="AS2" s="79" t="s">
        <v>657</v>
      </c>
      <c r="AT2" s="79" t="s">
        <v>636</v>
      </c>
      <c r="AU2" s="116" t="s">
        <v>630</v>
      </c>
      <c r="AV2" s="116" t="s">
        <v>631</v>
      </c>
      <c r="AW2" s="79" t="s">
        <v>632</v>
      </c>
      <c r="AX2" s="79" t="s">
        <v>633</v>
      </c>
      <c r="AY2" s="79" t="s">
        <v>634</v>
      </c>
      <c r="AZ2" s="79" t="s">
        <v>657</v>
      </c>
      <c r="BA2" s="79" t="s">
        <v>636</v>
      </c>
      <c r="BB2" s="116" t="s">
        <v>630</v>
      </c>
      <c r="BC2" s="116" t="s">
        <v>631</v>
      </c>
      <c r="BD2" s="79" t="s">
        <v>632</v>
      </c>
      <c r="BE2" s="79" t="s">
        <v>633</v>
      </c>
      <c r="BF2" s="79" t="s">
        <v>634</v>
      </c>
      <c r="BG2" s="79" t="s">
        <v>657</v>
      </c>
      <c r="BH2" s="79" t="s">
        <v>636</v>
      </c>
      <c r="BI2" s="116" t="s">
        <v>630</v>
      </c>
      <c r="BJ2" s="116" t="s">
        <v>631</v>
      </c>
      <c r="BK2" s="79" t="s">
        <v>632</v>
      </c>
      <c r="BL2" s="79" t="s">
        <v>633</v>
      </c>
      <c r="BM2" s="79" t="s">
        <v>634</v>
      </c>
      <c r="BN2" s="79" t="s">
        <v>657</v>
      </c>
      <c r="BO2" s="79" t="s">
        <v>636</v>
      </c>
      <c r="BP2" s="116" t="s">
        <v>630</v>
      </c>
      <c r="BQ2" s="116" t="s">
        <v>631</v>
      </c>
      <c r="BR2" s="79" t="s">
        <v>632</v>
      </c>
      <c r="BS2" s="79" t="s">
        <v>633</v>
      </c>
      <c r="BT2" s="79" t="s">
        <v>634</v>
      </c>
      <c r="BU2" s="79" t="s">
        <v>657</v>
      </c>
      <c r="BV2" s="79" t="s">
        <v>636</v>
      </c>
      <c r="BW2" s="116" t="s">
        <v>630</v>
      </c>
      <c r="BX2" s="116" t="s">
        <v>631</v>
      </c>
      <c r="BY2" s="79" t="s">
        <v>632</v>
      </c>
      <c r="BZ2" s="79" t="s">
        <v>633</v>
      </c>
      <c r="CA2" s="79" t="s">
        <v>634</v>
      </c>
      <c r="CB2" s="79" t="s">
        <v>657</v>
      </c>
      <c r="CC2" s="79" t="s">
        <v>636</v>
      </c>
      <c r="CD2" s="116" t="s">
        <v>630</v>
      </c>
      <c r="CE2" s="116" t="s">
        <v>631</v>
      </c>
      <c r="CF2" s="79" t="s">
        <v>632</v>
      </c>
      <c r="CG2" s="79" t="s">
        <v>633</v>
      </c>
      <c r="CH2" s="79" t="s">
        <v>634</v>
      </c>
      <c r="CI2" s="79" t="s">
        <v>657</v>
      </c>
      <c r="CJ2" s="79" t="s">
        <v>636</v>
      </c>
      <c r="CK2" s="116" t="s">
        <v>630</v>
      </c>
      <c r="CL2" s="116" t="s">
        <v>631</v>
      </c>
      <c r="CM2" s="79" t="s">
        <v>632</v>
      </c>
      <c r="CN2" s="79" t="s">
        <v>633</v>
      </c>
      <c r="CO2" s="79" t="s">
        <v>634</v>
      </c>
      <c r="CP2" s="79" t="s">
        <v>657</v>
      </c>
      <c r="CQ2" s="79" t="s">
        <v>636</v>
      </c>
      <c r="CR2" s="116" t="s">
        <v>630</v>
      </c>
      <c r="CS2" s="116" t="s">
        <v>631</v>
      </c>
      <c r="CT2" s="79" t="s">
        <v>632</v>
      </c>
      <c r="CU2" s="79" t="s">
        <v>633</v>
      </c>
      <c r="CV2" s="79" t="s">
        <v>634</v>
      </c>
      <c r="CW2" s="79" t="s">
        <v>657</v>
      </c>
      <c r="CX2" s="79" t="s">
        <v>636</v>
      </c>
      <c r="CY2" s="116" t="s">
        <v>630</v>
      </c>
      <c r="CZ2" s="116" t="s">
        <v>631</v>
      </c>
      <c r="DA2" s="79" t="s">
        <v>632</v>
      </c>
      <c r="DB2" s="79" t="s">
        <v>633</v>
      </c>
      <c r="DC2" s="79" t="s">
        <v>634</v>
      </c>
      <c r="DD2" s="79" t="s">
        <v>657</v>
      </c>
      <c r="DE2" s="79" t="s">
        <v>636</v>
      </c>
      <c r="DF2" s="116" t="s">
        <v>630</v>
      </c>
      <c r="DG2" s="116" t="s">
        <v>631</v>
      </c>
      <c r="DH2" s="79" t="s">
        <v>632</v>
      </c>
      <c r="DI2" s="79" t="s">
        <v>633</v>
      </c>
      <c r="DJ2" s="79" t="s">
        <v>634</v>
      </c>
      <c r="DK2" s="79" t="s">
        <v>657</v>
      </c>
      <c r="DL2" s="79" t="s">
        <v>636</v>
      </c>
      <c r="DM2" s="116" t="s">
        <v>630</v>
      </c>
      <c r="DN2" s="116" t="s">
        <v>631</v>
      </c>
      <c r="DO2" s="79" t="s">
        <v>632</v>
      </c>
      <c r="DP2" s="79" t="s">
        <v>633</v>
      </c>
      <c r="DQ2" s="79" t="s">
        <v>634</v>
      </c>
      <c r="DR2" s="79" t="s">
        <v>657</v>
      </c>
      <c r="DS2" s="79" t="s">
        <v>636</v>
      </c>
      <c r="DT2" s="116" t="s">
        <v>630</v>
      </c>
      <c r="DU2" s="116" t="s">
        <v>631</v>
      </c>
      <c r="DV2" s="79" t="s">
        <v>632</v>
      </c>
      <c r="DW2" s="79" t="s">
        <v>633</v>
      </c>
      <c r="DX2" s="79" t="s">
        <v>634</v>
      </c>
      <c r="DY2" s="79" t="s">
        <v>657</v>
      </c>
      <c r="DZ2" s="79" t="s">
        <v>636</v>
      </c>
      <c r="EA2" s="116" t="s">
        <v>630</v>
      </c>
      <c r="EB2" s="116" t="s">
        <v>631</v>
      </c>
      <c r="EC2" s="79" t="s">
        <v>632</v>
      </c>
      <c r="ED2" s="79" t="s">
        <v>633</v>
      </c>
      <c r="EE2" s="79" t="s">
        <v>634</v>
      </c>
      <c r="EF2" s="79" t="s">
        <v>657</v>
      </c>
      <c r="EG2" s="117" t="s">
        <v>636</v>
      </c>
      <c r="EH2" s="116" t="s">
        <v>630</v>
      </c>
      <c r="EI2" s="116" t="s">
        <v>631</v>
      </c>
      <c r="EJ2" s="117" t="s">
        <v>632</v>
      </c>
      <c r="EK2" s="79" t="s">
        <v>633</v>
      </c>
      <c r="EL2" s="79" t="s">
        <v>634</v>
      </c>
      <c r="EM2" s="79" t="s">
        <v>657</v>
      </c>
      <c r="EN2" s="117" t="s">
        <v>636</v>
      </c>
      <c r="EO2" s="116" t="s">
        <v>630</v>
      </c>
      <c r="EP2" s="116" t="s">
        <v>631</v>
      </c>
      <c r="EQ2" s="117" t="s">
        <v>632</v>
      </c>
      <c r="ER2" s="79" t="s">
        <v>633</v>
      </c>
      <c r="ES2" s="79" t="s">
        <v>634</v>
      </c>
      <c r="ET2" s="79" t="s">
        <v>657</v>
      </c>
      <c r="EU2" s="79" t="s">
        <v>636</v>
      </c>
      <c r="EV2" s="116" t="s">
        <v>630</v>
      </c>
      <c r="EW2" s="116" t="s">
        <v>631</v>
      </c>
      <c r="EX2" s="79" t="s">
        <v>632</v>
      </c>
      <c r="EY2" s="79" t="s">
        <v>633</v>
      </c>
      <c r="EZ2" s="79" t="s">
        <v>634</v>
      </c>
      <c r="FA2" s="79" t="s">
        <v>657</v>
      </c>
      <c r="FB2" s="79" t="s">
        <v>636</v>
      </c>
      <c r="FC2" s="116" t="s">
        <v>630</v>
      </c>
      <c r="FD2" s="116" t="s">
        <v>631</v>
      </c>
      <c r="FE2" s="79" t="s">
        <v>632</v>
      </c>
      <c r="FF2" s="79" t="s">
        <v>633</v>
      </c>
      <c r="FG2" s="79" t="s">
        <v>634</v>
      </c>
      <c r="FH2" s="79" t="s">
        <v>657</v>
      </c>
      <c r="FI2" s="79" t="s">
        <v>636</v>
      </c>
      <c r="FJ2" s="116" t="s">
        <v>630</v>
      </c>
      <c r="FK2" s="116" t="s">
        <v>631</v>
      </c>
      <c r="FL2" s="79" t="s">
        <v>632</v>
      </c>
      <c r="FM2" s="79" t="s">
        <v>633</v>
      </c>
      <c r="FN2" s="79" t="s">
        <v>634</v>
      </c>
      <c r="FO2" s="79" t="s">
        <v>657</v>
      </c>
      <c r="FP2" s="79" t="s">
        <v>636</v>
      </c>
      <c r="FQ2" s="116" t="s">
        <v>630</v>
      </c>
      <c r="FR2" s="116" t="s">
        <v>631</v>
      </c>
      <c r="FS2" s="79" t="s">
        <v>632</v>
      </c>
      <c r="FT2" s="79" t="s">
        <v>633</v>
      </c>
      <c r="FU2" s="79" t="s">
        <v>634</v>
      </c>
      <c r="FV2" s="79" t="s">
        <v>657</v>
      </c>
      <c r="FW2" s="79" t="s">
        <v>636</v>
      </c>
      <c r="FX2" s="116" t="s">
        <v>630</v>
      </c>
      <c r="FY2" s="116" t="s">
        <v>631</v>
      </c>
      <c r="FZ2" s="79" t="s">
        <v>632</v>
      </c>
      <c r="GA2" s="79" t="s">
        <v>633</v>
      </c>
      <c r="GB2" s="79" t="s">
        <v>634</v>
      </c>
      <c r="GC2" s="79" t="s">
        <v>657</v>
      </c>
      <c r="GD2" s="79" t="s">
        <v>636</v>
      </c>
      <c r="GE2" s="116" t="s">
        <v>630</v>
      </c>
      <c r="GF2" s="116" t="s">
        <v>631</v>
      </c>
      <c r="GG2" s="79" t="s">
        <v>632</v>
      </c>
      <c r="GH2" s="79" t="s">
        <v>633</v>
      </c>
      <c r="GI2" s="79" t="s">
        <v>634</v>
      </c>
      <c r="GJ2" s="79" t="s">
        <v>657</v>
      </c>
      <c r="GK2" s="79" t="s">
        <v>636</v>
      </c>
      <c r="GL2" s="116" t="s">
        <v>630</v>
      </c>
      <c r="GM2" s="116" t="s">
        <v>631</v>
      </c>
      <c r="GN2" s="79" t="s">
        <v>632</v>
      </c>
      <c r="GO2" s="79" t="s">
        <v>633</v>
      </c>
      <c r="GP2" s="79" t="s">
        <v>634</v>
      </c>
      <c r="GQ2" s="79" t="s">
        <v>657</v>
      </c>
      <c r="GR2" s="79" t="s">
        <v>636</v>
      </c>
      <c r="GS2" s="116" t="s">
        <v>630</v>
      </c>
      <c r="GT2" s="116" t="s">
        <v>631</v>
      </c>
      <c r="GU2" s="79" t="s">
        <v>632</v>
      </c>
      <c r="GV2" s="79" t="s">
        <v>633</v>
      </c>
      <c r="GW2" s="79" t="s">
        <v>634</v>
      </c>
      <c r="GX2" s="79" t="s">
        <v>657</v>
      </c>
      <c r="GY2" s="79" t="s">
        <v>636</v>
      </c>
      <c r="GZ2" s="116" t="s">
        <v>630</v>
      </c>
      <c r="HA2" s="116" t="s">
        <v>631</v>
      </c>
      <c r="HB2" s="79" t="s">
        <v>632</v>
      </c>
      <c r="HC2" s="79" t="s">
        <v>633</v>
      </c>
      <c r="HD2" s="79" t="s">
        <v>634</v>
      </c>
      <c r="HE2" s="79" t="s">
        <v>657</v>
      </c>
      <c r="HF2" s="79" t="s">
        <v>636</v>
      </c>
      <c r="HG2" s="116" t="s">
        <v>630</v>
      </c>
      <c r="HH2" s="116" t="s">
        <v>631</v>
      </c>
      <c r="HI2" s="79" t="s">
        <v>632</v>
      </c>
      <c r="HJ2" s="79" t="s">
        <v>633</v>
      </c>
      <c r="HK2" s="79" t="s">
        <v>634</v>
      </c>
      <c r="HL2" s="79" t="s">
        <v>657</v>
      </c>
      <c r="HM2" s="79" t="s">
        <v>636</v>
      </c>
      <c r="HN2" s="116" t="s">
        <v>630</v>
      </c>
      <c r="HO2" s="116" t="s">
        <v>631</v>
      </c>
      <c r="HP2" s="79" t="s">
        <v>632</v>
      </c>
      <c r="HQ2" s="79" t="s">
        <v>633</v>
      </c>
      <c r="HR2" s="79" t="s">
        <v>634</v>
      </c>
      <c r="HS2" s="79" t="s">
        <v>657</v>
      </c>
      <c r="HT2" s="79" t="s">
        <v>636</v>
      </c>
      <c r="HU2" s="116" t="s">
        <v>630</v>
      </c>
      <c r="HV2" s="116" t="s">
        <v>631</v>
      </c>
      <c r="HW2" s="79" t="s">
        <v>632</v>
      </c>
      <c r="HX2" s="79" t="s">
        <v>633</v>
      </c>
      <c r="HY2" s="79" t="s">
        <v>634</v>
      </c>
      <c r="HZ2" s="79" t="s">
        <v>657</v>
      </c>
      <c r="IA2" s="79" t="s">
        <v>636</v>
      </c>
      <c r="IB2" s="116" t="s">
        <v>630</v>
      </c>
      <c r="IC2" s="116" t="s">
        <v>631</v>
      </c>
      <c r="ID2" s="79" t="s">
        <v>632</v>
      </c>
      <c r="IE2" s="79" t="s">
        <v>633</v>
      </c>
      <c r="IF2" s="79" t="s">
        <v>634</v>
      </c>
      <c r="IG2" s="79" t="s">
        <v>657</v>
      </c>
      <c r="IH2" s="79" t="s">
        <v>636</v>
      </c>
      <c r="II2" s="116" t="s">
        <v>630</v>
      </c>
      <c r="IJ2" s="116" t="s">
        <v>631</v>
      </c>
      <c r="IK2" s="79" t="s">
        <v>632</v>
      </c>
      <c r="IL2" s="79" t="s">
        <v>633</v>
      </c>
      <c r="IM2" s="79" t="s">
        <v>634</v>
      </c>
      <c r="IN2" s="79" t="s">
        <v>657</v>
      </c>
      <c r="IO2" s="79" t="s">
        <v>636</v>
      </c>
      <c r="IP2" s="116" t="s">
        <v>630</v>
      </c>
      <c r="IQ2" s="116" t="s">
        <v>631</v>
      </c>
      <c r="IR2" s="79" t="s">
        <v>632</v>
      </c>
      <c r="IS2" s="79" t="s">
        <v>633</v>
      </c>
      <c r="IT2" s="79" t="s">
        <v>634</v>
      </c>
      <c r="IU2" s="79" t="s">
        <v>657</v>
      </c>
      <c r="IV2" s="79" t="s">
        <v>636</v>
      </c>
    </row>
    <row r="3" spans="1:256">
      <c r="A3" s="79" t="s">
        <v>658</v>
      </c>
      <c r="C3" s="118" t="s">
        <v>640</v>
      </c>
      <c r="D3" s="118"/>
      <c r="E3" s="116"/>
      <c r="F3" s="116"/>
      <c r="G3" s="118"/>
      <c r="H3" s="118"/>
      <c r="I3" s="87" t="s">
        <v>659</v>
      </c>
      <c r="L3" s="82"/>
      <c r="M3" s="82"/>
      <c r="S3" s="116" t="s">
        <v>656</v>
      </c>
      <c r="T3" s="116"/>
      <c r="Z3" s="116"/>
      <c r="AA3" s="116"/>
      <c r="AG3" s="116"/>
      <c r="AH3" s="116"/>
      <c r="AN3" s="116"/>
      <c r="AO3" s="116"/>
      <c r="AU3" s="116"/>
      <c r="AV3" s="116"/>
      <c r="BB3" s="116"/>
      <c r="BC3" s="116"/>
      <c r="BI3" s="116"/>
      <c r="BJ3" s="116"/>
      <c r="BP3" s="116"/>
      <c r="BQ3" s="116"/>
      <c r="BW3" s="116"/>
      <c r="BX3" s="116"/>
      <c r="CD3" s="116"/>
      <c r="CE3" s="116"/>
      <c r="CK3" s="116"/>
      <c r="CL3" s="116"/>
      <c r="CR3" s="116"/>
      <c r="CS3" s="116"/>
      <c r="CY3" s="116"/>
      <c r="CZ3" s="116"/>
      <c r="DF3" s="116"/>
      <c r="DG3" s="116"/>
      <c r="DM3" s="116"/>
      <c r="DN3" s="116"/>
      <c r="DT3" s="116"/>
      <c r="DU3" s="116"/>
      <c r="EA3" s="116"/>
      <c r="EB3" s="116"/>
      <c r="EG3" s="117"/>
      <c r="EH3" s="116"/>
      <c r="EI3" s="116"/>
      <c r="EJ3" s="117"/>
      <c r="EN3" s="117"/>
      <c r="EO3" s="116"/>
      <c r="EP3" s="116"/>
      <c r="EQ3" s="117"/>
      <c r="EV3" s="116"/>
      <c r="EW3" s="116"/>
      <c r="FC3" s="116"/>
      <c r="FD3" s="116"/>
      <c r="FJ3" s="116"/>
      <c r="FK3" s="116"/>
      <c r="FQ3" s="116"/>
      <c r="FR3" s="116"/>
      <c r="FX3" s="116"/>
      <c r="FY3" s="116"/>
      <c r="GE3" s="116"/>
      <c r="GF3" s="116"/>
      <c r="GL3" s="116"/>
      <c r="GM3" s="116"/>
      <c r="GS3" s="116"/>
      <c r="GT3" s="116"/>
      <c r="GZ3" s="116"/>
      <c r="HA3" s="116"/>
      <c r="HG3" s="116"/>
      <c r="HH3" s="116"/>
      <c r="HN3" s="116"/>
      <c r="HO3" s="116"/>
      <c r="HU3" s="116"/>
      <c r="HV3" s="116"/>
      <c r="IB3" s="116"/>
      <c r="IC3" s="116"/>
      <c r="II3" s="116"/>
      <c r="IJ3" s="116"/>
      <c r="IP3" s="116"/>
      <c r="IQ3" s="116"/>
    </row>
    <row r="4" spans="1:256">
      <c r="A4" s="79" t="s">
        <v>660</v>
      </c>
      <c r="E4" s="116"/>
      <c r="F4" s="116"/>
      <c r="L4" s="82"/>
      <c r="M4" s="82"/>
      <c r="Q4" s="87" t="s">
        <v>661</v>
      </c>
      <c r="S4" s="116"/>
      <c r="T4" s="116"/>
      <c r="Z4" s="116"/>
      <c r="AA4" s="116"/>
      <c r="AG4" s="116"/>
      <c r="AH4" s="116"/>
      <c r="AN4" s="116"/>
      <c r="AO4" s="116"/>
      <c r="AU4" s="116"/>
      <c r="AV4" s="116"/>
      <c r="BB4" s="116"/>
      <c r="BC4" s="116"/>
      <c r="BI4" s="116"/>
      <c r="BJ4" s="116"/>
      <c r="BP4" s="116"/>
      <c r="BQ4" s="116"/>
      <c r="BW4" s="116"/>
      <c r="BX4" s="116"/>
      <c r="CD4" s="116"/>
      <c r="CE4" s="116"/>
      <c r="CK4" s="116"/>
      <c r="CL4" s="116"/>
      <c r="CR4" s="116"/>
      <c r="CS4" s="116"/>
      <c r="CY4" s="116"/>
      <c r="CZ4" s="116"/>
      <c r="DF4" s="116"/>
      <c r="DG4" s="116"/>
      <c r="DM4" s="116"/>
      <c r="DN4" s="116"/>
      <c r="DT4" s="116"/>
      <c r="DU4" s="116"/>
      <c r="EA4" s="116"/>
      <c r="EB4" s="116"/>
      <c r="EG4" s="117"/>
      <c r="EH4" s="116"/>
      <c r="EI4" s="116"/>
      <c r="EJ4" s="117"/>
      <c r="EN4" s="117"/>
      <c r="EO4" s="116"/>
      <c r="EP4" s="116"/>
      <c r="EQ4" s="117"/>
      <c r="EV4" s="116"/>
      <c r="EW4" s="116"/>
      <c r="FC4" s="116"/>
      <c r="FD4" s="116"/>
      <c r="FJ4" s="116"/>
      <c r="FK4" s="116"/>
      <c r="FQ4" s="116"/>
      <c r="FR4" s="116"/>
      <c r="FX4" s="116"/>
      <c r="FY4" s="116"/>
      <c r="GE4" s="116"/>
      <c r="GF4" s="116"/>
      <c r="GL4" s="116"/>
      <c r="GM4" s="116"/>
      <c r="GS4" s="116"/>
      <c r="GT4" s="116"/>
      <c r="GZ4" s="116"/>
      <c r="HA4" s="116"/>
      <c r="HG4" s="116"/>
      <c r="HH4" s="116"/>
      <c r="HN4" s="116"/>
      <c r="HO4" s="116"/>
      <c r="HU4" s="116"/>
      <c r="HV4" s="116"/>
      <c r="IB4" s="116"/>
      <c r="IC4" s="116"/>
      <c r="II4" s="116"/>
      <c r="IJ4" s="116"/>
      <c r="IP4" s="116"/>
      <c r="IQ4" s="116"/>
    </row>
    <row r="5" spans="1:256">
      <c r="A5" s="119" t="s">
        <v>662</v>
      </c>
      <c r="E5" s="116"/>
      <c r="F5" s="116"/>
      <c r="J5" s="97" t="s">
        <v>663</v>
      </c>
      <c r="K5" s="97"/>
      <c r="L5" s="82"/>
      <c r="M5" s="82"/>
      <c r="N5" s="118" t="s">
        <v>640</v>
      </c>
      <c r="S5" s="116"/>
      <c r="T5" s="116"/>
      <c r="Z5" s="116"/>
      <c r="AA5" s="116"/>
      <c r="AG5" s="116"/>
      <c r="AH5" s="116"/>
      <c r="AN5" s="116"/>
      <c r="AO5" s="116"/>
      <c r="AR5" s="87" t="s">
        <v>659</v>
      </c>
      <c r="AU5" s="116"/>
      <c r="AV5" s="116"/>
      <c r="BB5" s="116"/>
      <c r="BC5" s="116"/>
      <c r="BI5" s="116"/>
      <c r="BJ5" s="116"/>
      <c r="BP5" s="116"/>
      <c r="BQ5" s="116"/>
      <c r="BW5" s="116"/>
      <c r="BX5" s="116"/>
      <c r="CD5" s="116"/>
      <c r="CE5" s="116"/>
      <c r="CK5" s="116"/>
      <c r="CL5" s="116"/>
      <c r="CR5" s="116"/>
      <c r="CS5" s="116"/>
      <c r="CY5" s="116"/>
      <c r="CZ5" s="116"/>
      <c r="DF5" s="116"/>
      <c r="DG5" s="116"/>
      <c r="DM5" s="116"/>
      <c r="DN5" s="116"/>
      <c r="DT5" s="116"/>
      <c r="DU5" s="116"/>
      <c r="EA5" s="116"/>
      <c r="EB5" s="116"/>
      <c r="EG5" s="117"/>
      <c r="EH5" s="116"/>
      <c r="EI5" s="116"/>
      <c r="EJ5" s="117"/>
      <c r="EN5" s="117"/>
      <c r="EO5" s="116"/>
      <c r="EP5" s="116"/>
      <c r="EQ5" s="117"/>
      <c r="EV5" s="116"/>
      <c r="EW5" s="116"/>
      <c r="FC5" s="116"/>
      <c r="FD5" s="116"/>
      <c r="FJ5" s="116"/>
      <c r="FK5" s="116"/>
      <c r="FQ5" s="116"/>
      <c r="FR5" s="116"/>
      <c r="FX5" s="116"/>
      <c r="FY5" s="116"/>
      <c r="GE5" s="116"/>
      <c r="GF5" s="116"/>
      <c r="GL5" s="116"/>
      <c r="GM5" s="116"/>
      <c r="GS5" s="116"/>
      <c r="GT5" s="116"/>
      <c r="GZ5" s="116"/>
      <c r="HA5" s="116"/>
      <c r="HG5" s="116"/>
      <c r="HH5" s="116"/>
      <c r="HN5" s="116"/>
      <c r="HO5" s="116"/>
      <c r="HU5" s="116"/>
      <c r="HV5" s="116"/>
      <c r="IB5" s="116"/>
      <c r="IC5" s="116"/>
      <c r="II5" s="116"/>
      <c r="IJ5" s="116"/>
      <c r="IP5" s="116"/>
      <c r="IQ5" s="116"/>
    </row>
    <row r="6" spans="1:256">
      <c r="A6" s="119" t="s">
        <v>664</v>
      </c>
      <c r="E6" s="116"/>
      <c r="F6" s="116"/>
      <c r="H6" s="79"/>
      <c r="L6" s="82"/>
      <c r="M6" s="82"/>
      <c r="P6" s="97" t="s">
        <v>663</v>
      </c>
      <c r="Q6" s="97"/>
      <c r="S6" s="116"/>
      <c r="T6" s="116"/>
      <c r="V6" s="118" t="s">
        <v>640</v>
      </c>
      <c r="W6" s="118"/>
      <c r="X6" s="118"/>
      <c r="Y6" s="118"/>
      <c r="Z6" s="116"/>
      <c r="AA6" s="116"/>
      <c r="AG6" s="116"/>
      <c r="AH6" s="116"/>
      <c r="AM6" s="89"/>
      <c r="AN6" s="116"/>
      <c r="AO6" s="116"/>
      <c r="AR6" s="87" t="s">
        <v>638</v>
      </c>
      <c r="AU6" s="116"/>
      <c r="AV6" s="116"/>
      <c r="BB6" s="116"/>
      <c r="BC6" s="116"/>
      <c r="BI6" s="116"/>
      <c r="BJ6" s="116"/>
      <c r="BP6" s="116"/>
      <c r="BQ6" s="116"/>
      <c r="BW6" s="116"/>
      <c r="BX6" s="116"/>
      <c r="CD6" s="116"/>
      <c r="CE6" s="116"/>
      <c r="CK6" s="116"/>
      <c r="CL6" s="116"/>
      <c r="CR6" s="116"/>
      <c r="CS6" s="116"/>
      <c r="CY6" s="116"/>
      <c r="CZ6" s="116"/>
      <c r="DF6" s="116"/>
      <c r="DG6" s="116"/>
      <c r="DM6" s="116"/>
      <c r="DN6" s="116"/>
      <c r="DT6" s="116"/>
      <c r="DU6" s="116"/>
      <c r="EA6" s="116"/>
      <c r="EB6" s="116"/>
      <c r="EG6" s="117"/>
      <c r="EH6" s="116"/>
      <c r="EI6" s="116"/>
      <c r="EJ6" s="117"/>
      <c r="EN6" s="117"/>
      <c r="EO6" s="116"/>
      <c r="EP6" s="116"/>
      <c r="EQ6" s="117"/>
      <c r="EV6" s="116"/>
      <c r="EW6" s="116"/>
      <c r="FC6" s="116"/>
      <c r="FD6" s="116"/>
      <c r="FJ6" s="116"/>
      <c r="FK6" s="116"/>
      <c r="FQ6" s="116"/>
      <c r="FR6" s="116"/>
      <c r="FX6" s="116"/>
      <c r="FY6" s="116"/>
      <c r="GE6" s="116"/>
      <c r="GF6" s="116"/>
      <c r="GL6" s="116"/>
      <c r="GM6" s="116"/>
      <c r="GS6" s="116"/>
      <c r="GT6" s="116"/>
      <c r="GZ6" s="116"/>
      <c r="HA6" s="116"/>
      <c r="HG6" s="116"/>
      <c r="HH6" s="116"/>
      <c r="HN6" s="116"/>
      <c r="HO6" s="116"/>
      <c r="HU6" s="116"/>
      <c r="HV6" s="116"/>
      <c r="IB6" s="116"/>
      <c r="IC6" s="116"/>
      <c r="II6" s="116"/>
      <c r="IJ6" s="116"/>
      <c r="IP6" s="116"/>
      <c r="IQ6" s="116"/>
    </row>
    <row r="7" spans="1:256">
      <c r="A7" s="119" t="s">
        <v>665</v>
      </c>
      <c r="E7" s="116"/>
      <c r="F7" s="116"/>
      <c r="H7" s="79"/>
      <c r="L7" s="82"/>
      <c r="M7" s="82"/>
      <c r="N7" s="97" t="s">
        <v>666</v>
      </c>
      <c r="O7" s="97"/>
      <c r="P7" s="97"/>
      <c r="S7" s="116"/>
      <c r="T7" s="116"/>
      <c r="V7" s="118" t="s">
        <v>640</v>
      </c>
      <c r="W7" s="118"/>
      <c r="X7" s="118"/>
      <c r="Y7" s="118"/>
      <c r="Z7" s="116"/>
      <c r="AA7" s="116"/>
      <c r="AG7" s="116"/>
      <c r="AH7" s="116"/>
      <c r="AM7" s="89" t="s">
        <v>667</v>
      </c>
      <c r="AN7" s="116"/>
      <c r="AO7" s="116"/>
      <c r="AR7" s="87" t="s">
        <v>638</v>
      </c>
      <c r="AU7" s="116"/>
      <c r="AV7" s="116"/>
      <c r="BB7" s="116"/>
      <c r="BC7" s="116"/>
      <c r="BI7" s="116"/>
      <c r="BJ7" s="116"/>
      <c r="BP7" s="116"/>
      <c r="BQ7" s="116"/>
      <c r="BW7" s="116"/>
      <c r="BX7" s="116"/>
      <c r="CD7" s="116"/>
      <c r="CE7" s="116"/>
      <c r="CK7" s="116"/>
      <c r="CL7" s="116"/>
      <c r="CR7" s="116"/>
      <c r="CS7" s="116"/>
      <c r="CY7" s="116"/>
      <c r="CZ7" s="116"/>
      <c r="DF7" s="116"/>
      <c r="DG7" s="116"/>
      <c r="DM7" s="116"/>
      <c r="DN7" s="116"/>
      <c r="DT7" s="116"/>
      <c r="DU7" s="116"/>
      <c r="EA7" s="116"/>
      <c r="EB7" s="116"/>
      <c r="EG7" s="117"/>
      <c r="EH7" s="116"/>
      <c r="EI7" s="116"/>
      <c r="EJ7" s="117"/>
      <c r="EN7" s="117"/>
      <c r="EO7" s="116"/>
      <c r="EP7" s="116"/>
      <c r="EQ7" s="117"/>
      <c r="EV7" s="116"/>
      <c r="EW7" s="116"/>
      <c r="FC7" s="116"/>
      <c r="FD7" s="116"/>
      <c r="FJ7" s="116"/>
      <c r="FK7" s="116"/>
      <c r="FQ7" s="116"/>
      <c r="FR7" s="116"/>
      <c r="FX7" s="116"/>
      <c r="FY7" s="116"/>
      <c r="GE7" s="116"/>
      <c r="GF7" s="116"/>
      <c r="GL7" s="116"/>
      <c r="GM7" s="116"/>
      <c r="GS7" s="116"/>
      <c r="GT7" s="116"/>
      <c r="GZ7" s="116"/>
      <c r="HA7" s="116"/>
      <c r="HG7" s="116"/>
      <c r="HH7" s="116"/>
      <c r="HN7" s="116"/>
      <c r="HO7" s="116"/>
      <c r="HU7" s="116"/>
      <c r="HV7" s="116"/>
      <c r="IB7" s="116"/>
      <c r="IC7" s="116"/>
      <c r="II7" s="116"/>
      <c r="IJ7" s="116"/>
      <c r="IP7" s="116"/>
      <c r="IQ7" s="116"/>
    </row>
    <row r="8" spans="1:256">
      <c r="A8" s="119" t="s">
        <v>668</v>
      </c>
      <c r="E8" s="116"/>
      <c r="F8" s="116"/>
      <c r="L8" s="82"/>
      <c r="M8" s="82"/>
      <c r="R8" s="97" t="s">
        <v>663</v>
      </c>
      <c r="S8" s="116"/>
      <c r="T8" s="116"/>
      <c r="U8" s="97"/>
      <c r="V8" s="97"/>
      <c r="W8" s="118" t="s">
        <v>640</v>
      </c>
      <c r="X8" s="118"/>
      <c r="Y8" s="118"/>
      <c r="Z8" s="116"/>
      <c r="AA8" s="116"/>
      <c r="AG8" s="116"/>
      <c r="AH8" s="116"/>
      <c r="AM8" s="89" t="s">
        <v>667</v>
      </c>
      <c r="AN8" s="116"/>
      <c r="AO8" s="116"/>
      <c r="AR8" s="87" t="s">
        <v>638</v>
      </c>
      <c r="AU8" s="116"/>
      <c r="AV8" s="116"/>
      <c r="BB8" s="116"/>
      <c r="BC8" s="116"/>
      <c r="BI8" s="116"/>
      <c r="BJ8" s="116"/>
      <c r="BP8" s="116"/>
      <c r="BQ8" s="116"/>
      <c r="BW8" s="116"/>
      <c r="BX8" s="116"/>
      <c r="CD8" s="116"/>
      <c r="CE8" s="116"/>
      <c r="CK8" s="116"/>
      <c r="CL8" s="116"/>
      <c r="CR8" s="116"/>
      <c r="CS8" s="116"/>
      <c r="CY8" s="116"/>
      <c r="CZ8" s="116"/>
      <c r="DF8" s="116"/>
      <c r="DG8" s="116"/>
      <c r="DM8" s="116"/>
      <c r="DN8" s="116"/>
      <c r="DT8" s="116"/>
      <c r="DU8" s="116"/>
      <c r="EA8" s="116"/>
      <c r="EB8" s="116"/>
      <c r="EG8" s="117"/>
      <c r="EH8" s="116"/>
      <c r="EI8" s="116"/>
      <c r="EJ8" s="117"/>
      <c r="EN8" s="117"/>
      <c r="EO8" s="116"/>
      <c r="EP8" s="116"/>
      <c r="EQ8" s="117"/>
      <c r="EV8" s="116"/>
      <c r="EW8" s="116"/>
      <c r="FC8" s="116"/>
      <c r="FD8" s="116"/>
      <c r="FJ8" s="116"/>
      <c r="FK8" s="116"/>
      <c r="FQ8" s="116"/>
      <c r="FR8" s="116"/>
      <c r="FX8" s="116"/>
      <c r="FY8" s="116"/>
      <c r="GE8" s="116"/>
      <c r="GF8" s="116"/>
      <c r="GL8" s="116"/>
      <c r="GM8" s="116"/>
      <c r="GS8" s="116"/>
      <c r="GT8" s="116"/>
      <c r="GZ8" s="116"/>
      <c r="HA8" s="116"/>
      <c r="HG8" s="116"/>
      <c r="HH8" s="116"/>
      <c r="HN8" s="116"/>
      <c r="HO8" s="116"/>
      <c r="HU8" s="116"/>
      <c r="HV8" s="116"/>
      <c r="IB8" s="116"/>
      <c r="IC8" s="116"/>
      <c r="II8" s="116"/>
      <c r="IJ8" s="116"/>
      <c r="IP8" s="116"/>
      <c r="IQ8" s="116"/>
    </row>
    <row r="9" spans="1:256">
      <c r="A9" s="79" t="s">
        <v>669</v>
      </c>
      <c r="E9" s="116"/>
      <c r="F9" s="116"/>
      <c r="H9" s="119" t="s">
        <v>670</v>
      </c>
      <c r="I9" s="119"/>
      <c r="L9" s="82"/>
      <c r="M9" s="82"/>
      <c r="Q9" s="97" t="s">
        <v>663</v>
      </c>
      <c r="R9" s="97"/>
      <c r="S9" s="116"/>
      <c r="T9" s="116"/>
      <c r="U9" s="97"/>
      <c r="V9" s="97"/>
      <c r="W9" s="118" t="s">
        <v>640</v>
      </c>
      <c r="X9" s="118"/>
      <c r="Y9" s="118"/>
      <c r="Z9" s="116"/>
      <c r="AA9" s="116"/>
      <c r="AG9" s="116"/>
      <c r="AH9" s="116"/>
      <c r="AM9" s="89" t="s">
        <v>667</v>
      </c>
      <c r="AN9" s="116"/>
      <c r="AO9" s="116"/>
      <c r="AR9" s="87" t="s">
        <v>638</v>
      </c>
      <c r="AU9" s="116"/>
      <c r="AV9" s="116"/>
      <c r="BB9" s="116"/>
      <c r="BC9" s="116"/>
      <c r="BI9" s="116"/>
      <c r="BJ9" s="116"/>
      <c r="BP9" s="116"/>
      <c r="BQ9" s="116"/>
      <c r="BW9" s="116"/>
      <c r="BX9" s="116"/>
      <c r="CD9" s="116"/>
      <c r="CE9" s="116"/>
      <c r="CK9" s="116"/>
      <c r="CL9" s="116"/>
      <c r="CR9" s="116"/>
      <c r="CS9" s="116"/>
      <c r="CY9" s="116"/>
      <c r="CZ9" s="116"/>
      <c r="DF9" s="116"/>
      <c r="DG9" s="116"/>
      <c r="DM9" s="116"/>
      <c r="DN9" s="116"/>
      <c r="DT9" s="116"/>
      <c r="DU9" s="116"/>
      <c r="EA9" s="116"/>
      <c r="EB9" s="116"/>
      <c r="EG9" s="117"/>
      <c r="EH9" s="116"/>
      <c r="EI9" s="116"/>
      <c r="EJ9" s="117"/>
      <c r="EN9" s="117"/>
      <c r="EO9" s="116"/>
      <c r="EP9" s="116"/>
      <c r="EQ9" s="117"/>
      <c r="EV9" s="116"/>
      <c r="EW9" s="116"/>
      <c r="FC9" s="116"/>
      <c r="FD9" s="116"/>
      <c r="FJ9" s="116"/>
      <c r="FK9" s="116"/>
      <c r="FQ9" s="116"/>
      <c r="FR9" s="116"/>
      <c r="FX9" s="116"/>
      <c r="FY9" s="116"/>
      <c r="GE9" s="116"/>
      <c r="GF9" s="116"/>
      <c r="GL9" s="116"/>
      <c r="GM9" s="116"/>
      <c r="GS9" s="116"/>
      <c r="GT9" s="116"/>
      <c r="GZ9" s="116"/>
      <c r="HA9" s="116"/>
      <c r="HG9" s="116"/>
      <c r="HH9" s="116"/>
      <c r="HN9" s="116"/>
      <c r="HO9" s="116"/>
      <c r="HU9" s="116"/>
      <c r="HV9" s="116"/>
      <c r="IB9" s="116"/>
      <c r="IC9" s="116"/>
      <c r="II9" s="116"/>
      <c r="IJ9" s="116"/>
      <c r="IP9" s="116"/>
      <c r="IQ9" s="116"/>
    </row>
    <row r="10" spans="1:256">
      <c r="A10" s="120" t="s">
        <v>671</v>
      </c>
      <c r="E10" s="116"/>
      <c r="F10" s="116"/>
      <c r="L10" s="82"/>
      <c r="M10" s="82"/>
      <c r="S10" s="116"/>
      <c r="T10" s="116"/>
      <c r="X10" s="97" t="s">
        <v>663</v>
      </c>
      <c r="Y10" s="97"/>
      <c r="Z10" s="116"/>
      <c r="AA10" s="116"/>
      <c r="AB10" s="97"/>
      <c r="AC10" s="97"/>
      <c r="AD10" s="97"/>
      <c r="AE10" s="97"/>
      <c r="AF10" s="97"/>
      <c r="AG10" s="116"/>
      <c r="AH10" s="116"/>
      <c r="AI10" s="97"/>
      <c r="AJ10" s="97"/>
      <c r="AK10" s="97"/>
      <c r="AL10" s="97"/>
      <c r="AM10" s="97"/>
      <c r="AN10" s="116"/>
      <c r="AO10" s="116"/>
      <c r="AP10" s="97"/>
      <c r="AQ10" s="97"/>
      <c r="AR10" s="97"/>
      <c r="AS10" s="97"/>
      <c r="AT10" s="97"/>
      <c r="AU10" s="116"/>
      <c r="AV10" s="116"/>
      <c r="AW10" s="97"/>
      <c r="AX10" s="97"/>
      <c r="AY10" s="97" t="s">
        <v>641</v>
      </c>
      <c r="AZ10" s="97" t="s">
        <v>641</v>
      </c>
      <c r="BA10" s="97" t="s">
        <v>641</v>
      </c>
      <c r="BB10" s="116"/>
      <c r="BC10" s="116"/>
      <c r="BD10" s="97" t="s">
        <v>641</v>
      </c>
      <c r="BE10" s="97" t="s">
        <v>641</v>
      </c>
      <c r="BF10" s="97" t="s">
        <v>641</v>
      </c>
      <c r="BG10" s="118" t="s">
        <v>640</v>
      </c>
      <c r="BH10" s="118"/>
      <c r="BI10" s="116"/>
      <c r="BJ10" s="116"/>
      <c r="BK10" s="118"/>
      <c r="BN10" s="89" t="s">
        <v>667</v>
      </c>
      <c r="BP10" s="116"/>
      <c r="BQ10" s="116"/>
      <c r="BR10" s="87" t="s">
        <v>638</v>
      </c>
      <c r="BW10" s="116"/>
      <c r="BX10" s="116"/>
      <c r="CD10" s="116"/>
      <c r="CE10" s="116"/>
      <c r="CK10" s="116"/>
      <c r="CL10" s="116"/>
      <c r="CR10" s="116"/>
      <c r="CS10" s="116"/>
      <c r="CY10" s="116"/>
      <c r="CZ10" s="116"/>
      <c r="DF10" s="116"/>
      <c r="DG10" s="116"/>
      <c r="DM10" s="116"/>
      <c r="DN10" s="116"/>
      <c r="DT10" s="116"/>
      <c r="DU10" s="116"/>
      <c r="EA10" s="116"/>
      <c r="EB10" s="116"/>
      <c r="EG10" s="117"/>
      <c r="EH10" s="116"/>
      <c r="EI10" s="116"/>
      <c r="EJ10" s="117"/>
      <c r="EN10" s="117"/>
      <c r="EO10" s="116"/>
      <c r="EP10" s="116"/>
      <c r="EQ10" s="117"/>
      <c r="EV10" s="116"/>
      <c r="EW10" s="116"/>
      <c r="FC10" s="116"/>
      <c r="FD10" s="116"/>
      <c r="FJ10" s="116"/>
      <c r="FK10" s="116"/>
      <c r="FQ10" s="116"/>
      <c r="FR10" s="116"/>
      <c r="FX10" s="116"/>
      <c r="FY10" s="116"/>
      <c r="GE10" s="116"/>
      <c r="GF10" s="116"/>
      <c r="GL10" s="116"/>
      <c r="GM10" s="116"/>
      <c r="GS10" s="116"/>
      <c r="GT10" s="116"/>
      <c r="GZ10" s="116"/>
      <c r="HA10" s="116"/>
      <c r="HG10" s="116"/>
      <c r="HH10" s="116"/>
      <c r="HN10" s="116"/>
      <c r="HO10" s="116"/>
      <c r="HU10" s="116"/>
      <c r="HV10" s="116"/>
      <c r="IB10" s="116"/>
      <c r="IC10" s="116"/>
      <c r="II10" s="116"/>
      <c r="IJ10" s="116"/>
      <c r="IP10" s="116"/>
      <c r="IQ10" s="116"/>
    </row>
    <row r="11" spans="1:256">
      <c r="A11" s="120" t="s">
        <v>672</v>
      </c>
      <c r="E11" s="116"/>
      <c r="F11" s="116"/>
      <c r="L11" s="82"/>
      <c r="M11" s="82"/>
      <c r="S11" s="116"/>
      <c r="T11" s="116"/>
      <c r="Z11" s="116"/>
      <c r="AA11" s="116"/>
      <c r="AG11" s="116"/>
      <c r="AH11" s="116"/>
      <c r="AN11" s="116"/>
      <c r="AO11" s="116"/>
      <c r="AU11" s="116"/>
      <c r="AV11" s="116"/>
      <c r="AW11" s="97"/>
      <c r="AX11" s="97"/>
      <c r="AY11" s="97"/>
      <c r="AZ11" s="97"/>
      <c r="BA11" s="97" t="s">
        <v>641</v>
      </c>
      <c r="BB11" s="116"/>
      <c r="BC11" s="116"/>
      <c r="BD11" s="97" t="s">
        <v>641</v>
      </c>
      <c r="BE11" s="118" t="s">
        <v>640</v>
      </c>
      <c r="BF11" s="118"/>
      <c r="BG11" s="118"/>
      <c r="BH11" s="118"/>
      <c r="BI11" s="116"/>
      <c r="BJ11" s="116"/>
      <c r="BK11" s="118"/>
      <c r="BN11" s="89" t="s">
        <v>667</v>
      </c>
      <c r="BP11" s="116"/>
      <c r="BQ11" s="116"/>
      <c r="BR11" s="87" t="s">
        <v>638</v>
      </c>
      <c r="BW11" s="116"/>
      <c r="BX11" s="116"/>
      <c r="BY11" s="102"/>
      <c r="BZ11" s="102"/>
      <c r="CA11" s="102"/>
      <c r="CB11" s="102"/>
      <c r="CC11" s="102"/>
      <c r="CD11" s="116"/>
      <c r="CE11" s="116"/>
      <c r="CF11" s="102"/>
      <c r="CK11" s="116"/>
      <c r="CL11" s="116"/>
      <c r="CR11" s="116"/>
      <c r="CS11" s="116"/>
      <c r="CY11" s="116"/>
      <c r="CZ11" s="116"/>
      <c r="DF11" s="116"/>
      <c r="DG11" s="116"/>
      <c r="DM11" s="116"/>
      <c r="DN11" s="116"/>
      <c r="DT11" s="116"/>
      <c r="DU11" s="116"/>
      <c r="EA11" s="116"/>
      <c r="EB11" s="116"/>
      <c r="EG11" s="117"/>
      <c r="EH11" s="116"/>
      <c r="EI11" s="116"/>
      <c r="EJ11" s="117"/>
      <c r="EN11" s="117"/>
      <c r="EO11" s="116"/>
      <c r="EP11" s="116"/>
      <c r="EQ11" s="117"/>
      <c r="EV11" s="116"/>
      <c r="EW11" s="116"/>
      <c r="FC11" s="116"/>
      <c r="FD11" s="116"/>
      <c r="FJ11" s="116"/>
      <c r="FK11" s="116"/>
      <c r="FQ11" s="116"/>
      <c r="FR11" s="116"/>
      <c r="FX11" s="116"/>
      <c r="FY11" s="116"/>
      <c r="GE11" s="116"/>
      <c r="GF11" s="116"/>
      <c r="GL11" s="116"/>
      <c r="GM11" s="116"/>
      <c r="GS11" s="116"/>
      <c r="GT11" s="116"/>
      <c r="GZ11" s="116"/>
      <c r="HA11" s="116"/>
      <c r="HG11" s="116"/>
      <c r="HH11" s="116"/>
      <c r="HN11" s="116"/>
      <c r="HO11" s="116"/>
      <c r="HU11" s="116"/>
      <c r="HV11" s="116"/>
      <c r="IB11" s="116"/>
      <c r="IC11" s="116"/>
      <c r="II11" s="116"/>
      <c r="IJ11" s="116"/>
      <c r="IP11" s="116"/>
      <c r="IQ11" s="116"/>
    </row>
    <row r="12" spans="1:256">
      <c r="A12" s="121" t="s">
        <v>673</v>
      </c>
      <c r="E12" s="116"/>
      <c r="F12" s="116"/>
      <c r="L12" s="82"/>
      <c r="M12" s="82"/>
      <c r="S12" s="116"/>
      <c r="T12" s="116"/>
      <c r="Z12" s="116"/>
      <c r="AA12" s="116"/>
      <c r="AG12" s="116"/>
      <c r="AH12" s="116"/>
      <c r="AN12" s="116"/>
      <c r="AO12" s="116"/>
      <c r="AU12" s="116"/>
      <c r="AV12" s="116"/>
      <c r="BB12" s="116"/>
      <c r="BC12" s="116"/>
      <c r="BF12" s="97" t="s">
        <v>663</v>
      </c>
      <c r="BG12" s="97"/>
      <c r="BH12" s="97"/>
      <c r="BI12" s="116"/>
      <c r="BJ12" s="116"/>
      <c r="BK12" s="97"/>
      <c r="BL12" s="97"/>
      <c r="BM12" s="97"/>
      <c r="BN12" s="97"/>
      <c r="BO12" s="97"/>
      <c r="BP12" s="116"/>
      <c r="BQ12" s="116"/>
      <c r="BR12" s="97"/>
      <c r="BS12" s="97"/>
      <c r="BT12" s="97"/>
      <c r="BU12" s="97"/>
      <c r="BV12" s="97"/>
      <c r="BW12" s="116"/>
      <c r="BX12" s="116"/>
      <c r="BY12" s="97"/>
      <c r="BZ12" s="97"/>
      <c r="CA12" s="97"/>
      <c r="CB12" s="97"/>
      <c r="CC12" s="97"/>
      <c r="CD12" s="116"/>
      <c r="CE12" s="116"/>
      <c r="CF12" s="97"/>
      <c r="CG12" s="97"/>
      <c r="CH12" s="97"/>
      <c r="CI12" s="97"/>
      <c r="CJ12" s="97"/>
      <c r="CK12" s="116"/>
      <c r="CL12" s="116"/>
      <c r="CM12" s="97"/>
      <c r="CN12" s="97"/>
      <c r="CO12" s="97"/>
      <c r="CP12" s="97"/>
      <c r="CQ12" s="97"/>
      <c r="CR12" s="116"/>
      <c r="CS12" s="116"/>
      <c r="CT12" s="97"/>
      <c r="CU12" s="97"/>
      <c r="CV12" s="118" t="s">
        <v>640</v>
      </c>
      <c r="CW12" s="118"/>
      <c r="CX12" s="118"/>
      <c r="CY12" s="116"/>
      <c r="CZ12" s="116"/>
      <c r="DA12" s="118"/>
      <c r="DB12" s="118"/>
      <c r="DC12" s="118"/>
      <c r="DD12" s="118"/>
      <c r="DE12" s="118"/>
      <c r="DF12" s="116"/>
      <c r="DG12" s="116"/>
      <c r="DH12" s="118"/>
      <c r="DI12" s="118"/>
      <c r="DJ12" s="118"/>
      <c r="DK12" s="118"/>
      <c r="DL12" s="118"/>
      <c r="DM12" s="116"/>
      <c r="DN12" s="116"/>
      <c r="DP12" s="79" t="s">
        <v>674</v>
      </c>
      <c r="DT12" s="116"/>
      <c r="DU12" s="116"/>
      <c r="DY12" s="89" t="s">
        <v>667</v>
      </c>
      <c r="EA12" s="116"/>
      <c r="EB12" s="116"/>
      <c r="EC12" s="87" t="s">
        <v>638</v>
      </c>
      <c r="EG12" s="117"/>
      <c r="EH12" s="116"/>
      <c r="EI12" s="116"/>
      <c r="EJ12" s="117"/>
      <c r="EN12" s="117"/>
      <c r="EO12" s="116"/>
      <c r="EP12" s="116"/>
      <c r="EQ12" s="117"/>
      <c r="EV12" s="116"/>
      <c r="EW12" s="116"/>
      <c r="FC12" s="116"/>
      <c r="FD12" s="116"/>
      <c r="FJ12" s="116"/>
      <c r="FK12" s="116"/>
      <c r="FQ12" s="116"/>
      <c r="FR12" s="116"/>
      <c r="FX12" s="116"/>
      <c r="FY12" s="116"/>
      <c r="GE12" s="116"/>
      <c r="GF12" s="116"/>
      <c r="GL12" s="116"/>
      <c r="GM12" s="116"/>
      <c r="GS12" s="116"/>
      <c r="GT12" s="116"/>
      <c r="GZ12" s="116"/>
      <c r="HA12" s="116"/>
      <c r="HG12" s="116"/>
      <c r="HH12" s="116"/>
      <c r="HN12" s="116"/>
      <c r="HO12" s="116"/>
      <c r="HU12" s="116"/>
      <c r="HV12" s="116"/>
      <c r="IB12" s="116"/>
      <c r="IC12" s="116"/>
      <c r="II12" s="116"/>
      <c r="IJ12" s="116"/>
      <c r="IP12" s="116"/>
      <c r="IQ12" s="116"/>
    </row>
    <row r="13" spans="1:256">
      <c r="A13" s="121" t="s">
        <v>675</v>
      </c>
      <c r="E13" s="116"/>
      <c r="F13" s="116"/>
      <c r="L13" s="82"/>
      <c r="M13" s="82"/>
      <c r="S13" s="116"/>
      <c r="T13" s="116"/>
      <c r="Z13" s="116"/>
      <c r="AA13" s="116"/>
      <c r="AG13" s="116"/>
      <c r="AH13" s="116"/>
      <c r="AN13" s="116"/>
      <c r="AO13" s="116"/>
      <c r="AU13" s="116"/>
      <c r="AV13" s="116"/>
      <c r="BB13" s="116"/>
      <c r="BC13" s="116"/>
      <c r="BI13" s="116"/>
      <c r="BJ13" s="116"/>
      <c r="BK13" s="97" t="s">
        <v>663</v>
      </c>
      <c r="BL13" s="97"/>
      <c r="BM13" s="97"/>
      <c r="BN13" s="97"/>
      <c r="BO13" s="97"/>
      <c r="BP13" s="116"/>
      <c r="BQ13" s="116"/>
      <c r="BR13" s="97"/>
      <c r="BS13" s="97"/>
      <c r="BT13" s="97"/>
      <c r="BU13" s="97"/>
      <c r="BV13" s="97"/>
      <c r="BW13" s="116"/>
      <c r="BX13" s="116"/>
      <c r="BY13" s="97"/>
      <c r="BZ13" s="97"/>
      <c r="CA13" s="97"/>
      <c r="CB13" s="97"/>
      <c r="CC13" s="97"/>
      <c r="CD13" s="116"/>
      <c r="CE13" s="116"/>
      <c r="CF13" s="97"/>
      <c r="CG13" s="97"/>
      <c r="CH13" s="97"/>
      <c r="CI13" s="97"/>
      <c r="CJ13" s="97"/>
      <c r="CK13" s="116"/>
      <c r="CL13" s="116"/>
      <c r="CM13" s="97"/>
      <c r="CN13" s="97"/>
      <c r="CO13" s="97"/>
      <c r="CP13" s="97"/>
      <c r="CQ13" s="97"/>
      <c r="CR13" s="116"/>
      <c r="CS13" s="116"/>
      <c r="CT13" s="97"/>
      <c r="CU13" s="97"/>
      <c r="CV13" s="97"/>
      <c r="CW13" s="97"/>
      <c r="CX13" s="97"/>
      <c r="CY13" s="116"/>
      <c r="CZ13" s="116"/>
      <c r="DA13" s="97"/>
      <c r="DB13" s="97"/>
      <c r="DC13" s="97"/>
      <c r="DD13" s="97"/>
      <c r="DE13" s="97"/>
      <c r="DF13" s="116"/>
      <c r="DG13" s="116"/>
      <c r="DH13" s="97"/>
      <c r="DI13" s="97"/>
      <c r="DJ13" s="97"/>
      <c r="DK13" s="118" t="s">
        <v>640</v>
      </c>
      <c r="DL13" s="118"/>
      <c r="DM13" s="116"/>
      <c r="DN13" s="116"/>
      <c r="DO13" s="118"/>
      <c r="DP13" s="79" t="s">
        <v>674</v>
      </c>
      <c r="DT13" s="116"/>
      <c r="DU13" s="116"/>
      <c r="DY13" s="89" t="s">
        <v>667</v>
      </c>
      <c r="EA13" s="116"/>
      <c r="EB13" s="116"/>
      <c r="EC13" s="87" t="s">
        <v>638</v>
      </c>
      <c r="EG13" s="117"/>
      <c r="EH13" s="116"/>
      <c r="EI13" s="116"/>
      <c r="EJ13" s="117"/>
      <c r="EN13" s="117"/>
      <c r="EO13" s="116"/>
      <c r="EP13" s="116"/>
      <c r="EQ13" s="117"/>
      <c r="EV13" s="116"/>
      <c r="EW13" s="116"/>
      <c r="FC13" s="116"/>
      <c r="FD13" s="116"/>
      <c r="FJ13" s="116"/>
      <c r="FK13" s="116"/>
      <c r="FQ13" s="116"/>
      <c r="FR13" s="116"/>
      <c r="FX13" s="116"/>
      <c r="FY13" s="116"/>
      <c r="GE13" s="116"/>
      <c r="GF13" s="116"/>
      <c r="GL13" s="116"/>
      <c r="GM13" s="116"/>
      <c r="GS13" s="116"/>
      <c r="GT13" s="116"/>
      <c r="GZ13" s="116"/>
      <c r="HA13" s="116"/>
      <c r="HG13" s="116"/>
      <c r="HH13" s="116"/>
      <c r="HN13" s="116"/>
      <c r="HO13" s="116"/>
      <c r="HU13" s="116"/>
      <c r="HV13" s="116"/>
      <c r="IB13" s="116"/>
      <c r="IC13" s="116"/>
      <c r="II13" s="116"/>
      <c r="IJ13" s="116"/>
      <c r="IP13" s="116"/>
      <c r="IQ13" s="116"/>
    </row>
    <row r="14" spans="1:256">
      <c r="A14" s="79" t="s">
        <v>676</v>
      </c>
      <c r="E14" s="116"/>
      <c r="F14" s="116"/>
      <c r="L14" s="82"/>
      <c r="M14" s="82"/>
      <c r="S14" s="116"/>
      <c r="T14" s="116"/>
      <c r="Z14" s="116"/>
      <c r="AA14" s="116"/>
      <c r="AG14" s="116"/>
      <c r="AH14" s="116"/>
      <c r="AN14" s="116"/>
      <c r="AO14" s="116"/>
      <c r="AU14" s="116"/>
      <c r="AV14" s="116"/>
      <c r="BB14" s="116"/>
      <c r="BC14" s="116"/>
      <c r="BI14" s="116"/>
      <c r="BJ14" s="116"/>
      <c r="BP14" s="116"/>
      <c r="BQ14" s="116"/>
      <c r="BW14" s="116"/>
      <c r="BX14" s="116"/>
      <c r="CD14" s="116"/>
      <c r="CE14" s="116"/>
      <c r="CK14" s="116"/>
      <c r="CL14" s="116"/>
      <c r="CR14" s="116"/>
      <c r="CS14" s="116"/>
      <c r="CV14" s="97"/>
      <c r="CW14" s="97"/>
      <c r="CX14" s="97"/>
      <c r="CY14" s="116"/>
      <c r="CZ14" s="116"/>
      <c r="DA14" s="97"/>
      <c r="DB14" s="97"/>
      <c r="DF14" s="116"/>
      <c r="DG14" s="116"/>
      <c r="DM14" s="116"/>
      <c r="DN14" s="116"/>
      <c r="DO14" s="118"/>
      <c r="DT14" s="116"/>
      <c r="DU14" s="116"/>
      <c r="EA14" s="116"/>
      <c r="EB14" s="116"/>
      <c r="EF14" s="118" t="s">
        <v>640</v>
      </c>
      <c r="EG14" s="117"/>
      <c r="EH14" s="116"/>
      <c r="EI14" s="116"/>
      <c r="EJ14" s="117"/>
      <c r="EK14" s="118"/>
      <c r="EL14" s="118"/>
      <c r="EM14" s="89" t="s">
        <v>667</v>
      </c>
      <c r="EN14" s="117"/>
      <c r="EO14" s="116"/>
      <c r="EP14" s="116"/>
      <c r="EQ14" s="87" t="s">
        <v>638</v>
      </c>
      <c r="EV14" s="116"/>
      <c r="EW14" s="116"/>
      <c r="FC14" s="116"/>
      <c r="FD14" s="116"/>
      <c r="FJ14" s="116"/>
      <c r="FK14" s="116"/>
      <c r="FQ14" s="116"/>
      <c r="FR14" s="116"/>
      <c r="FX14" s="116"/>
      <c r="FY14" s="116"/>
      <c r="GE14" s="116"/>
      <c r="GF14" s="116"/>
      <c r="GL14" s="116"/>
      <c r="GM14" s="116"/>
      <c r="GS14" s="116"/>
      <c r="GT14" s="116"/>
      <c r="GZ14" s="116"/>
      <c r="HA14" s="116"/>
      <c r="HG14" s="116"/>
      <c r="HH14" s="116"/>
      <c r="HN14" s="116"/>
      <c r="HO14" s="116"/>
      <c r="HU14" s="116"/>
      <c r="HV14" s="116"/>
      <c r="IB14" s="116"/>
      <c r="IC14" s="116"/>
      <c r="II14" s="116"/>
      <c r="IJ14" s="116"/>
      <c r="IP14" s="116"/>
      <c r="IQ14" s="116"/>
    </row>
    <row r="15" spans="1:256">
      <c r="A15" s="79" t="s">
        <v>677</v>
      </c>
      <c r="E15" s="116"/>
      <c r="F15" s="116"/>
      <c r="L15" s="82"/>
      <c r="M15" s="82"/>
      <c r="S15" s="116"/>
      <c r="T15" s="116"/>
      <c r="Z15" s="116"/>
      <c r="AA15" s="116"/>
      <c r="AG15" s="116"/>
      <c r="AH15" s="116"/>
      <c r="AN15" s="116"/>
      <c r="AO15" s="116"/>
      <c r="AU15" s="116"/>
      <c r="AV15" s="116"/>
      <c r="BB15" s="116"/>
      <c r="BC15" s="116"/>
      <c r="BI15" s="116"/>
      <c r="BJ15" s="116"/>
      <c r="BP15" s="116"/>
      <c r="BQ15" s="116"/>
      <c r="BW15" s="116"/>
      <c r="BX15" s="116"/>
      <c r="CD15" s="116"/>
      <c r="CE15" s="116"/>
      <c r="CK15" s="116"/>
      <c r="CL15" s="116"/>
      <c r="CR15" s="116"/>
      <c r="CS15" s="116"/>
      <c r="CV15" s="97"/>
      <c r="CW15" s="97"/>
      <c r="CX15" s="97"/>
      <c r="CY15" s="116"/>
      <c r="CZ15" s="116"/>
      <c r="DA15" s="97"/>
      <c r="DB15" s="97"/>
      <c r="DF15" s="116"/>
      <c r="DG15" s="116"/>
      <c r="DM15" s="116"/>
      <c r="DN15" s="116"/>
      <c r="DO15" s="118" t="s">
        <v>640</v>
      </c>
      <c r="DT15" s="116"/>
      <c r="DU15" s="116"/>
      <c r="EA15" s="116"/>
      <c r="EB15" s="116"/>
      <c r="EF15" s="118" t="s">
        <v>640</v>
      </c>
      <c r="EG15" s="117"/>
      <c r="EH15" s="116"/>
      <c r="EI15" s="116"/>
      <c r="EJ15" s="117"/>
      <c r="EK15" s="118"/>
      <c r="EL15" s="118"/>
      <c r="EM15" s="89" t="s">
        <v>667</v>
      </c>
      <c r="EN15" s="117"/>
      <c r="EO15" s="116"/>
      <c r="EP15" s="116"/>
      <c r="EQ15" s="87" t="s">
        <v>638</v>
      </c>
      <c r="EV15" s="116"/>
      <c r="EW15" s="116"/>
      <c r="FC15" s="116"/>
      <c r="FD15" s="116"/>
      <c r="FJ15" s="116"/>
      <c r="FK15" s="116"/>
      <c r="FQ15" s="116"/>
      <c r="FR15" s="116"/>
      <c r="FX15" s="116"/>
      <c r="FY15" s="116"/>
      <c r="GE15" s="116"/>
      <c r="GF15" s="116"/>
      <c r="GL15" s="116"/>
      <c r="GM15" s="116"/>
      <c r="GS15" s="116"/>
      <c r="GT15" s="116"/>
      <c r="GZ15" s="116"/>
      <c r="HA15" s="116"/>
      <c r="HG15" s="116"/>
      <c r="HH15" s="116"/>
      <c r="HN15" s="116"/>
      <c r="HO15" s="116"/>
      <c r="HU15" s="116"/>
      <c r="HV15" s="116"/>
      <c r="IB15" s="116"/>
      <c r="IC15" s="116"/>
      <c r="II15" s="116"/>
      <c r="IJ15" s="116"/>
      <c r="IP15" s="116"/>
      <c r="IQ15" s="116"/>
    </row>
    <row r="16" spans="1:256">
      <c r="A16" s="79" t="s">
        <v>678</v>
      </c>
      <c r="E16" s="116"/>
      <c r="F16" s="116"/>
      <c r="L16" s="82"/>
      <c r="M16" s="82"/>
      <c r="S16" s="116"/>
      <c r="T16" s="116"/>
      <c r="Z16" s="116"/>
      <c r="AA16" s="116"/>
      <c r="AG16" s="116"/>
      <c r="AH16" s="116"/>
      <c r="AN16" s="116"/>
      <c r="AO16" s="116"/>
      <c r="AU16" s="116"/>
      <c r="AV16" s="116"/>
      <c r="BB16" s="116"/>
      <c r="BC16" s="116"/>
      <c r="BI16" s="116"/>
      <c r="BJ16" s="116"/>
      <c r="BP16" s="116"/>
      <c r="BQ16" s="116"/>
      <c r="BW16" s="116"/>
      <c r="BX16" s="116"/>
      <c r="CD16" s="116"/>
      <c r="CE16" s="116"/>
      <c r="CK16" s="116"/>
      <c r="CL16" s="116"/>
      <c r="CR16" s="116"/>
      <c r="CS16" s="116"/>
      <c r="CY16" s="116"/>
      <c r="CZ16" s="116"/>
      <c r="DF16" s="116"/>
      <c r="DG16" s="116"/>
      <c r="DI16" s="97"/>
      <c r="DJ16" s="97"/>
      <c r="DK16" s="97"/>
      <c r="DL16" s="97"/>
      <c r="DM16" s="116"/>
      <c r="DN16" s="116"/>
      <c r="DO16" s="118" t="s">
        <v>640</v>
      </c>
      <c r="DT16" s="116"/>
      <c r="DU16" s="116"/>
      <c r="EA16" s="116"/>
      <c r="EB16" s="116"/>
      <c r="EF16" s="118" t="s">
        <v>640</v>
      </c>
      <c r="EG16" s="117"/>
      <c r="EH16" s="116"/>
      <c r="EI16" s="116"/>
      <c r="EJ16" s="117"/>
      <c r="EK16" s="118"/>
      <c r="EL16" s="118"/>
      <c r="EM16" s="89" t="s">
        <v>667</v>
      </c>
      <c r="EN16" s="117"/>
      <c r="EO16" s="116"/>
      <c r="EP16" s="116"/>
      <c r="EQ16" s="87" t="s">
        <v>638</v>
      </c>
      <c r="EV16" s="116"/>
      <c r="EW16" s="116"/>
      <c r="FC16" s="116"/>
      <c r="FD16" s="116"/>
      <c r="FJ16" s="116"/>
      <c r="FK16" s="116"/>
      <c r="FQ16" s="116"/>
      <c r="FR16" s="116"/>
      <c r="FX16" s="116"/>
      <c r="FY16" s="116"/>
      <c r="GE16" s="116"/>
      <c r="GF16" s="116"/>
      <c r="GL16" s="116"/>
      <c r="GM16" s="116"/>
      <c r="GS16" s="116"/>
      <c r="GT16" s="116"/>
      <c r="GZ16" s="116"/>
      <c r="HA16" s="116"/>
      <c r="HG16" s="116"/>
      <c r="HH16" s="116"/>
      <c r="HN16" s="116"/>
      <c r="HO16" s="116"/>
      <c r="HU16" s="116"/>
      <c r="HV16" s="116"/>
      <c r="IB16" s="116"/>
      <c r="IC16" s="116"/>
      <c r="II16" s="116"/>
      <c r="IJ16" s="116"/>
      <c r="IP16" s="116"/>
      <c r="IQ16" s="116"/>
    </row>
    <row r="17" spans="1:254">
      <c r="A17" s="79" t="s">
        <v>679</v>
      </c>
      <c r="E17" s="116"/>
      <c r="F17" s="116"/>
      <c r="L17" s="82"/>
      <c r="M17" s="82"/>
      <c r="S17" s="116"/>
      <c r="T17" s="116"/>
      <c r="Z17" s="116"/>
      <c r="AA17" s="116"/>
      <c r="AG17" s="116"/>
      <c r="AH17" s="116"/>
      <c r="AN17" s="116"/>
      <c r="AO17" s="116"/>
      <c r="AU17" s="116"/>
      <c r="AV17" s="116"/>
      <c r="BB17" s="116"/>
      <c r="BC17" s="116"/>
      <c r="BI17" s="116"/>
      <c r="BJ17" s="116"/>
      <c r="BP17" s="116"/>
      <c r="BQ17" s="116"/>
      <c r="BW17" s="116"/>
      <c r="BX17" s="116"/>
      <c r="CD17" s="116"/>
      <c r="CE17" s="116"/>
      <c r="CK17" s="116"/>
      <c r="CL17" s="116"/>
      <c r="CN17" s="97"/>
      <c r="CO17" s="97"/>
      <c r="CP17" s="116"/>
      <c r="CQ17" s="116"/>
      <c r="CR17" s="116"/>
      <c r="CS17" s="116"/>
      <c r="CT17" s="116"/>
      <c r="CU17" s="116"/>
      <c r="CV17" s="116"/>
      <c r="CW17" s="116"/>
      <c r="CX17" s="116"/>
      <c r="CY17" s="116"/>
      <c r="CZ17" s="116"/>
      <c r="DA17" s="116"/>
      <c r="DB17" s="116"/>
      <c r="DC17" s="116"/>
      <c r="DD17" s="116"/>
      <c r="DE17" s="116"/>
      <c r="DF17" s="116"/>
      <c r="DG17" s="116"/>
      <c r="DH17" s="116"/>
      <c r="DI17" s="116"/>
      <c r="DJ17" s="116"/>
      <c r="DK17" s="116"/>
      <c r="DL17" s="116"/>
      <c r="DM17" s="116"/>
      <c r="DN17" s="116"/>
      <c r="DO17" s="116"/>
      <c r="DT17" s="116"/>
      <c r="DU17" s="116"/>
      <c r="DW17" s="118" t="s">
        <v>640</v>
      </c>
      <c r="DX17" s="118"/>
      <c r="DY17" s="118"/>
      <c r="EA17" s="116"/>
      <c r="EB17" s="116"/>
      <c r="EF17" s="118" t="s">
        <v>640</v>
      </c>
      <c r="EG17" s="117"/>
      <c r="EH17" s="116"/>
      <c r="EI17" s="116"/>
      <c r="EJ17" s="117"/>
      <c r="EK17" s="118"/>
      <c r="EL17" s="118"/>
      <c r="EM17" s="89" t="s">
        <v>667</v>
      </c>
      <c r="EN17" s="117"/>
      <c r="EO17" s="116"/>
      <c r="EP17" s="116"/>
      <c r="EQ17" s="87" t="s">
        <v>638</v>
      </c>
      <c r="EV17" s="116"/>
      <c r="EW17" s="116"/>
      <c r="FC17" s="116"/>
      <c r="FD17" s="116"/>
      <c r="FJ17" s="116"/>
      <c r="FK17" s="116"/>
      <c r="FQ17" s="116"/>
      <c r="FR17" s="116"/>
      <c r="FX17" s="116"/>
      <c r="FY17" s="116"/>
      <c r="GE17" s="116"/>
      <c r="GF17" s="116"/>
      <c r="GL17" s="116"/>
      <c r="GM17" s="116"/>
      <c r="GS17" s="116"/>
      <c r="GT17" s="116"/>
      <c r="GZ17" s="116"/>
      <c r="HA17" s="116"/>
      <c r="HG17" s="116"/>
      <c r="HH17" s="116"/>
      <c r="HN17" s="116"/>
      <c r="HO17" s="116"/>
      <c r="HU17" s="116"/>
      <c r="HV17" s="116"/>
      <c r="IB17" s="116"/>
      <c r="IC17" s="116"/>
      <c r="II17" s="116"/>
      <c r="IJ17" s="116"/>
      <c r="IP17" s="116"/>
      <c r="IQ17" s="116"/>
    </row>
    <row r="18" spans="1:254">
      <c r="A18" s="79" t="s">
        <v>680</v>
      </c>
      <c r="E18" s="116"/>
      <c r="F18" s="116"/>
      <c r="L18" s="82"/>
      <c r="M18" s="82"/>
      <c r="S18" s="116"/>
      <c r="T18" s="116"/>
      <c r="Z18" s="116"/>
      <c r="AA18" s="116"/>
      <c r="AG18" s="116"/>
      <c r="AH18" s="116"/>
      <c r="AN18" s="116"/>
      <c r="AO18" s="116"/>
      <c r="AU18" s="116"/>
      <c r="AV18" s="116"/>
      <c r="BB18" s="116"/>
      <c r="BC18" s="116"/>
      <c r="BI18" s="116"/>
      <c r="BJ18" s="116"/>
      <c r="BP18" s="116"/>
      <c r="BQ18" s="116"/>
      <c r="BW18" s="116"/>
      <c r="BX18" s="116"/>
      <c r="CD18" s="116"/>
      <c r="CE18" s="116"/>
      <c r="CK18" s="116"/>
      <c r="CL18" s="116"/>
      <c r="CR18" s="116"/>
      <c r="CS18" s="116"/>
      <c r="CY18" s="116"/>
      <c r="CZ18" s="116"/>
      <c r="DF18" s="116"/>
      <c r="DG18" s="116"/>
      <c r="DK18" s="97"/>
      <c r="DL18" s="97"/>
      <c r="DM18" s="116"/>
      <c r="DN18" s="116"/>
      <c r="DO18" s="97"/>
      <c r="DP18" s="97"/>
      <c r="DQ18" s="97"/>
      <c r="DR18" s="97"/>
      <c r="DS18" s="97"/>
      <c r="DT18" s="116"/>
      <c r="DU18" s="116"/>
      <c r="DV18" s="97"/>
      <c r="DW18" s="97"/>
      <c r="DX18" s="97"/>
      <c r="DY18" s="97"/>
      <c r="DZ18" s="97"/>
      <c r="EA18" s="116"/>
      <c r="EB18" s="116"/>
      <c r="EC18" s="97"/>
      <c r="ED18" s="97"/>
      <c r="EE18" s="97"/>
      <c r="EF18" s="97"/>
      <c r="EG18" s="117"/>
      <c r="EH18" s="116"/>
      <c r="EI18" s="116"/>
      <c r="EJ18" s="117"/>
      <c r="EK18" s="118" t="s">
        <v>640</v>
      </c>
      <c r="EL18" s="118"/>
      <c r="EM18" s="89" t="s">
        <v>667</v>
      </c>
      <c r="EN18" s="117"/>
      <c r="EO18" s="116"/>
      <c r="EP18" s="116"/>
      <c r="EQ18" s="87" t="s">
        <v>638</v>
      </c>
      <c r="EV18" s="116"/>
      <c r="EW18" s="116"/>
      <c r="FC18" s="116"/>
      <c r="FD18" s="116"/>
      <c r="FJ18" s="116"/>
      <c r="FK18" s="116"/>
      <c r="FQ18" s="116"/>
      <c r="FR18" s="116"/>
      <c r="FX18" s="116"/>
      <c r="FY18" s="116"/>
      <c r="GE18" s="116"/>
      <c r="GF18" s="116"/>
      <c r="GL18" s="116"/>
      <c r="GM18" s="116"/>
      <c r="GS18" s="116"/>
      <c r="GT18" s="116"/>
      <c r="GZ18" s="116"/>
      <c r="HA18" s="116"/>
      <c r="HG18" s="116"/>
      <c r="HH18" s="116"/>
      <c r="HN18" s="116"/>
      <c r="HO18" s="116"/>
      <c r="HU18" s="116"/>
      <c r="HV18" s="116"/>
      <c r="IB18" s="116"/>
      <c r="IC18" s="116"/>
      <c r="II18" s="116"/>
      <c r="IJ18" s="116"/>
      <c r="IP18" s="116"/>
      <c r="IQ18" s="116"/>
    </row>
    <row r="19" spans="1:254">
      <c r="A19" s="79" t="s">
        <v>681</v>
      </c>
      <c r="E19" s="116"/>
      <c r="F19" s="116"/>
      <c r="L19" s="82"/>
      <c r="M19" s="82"/>
      <c r="S19" s="116"/>
      <c r="T19" s="116"/>
      <c r="Z19" s="116"/>
      <c r="AA19" s="116"/>
      <c r="AG19" s="116"/>
      <c r="AH19" s="116"/>
      <c r="AN19" s="116"/>
      <c r="AO19" s="116"/>
      <c r="AU19" s="116"/>
      <c r="AV19" s="116"/>
      <c r="BB19" s="116"/>
      <c r="BC19" s="116"/>
      <c r="BI19" s="116"/>
      <c r="BJ19" s="116"/>
      <c r="BP19" s="116"/>
      <c r="BQ19" s="116"/>
      <c r="BW19" s="116"/>
      <c r="BX19" s="116"/>
      <c r="CD19" s="116"/>
      <c r="CE19" s="116"/>
      <c r="CK19" s="116"/>
      <c r="CL19" s="116"/>
      <c r="CR19" s="116"/>
      <c r="CS19" s="116"/>
      <c r="CY19" s="116"/>
      <c r="CZ19" s="116"/>
      <c r="DF19" s="116"/>
      <c r="DG19" s="116"/>
      <c r="DM19" s="116"/>
      <c r="DN19" s="116"/>
      <c r="DO19" s="97"/>
      <c r="DP19" s="97"/>
      <c r="DQ19" s="97"/>
      <c r="DR19" s="97"/>
      <c r="DS19" s="97"/>
      <c r="DT19" s="116"/>
      <c r="DU19" s="116"/>
      <c r="DV19" s="97"/>
      <c r="DW19" s="97"/>
      <c r="DX19" s="97"/>
      <c r="DY19" s="97"/>
      <c r="DZ19" s="97"/>
      <c r="EA19" s="116"/>
      <c r="EB19" s="116"/>
      <c r="EC19" s="97"/>
      <c r="ED19" s="97"/>
      <c r="EE19" s="97"/>
      <c r="EF19" s="97"/>
      <c r="EG19" s="117"/>
      <c r="EH19" s="116"/>
      <c r="EI19" s="116"/>
      <c r="EJ19" s="117"/>
      <c r="EK19" s="118" t="s">
        <v>640</v>
      </c>
      <c r="EL19" s="118"/>
      <c r="EM19" s="89" t="s">
        <v>667</v>
      </c>
      <c r="EN19" s="117"/>
      <c r="EO19" s="116"/>
      <c r="EP19" s="116"/>
      <c r="EQ19" s="87" t="s">
        <v>638</v>
      </c>
      <c r="EV19" s="116"/>
      <c r="EW19" s="116"/>
      <c r="FC19" s="116"/>
      <c r="FD19" s="116"/>
      <c r="FJ19" s="116"/>
      <c r="FK19" s="116"/>
      <c r="FQ19" s="116"/>
      <c r="FR19" s="116"/>
      <c r="FX19" s="116"/>
      <c r="FY19" s="116"/>
      <c r="GE19" s="116"/>
      <c r="GF19" s="116"/>
      <c r="GL19" s="116"/>
      <c r="GM19" s="116"/>
      <c r="GS19" s="116"/>
      <c r="GT19" s="116"/>
      <c r="GZ19" s="116"/>
      <c r="HA19" s="116"/>
      <c r="HG19" s="116"/>
      <c r="HH19" s="116"/>
      <c r="HN19" s="116"/>
      <c r="HO19" s="116"/>
      <c r="HU19" s="116"/>
      <c r="HV19" s="116"/>
      <c r="IB19" s="116"/>
      <c r="IC19" s="116"/>
      <c r="II19" s="116"/>
      <c r="IJ19" s="116"/>
      <c r="IP19" s="116"/>
      <c r="IQ19" s="116"/>
    </row>
    <row r="20" spans="1:254">
      <c r="A20" s="79" t="s">
        <v>682</v>
      </c>
      <c r="E20" s="116"/>
      <c r="F20" s="116"/>
      <c r="L20" s="82"/>
      <c r="M20" s="82"/>
      <c r="S20" s="116"/>
      <c r="T20" s="116"/>
      <c r="Z20" s="116"/>
      <c r="AA20" s="116"/>
      <c r="AG20" s="116"/>
      <c r="AH20" s="116"/>
      <c r="AN20" s="116"/>
      <c r="AO20" s="116"/>
      <c r="AU20" s="116"/>
      <c r="AV20" s="116"/>
      <c r="BB20" s="116"/>
      <c r="BC20" s="116"/>
      <c r="BI20" s="116"/>
      <c r="BJ20" s="116"/>
      <c r="BP20" s="116"/>
      <c r="BQ20" s="116"/>
      <c r="BW20" s="116"/>
      <c r="BX20" s="116"/>
      <c r="CD20" s="116"/>
      <c r="CE20" s="116"/>
      <c r="CK20" s="116"/>
      <c r="CL20" s="116"/>
      <c r="CR20" s="116"/>
      <c r="CS20" s="116"/>
      <c r="CY20" s="116"/>
      <c r="CZ20" s="116"/>
      <c r="DF20" s="116"/>
      <c r="DG20" s="116"/>
      <c r="DM20" s="116"/>
      <c r="DN20" s="116"/>
      <c r="DR20" s="97"/>
      <c r="DS20" s="97"/>
      <c r="DT20" s="116"/>
      <c r="DU20" s="116"/>
      <c r="DV20" s="97"/>
      <c r="DW20" s="97"/>
      <c r="DX20" s="97"/>
      <c r="DY20" s="97"/>
      <c r="DZ20" s="97"/>
      <c r="EA20" s="116"/>
      <c r="EB20" s="116"/>
      <c r="EC20" s="97"/>
      <c r="ED20" s="97"/>
      <c r="EE20" s="97"/>
      <c r="EF20" s="97"/>
      <c r="EG20" s="117"/>
      <c r="EH20" s="116"/>
      <c r="EI20" s="116"/>
      <c r="EJ20" s="117"/>
      <c r="EK20" s="118" t="s">
        <v>640</v>
      </c>
      <c r="EL20" s="118"/>
      <c r="EM20" s="89" t="s">
        <v>667</v>
      </c>
      <c r="EN20" s="117"/>
      <c r="EO20" s="116"/>
      <c r="EP20" s="116"/>
      <c r="EQ20" s="87" t="s">
        <v>638</v>
      </c>
      <c r="EV20" s="116"/>
      <c r="EW20" s="116"/>
      <c r="FC20" s="116"/>
      <c r="FD20" s="116"/>
      <c r="FJ20" s="116"/>
      <c r="FK20" s="116"/>
      <c r="FQ20" s="116"/>
      <c r="FR20" s="116"/>
      <c r="FX20" s="116"/>
      <c r="FY20" s="116"/>
      <c r="GE20" s="116"/>
      <c r="GF20" s="116"/>
      <c r="GL20" s="116"/>
      <c r="GM20" s="116"/>
      <c r="GS20" s="116"/>
      <c r="GT20" s="116"/>
      <c r="GZ20" s="116"/>
      <c r="HA20" s="116"/>
      <c r="HG20" s="116"/>
      <c r="HH20" s="116"/>
      <c r="HN20" s="116"/>
      <c r="HO20" s="116"/>
      <c r="HU20" s="116"/>
      <c r="HV20" s="116"/>
      <c r="IB20" s="116"/>
      <c r="IC20" s="116"/>
      <c r="II20" s="116"/>
      <c r="IJ20" s="116"/>
      <c r="IP20" s="116"/>
      <c r="IQ20" s="116"/>
    </row>
    <row r="21" spans="1:254">
      <c r="A21" s="79" t="s">
        <v>683</v>
      </c>
      <c r="E21" s="116"/>
      <c r="F21" s="116"/>
      <c r="L21" s="82"/>
      <c r="M21" s="82"/>
      <c r="S21" s="116"/>
      <c r="T21" s="116"/>
      <c r="Z21" s="116"/>
      <c r="AA21" s="116"/>
      <c r="AG21" s="116"/>
      <c r="AH21" s="116"/>
      <c r="AN21" s="116"/>
      <c r="AO21" s="116"/>
      <c r="AU21" s="116"/>
      <c r="AV21" s="116"/>
      <c r="BB21" s="116"/>
      <c r="BC21" s="116"/>
      <c r="BI21" s="116"/>
      <c r="BJ21" s="116"/>
      <c r="BP21" s="116"/>
      <c r="BQ21" s="116"/>
      <c r="BW21" s="116"/>
      <c r="BX21" s="116"/>
      <c r="CD21" s="116"/>
      <c r="CE21" s="116"/>
      <c r="CK21" s="116"/>
      <c r="CL21" s="116"/>
      <c r="CR21" s="116"/>
      <c r="CS21" s="116"/>
      <c r="CY21" s="116"/>
      <c r="CZ21" s="116"/>
      <c r="DF21" s="116"/>
      <c r="DG21" s="116"/>
      <c r="DM21" s="116"/>
      <c r="DN21" s="116"/>
      <c r="DT21" s="116"/>
      <c r="DU21" s="116"/>
      <c r="EA21" s="116"/>
      <c r="EB21" s="116"/>
      <c r="EG21" s="117"/>
      <c r="EH21" s="116"/>
      <c r="EI21" s="116"/>
      <c r="EJ21" s="117"/>
      <c r="EN21" s="117"/>
      <c r="EO21" s="116"/>
      <c r="EP21" s="116"/>
      <c r="EQ21" s="117"/>
      <c r="ER21" s="97"/>
      <c r="ES21" s="97"/>
      <c r="ET21" s="97"/>
      <c r="EU21" s="97"/>
      <c r="EV21" s="116"/>
      <c r="EW21" s="116"/>
      <c r="EX21" s="97"/>
      <c r="EY21" s="97"/>
      <c r="EZ21" s="97"/>
      <c r="FA21" s="118" t="s">
        <v>640</v>
      </c>
      <c r="FB21" s="118"/>
      <c r="FC21" s="116"/>
      <c r="FD21" s="116"/>
      <c r="FE21" s="89" t="s">
        <v>667</v>
      </c>
      <c r="FG21" s="87" t="s">
        <v>638</v>
      </c>
      <c r="FJ21" s="116"/>
      <c r="FK21" s="116"/>
      <c r="FQ21" s="116"/>
      <c r="FR21" s="116"/>
      <c r="FX21" s="116"/>
      <c r="FY21" s="116"/>
      <c r="GE21" s="116"/>
      <c r="GF21" s="116"/>
      <c r="GL21" s="116"/>
      <c r="GM21" s="116"/>
      <c r="GS21" s="116"/>
      <c r="GT21" s="116"/>
      <c r="GZ21" s="116"/>
      <c r="HA21" s="116"/>
      <c r="HG21" s="116"/>
      <c r="HH21" s="116"/>
      <c r="HN21" s="116"/>
      <c r="HO21" s="116"/>
      <c r="HU21" s="116"/>
      <c r="HV21" s="116"/>
      <c r="IB21" s="116"/>
      <c r="IC21" s="116"/>
      <c r="II21" s="116"/>
      <c r="IJ21" s="116"/>
      <c r="IP21" s="116"/>
      <c r="IQ21" s="116"/>
    </row>
    <row r="22" spans="1:254">
      <c r="A22" s="79" t="s">
        <v>684</v>
      </c>
      <c r="E22" s="116"/>
      <c r="F22" s="116"/>
      <c r="L22" s="82"/>
      <c r="M22" s="82"/>
      <c r="S22" s="116"/>
      <c r="T22" s="116"/>
      <c r="Z22" s="116"/>
      <c r="AA22" s="116"/>
      <c r="AG22" s="116"/>
      <c r="AH22" s="116"/>
      <c r="AN22" s="116"/>
      <c r="AO22" s="116"/>
      <c r="AU22" s="116"/>
      <c r="AV22" s="116"/>
      <c r="BB22" s="116"/>
      <c r="BC22" s="116"/>
      <c r="BI22" s="116"/>
      <c r="BJ22" s="116"/>
      <c r="BP22" s="116"/>
      <c r="BQ22" s="116"/>
      <c r="BW22" s="116"/>
      <c r="BX22" s="116"/>
      <c r="CD22" s="116"/>
      <c r="CE22" s="116"/>
      <c r="CK22" s="116"/>
      <c r="CL22" s="116"/>
      <c r="CR22" s="116"/>
      <c r="CS22" s="116"/>
      <c r="CY22" s="116"/>
      <c r="CZ22" s="116"/>
      <c r="DF22" s="116"/>
      <c r="DG22" s="116"/>
      <c r="DM22" s="116"/>
      <c r="DN22" s="116"/>
      <c r="DT22" s="116"/>
      <c r="DU22" s="116"/>
      <c r="EA22" s="116"/>
      <c r="EB22" s="116"/>
      <c r="EG22" s="117"/>
      <c r="EH22" s="116"/>
      <c r="EI22" s="116"/>
      <c r="EJ22" s="117"/>
      <c r="EN22" s="117"/>
      <c r="EO22" s="116"/>
      <c r="EP22" s="116"/>
      <c r="EQ22" s="117"/>
      <c r="ER22" s="97"/>
      <c r="ES22" s="97"/>
      <c r="ET22" s="97"/>
      <c r="EU22" s="97"/>
      <c r="EV22" s="116"/>
      <c r="EW22" s="116"/>
      <c r="EX22" s="97"/>
      <c r="EY22" s="97"/>
      <c r="EZ22" s="97"/>
      <c r="FA22" s="118" t="s">
        <v>640</v>
      </c>
      <c r="FB22" s="118"/>
      <c r="FC22" s="116"/>
      <c r="FD22" s="116"/>
      <c r="FE22" s="118"/>
      <c r="FF22" s="118"/>
      <c r="FG22" s="118"/>
      <c r="FH22" s="118"/>
      <c r="FJ22" s="116"/>
      <c r="FK22" s="116"/>
      <c r="FQ22" s="116"/>
      <c r="FR22" s="116"/>
      <c r="FW22" s="89" t="s">
        <v>667</v>
      </c>
      <c r="FX22" s="116"/>
      <c r="FY22" s="116"/>
      <c r="GB22" s="122" t="s">
        <v>638</v>
      </c>
      <c r="GE22" s="116"/>
      <c r="GF22" s="116"/>
      <c r="GL22" s="116"/>
      <c r="GM22" s="116"/>
      <c r="GS22" s="116"/>
      <c r="GT22" s="116"/>
      <c r="GZ22" s="116"/>
      <c r="HA22" s="116"/>
      <c r="HG22" s="116"/>
      <c r="HH22" s="116"/>
      <c r="HN22" s="116"/>
      <c r="HO22" s="116"/>
      <c r="HU22" s="116"/>
      <c r="HV22" s="116"/>
      <c r="IB22" s="116"/>
      <c r="IC22" s="116"/>
      <c r="II22" s="116"/>
      <c r="IJ22" s="116"/>
      <c r="IP22" s="116"/>
      <c r="IQ22" s="116"/>
    </row>
    <row r="23" spans="1:254">
      <c r="A23" s="79" t="s">
        <v>685</v>
      </c>
      <c r="CY23" s="116"/>
      <c r="CZ23" s="116"/>
      <c r="DF23" s="116"/>
      <c r="DG23" s="116"/>
      <c r="DM23" s="116"/>
      <c r="DN23" s="116"/>
      <c r="DT23" s="116"/>
      <c r="DU23" s="116"/>
      <c r="EA23" s="116"/>
      <c r="EB23" s="116"/>
      <c r="EG23" s="117"/>
      <c r="EH23" s="116"/>
      <c r="EI23" s="116"/>
      <c r="EJ23" s="117"/>
      <c r="EM23" s="97"/>
      <c r="EN23" s="117"/>
      <c r="EO23" s="116"/>
      <c r="EP23" s="116"/>
      <c r="EQ23" s="117"/>
      <c r="ER23" s="97"/>
      <c r="ES23" s="97"/>
      <c r="ET23" s="97"/>
      <c r="EU23" s="97"/>
      <c r="EV23" s="116"/>
      <c r="EW23" s="116"/>
      <c r="EX23" s="97"/>
      <c r="EY23" s="97"/>
      <c r="EZ23" s="97"/>
      <c r="FA23" s="118" t="s">
        <v>640</v>
      </c>
      <c r="FB23" s="118"/>
      <c r="FC23" s="116"/>
      <c r="FD23" s="116"/>
      <c r="FE23" s="118"/>
      <c r="FF23" s="118"/>
      <c r="FG23" s="118"/>
      <c r="FH23" s="118"/>
      <c r="FJ23" s="116"/>
      <c r="FK23" s="116"/>
      <c r="FQ23" s="116"/>
      <c r="FR23" s="116"/>
      <c r="FW23" s="89" t="s">
        <v>667</v>
      </c>
      <c r="FX23" s="116"/>
      <c r="FY23" s="116"/>
      <c r="GB23" s="122" t="s">
        <v>638</v>
      </c>
      <c r="GE23" s="116"/>
      <c r="GF23" s="116"/>
      <c r="GL23" s="116"/>
      <c r="GM23" s="116"/>
      <c r="GS23" s="116"/>
      <c r="GT23" s="116"/>
      <c r="GZ23" s="116"/>
      <c r="HA23" s="116"/>
      <c r="HG23" s="116"/>
      <c r="HH23" s="116"/>
      <c r="HN23" s="116"/>
      <c r="HO23" s="116"/>
      <c r="HU23" s="116"/>
      <c r="HV23" s="116"/>
      <c r="IB23" s="116"/>
      <c r="IC23" s="116"/>
      <c r="II23" s="116"/>
      <c r="IJ23" s="116"/>
      <c r="IP23" s="116"/>
      <c r="IQ23" s="116"/>
    </row>
    <row r="24" spans="1:254">
      <c r="A24" s="79" t="s">
        <v>686</v>
      </c>
      <c r="CY24" s="116"/>
      <c r="CZ24" s="116"/>
      <c r="DF24" s="116"/>
      <c r="DG24" s="116"/>
      <c r="DM24" s="116"/>
      <c r="DN24" s="116"/>
      <c r="DT24" s="116"/>
      <c r="DU24" s="116"/>
      <c r="EA24" s="116"/>
      <c r="EB24" s="116"/>
      <c r="EG24" s="117"/>
      <c r="EH24" s="116"/>
      <c r="EI24" s="116"/>
      <c r="EJ24" s="117"/>
      <c r="EN24" s="117"/>
      <c r="EO24" s="116"/>
      <c r="EP24" s="116"/>
      <c r="EQ24" s="117"/>
      <c r="ET24" s="97"/>
      <c r="EU24" s="97"/>
      <c r="EV24" s="116"/>
      <c r="EW24" s="116"/>
      <c r="EX24" s="97"/>
      <c r="EY24" s="97"/>
      <c r="EZ24" s="97"/>
      <c r="FA24" s="118" t="s">
        <v>640</v>
      </c>
      <c r="FB24" s="118"/>
      <c r="FC24" s="116"/>
      <c r="FD24" s="116"/>
      <c r="FE24" s="118"/>
      <c r="FF24" s="118"/>
      <c r="FG24" s="118"/>
      <c r="FH24" s="118"/>
      <c r="FJ24" s="116"/>
      <c r="FK24" s="116"/>
      <c r="FQ24" s="116"/>
      <c r="FR24" s="116"/>
      <c r="FW24" s="89" t="s">
        <v>667</v>
      </c>
      <c r="FX24" s="116"/>
      <c r="FY24" s="116"/>
      <c r="GB24" s="122" t="s">
        <v>638</v>
      </c>
      <c r="GE24" s="116"/>
      <c r="GF24" s="116"/>
      <c r="GL24" s="116"/>
      <c r="GM24" s="116"/>
      <c r="GS24" s="116"/>
      <c r="GT24" s="116"/>
      <c r="GZ24" s="116"/>
      <c r="HA24" s="116"/>
      <c r="HG24" s="116"/>
      <c r="HH24" s="116"/>
      <c r="HN24" s="116"/>
      <c r="HO24" s="116"/>
      <c r="HU24" s="116"/>
      <c r="HV24" s="116"/>
      <c r="IB24" s="116"/>
      <c r="IC24" s="116"/>
      <c r="II24" s="116"/>
      <c r="IJ24" s="116"/>
      <c r="IP24" s="116"/>
      <c r="IQ24" s="116"/>
    </row>
    <row r="25" spans="1:254">
      <c r="A25" s="79" t="s">
        <v>687</v>
      </c>
      <c r="CY25" s="116"/>
      <c r="CZ25" s="116"/>
      <c r="DF25" s="116"/>
      <c r="DG25" s="116"/>
      <c r="DM25" s="116"/>
      <c r="DN25" s="116"/>
      <c r="DT25" s="116"/>
      <c r="DU25" s="116"/>
      <c r="EA25" s="116"/>
      <c r="EB25" s="116"/>
      <c r="EG25" s="117"/>
      <c r="EH25" s="116"/>
      <c r="EI25" s="116"/>
      <c r="EJ25" s="117"/>
      <c r="EN25" s="117"/>
      <c r="EO25" s="116"/>
      <c r="EP25" s="116"/>
      <c r="EQ25" s="117"/>
      <c r="EV25" s="116"/>
      <c r="EW25" s="116"/>
      <c r="FA25" s="97"/>
      <c r="FB25" s="97"/>
      <c r="FC25" s="116"/>
      <c r="FD25" s="116"/>
      <c r="FE25" s="97"/>
      <c r="FF25" s="97"/>
      <c r="FG25" s="97"/>
      <c r="FH25" s="118" t="s">
        <v>640</v>
      </c>
      <c r="FI25" s="118"/>
      <c r="FJ25" s="116"/>
      <c r="FK25" s="116"/>
      <c r="FQ25" s="116"/>
      <c r="FR25" s="116"/>
      <c r="FW25" s="89" t="s">
        <v>667</v>
      </c>
      <c r="FX25" s="116"/>
      <c r="FY25" s="116"/>
      <c r="GB25" s="122" t="s">
        <v>638</v>
      </c>
      <c r="GE25" s="116"/>
      <c r="GF25" s="116"/>
      <c r="GL25" s="116"/>
      <c r="GM25" s="116"/>
      <c r="GS25" s="116"/>
      <c r="GT25" s="116"/>
      <c r="GZ25" s="116"/>
      <c r="HA25" s="116"/>
      <c r="HG25" s="116"/>
      <c r="HH25" s="116"/>
      <c r="HN25" s="116"/>
      <c r="HO25" s="116"/>
      <c r="HU25" s="116"/>
      <c r="HV25" s="116"/>
      <c r="IB25" s="116"/>
      <c r="IC25" s="116"/>
      <c r="II25" s="116"/>
      <c r="IJ25" s="116"/>
      <c r="IP25" s="116"/>
      <c r="IQ25" s="116"/>
    </row>
    <row r="26" spans="1:254">
      <c r="A26" s="79" t="s">
        <v>688</v>
      </c>
      <c r="CY26" s="116"/>
      <c r="CZ26" s="116"/>
      <c r="DF26" s="116"/>
      <c r="DG26" s="116"/>
      <c r="DM26" s="116"/>
      <c r="DN26" s="116"/>
      <c r="DT26" s="116"/>
      <c r="DU26" s="116"/>
      <c r="EA26" s="116"/>
      <c r="EB26" s="116"/>
      <c r="EG26" s="117"/>
      <c r="EH26" s="116"/>
      <c r="EI26" s="116"/>
      <c r="EJ26" s="117"/>
      <c r="EN26" s="117"/>
      <c r="EO26" s="116"/>
      <c r="EP26" s="116"/>
      <c r="EQ26" s="117"/>
      <c r="EV26" s="116"/>
      <c r="EW26" s="116"/>
      <c r="FC26" s="116"/>
      <c r="FD26" s="116"/>
      <c r="FJ26" s="116"/>
      <c r="FK26" s="116"/>
      <c r="FL26" s="97"/>
      <c r="FM26" s="97"/>
      <c r="FN26" s="97"/>
      <c r="FO26" s="97"/>
      <c r="FP26" s="97"/>
      <c r="FQ26" s="116"/>
      <c r="FR26" s="116"/>
      <c r="FS26" s="97"/>
      <c r="FT26" s="97"/>
      <c r="FU26" s="97"/>
      <c r="FV26" s="97"/>
      <c r="FW26" s="97"/>
      <c r="FX26" s="116"/>
      <c r="FY26" s="116"/>
      <c r="FZ26" s="97"/>
      <c r="GA26" s="97"/>
      <c r="GB26" s="97"/>
      <c r="GC26" s="97"/>
      <c r="GD26" s="118" t="s">
        <v>640</v>
      </c>
      <c r="GE26" s="116"/>
      <c r="GF26" s="116"/>
      <c r="GG26" s="118"/>
      <c r="GH26" s="118"/>
      <c r="GL26" s="116"/>
      <c r="GM26" s="116"/>
      <c r="GR26" s="87" t="s">
        <v>638</v>
      </c>
      <c r="GS26" s="116"/>
      <c r="GT26" s="116"/>
      <c r="GZ26" s="116"/>
      <c r="HA26" s="116"/>
      <c r="HG26" s="116"/>
      <c r="HH26" s="116"/>
      <c r="HN26" s="116"/>
      <c r="HO26" s="116"/>
      <c r="HU26" s="116"/>
      <c r="HV26" s="116"/>
      <c r="IB26" s="116"/>
      <c r="IC26" s="116"/>
      <c r="II26" s="116"/>
      <c r="IJ26" s="116"/>
      <c r="IP26" s="116"/>
      <c r="IQ26" s="116"/>
    </row>
    <row r="27" spans="1:254">
      <c r="A27" s="79" t="s">
        <v>689</v>
      </c>
      <c r="E27" s="116"/>
      <c r="F27" s="116"/>
      <c r="L27" s="82"/>
      <c r="M27" s="82"/>
      <c r="S27" s="116"/>
      <c r="T27" s="116"/>
      <c r="Z27" s="116"/>
      <c r="AA27" s="116"/>
      <c r="AG27" s="116"/>
      <c r="AH27" s="116"/>
      <c r="AN27" s="116"/>
      <c r="AO27" s="116"/>
      <c r="AU27" s="116"/>
      <c r="AV27" s="116"/>
      <c r="BB27" s="116"/>
      <c r="BC27" s="116"/>
      <c r="BI27" s="116"/>
      <c r="BJ27" s="116"/>
      <c r="BP27" s="116"/>
      <c r="BQ27" s="116"/>
      <c r="BW27" s="116"/>
      <c r="BX27" s="116"/>
      <c r="CD27" s="116"/>
      <c r="CE27" s="116"/>
      <c r="CK27" s="116"/>
      <c r="CL27" s="116"/>
      <c r="CR27" s="116"/>
      <c r="CS27" s="116"/>
      <c r="CY27" s="116"/>
      <c r="CZ27" s="116"/>
      <c r="DF27" s="116"/>
      <c r="DG27" s="116"/>
      <c r="DM27" s="116"/>
      <c r="DN27" s="116"/>
      <c r="DT27" s="116"/>
      <c r="DU27" s="116"/>
      <c r="EA27" s="116"/>
      <c r="EB27" s="116"/>
      <c r="EG27" s="117"/>
      <c r="EH27" s="116"/>
      <c r="EI27" s="116"/>
      <c r="EJ27" s="117"/>
      <c r="EN27" s="117"/>
      <c r="EO27" s="116"/>
      <c r="EP27" s="116"/>
      <c r="EQ27" s="117"/>
      <c r="EV27" s="116"/>
      <c r="EW27" s="116"/>
      <c r="FC27" s="116"/>
      <c r="FD27" s="116"/>
      <c r="FJ27" s="116"/>
      <c r="FK27" s="116"/>
      <c r="FQ27" s="116"/>
      <c r="FR27" s="116"/>
      <c r="FX27" s="116"/>
      <c r="FY27" s="116"/>
      <c r="FZ27" s="97"/>
      <c r="GA27" s="97"/>
      <c r="GB27" s="97"/>
      <c r="GC27" s="97"/>
      <c r="GD27" s="118" t="s">
        <v>640</v>
      </c>
      <c r="GE27" s="116"/>
      <c r="GF27" s="116"/>
      <c r="GG27" s="118"/>
      <c r="GH27" s="118"/>
      <c r="GL27" s="116"/>
      <c r="GM27" s="116"/>
      <c r="GR27" s="87" t="s">
        <v>638</v>
      </c>
      <c r="GS27" s="116"/>
      <c r="GT27" s="116"/>
      <c r="GZ27" s="116"/>
      <c r="HA27" s="116"/>
      <c r="HG27" s="116"/>
      <c r="HH27" s="116"/>
      <c r="HN27" s="116"/>
      <c r="HO27" s="116"/>
      <c r="HU27" s="116"/>
      <c r="HV27" s="116"/>
      <c r="IB27" s="116"/>
      <c r="IC27" s="116"/>
      <c r="II27" s="116"/>
      <c r="IJ27" s="116"/>
      <c r="IP27" s="116"/>
      <c r="IQ27" s="116"/>
    </row>
    <row r="28" spans="1:254">
      <c r="A28" s="79" t="s">
        <v>690</v>
      </c>
      <c r="CY28" s="116"/>
      <c r="CZ28" s="116"/>
      <c r="DF28" s="116"/>
      <c r="DG28" s="116"/>
      <c r="DM28" s="116"/>
      <c r="DN28" s="116"/>
      <c r="DT28" s="116"/>
      <c r="DU28" s="116"/>
      <c r="EA28" s="116"/>
      <c r="EB28" s="116"/>
      <c r="EG28" s="117"/>
      <c r="EH28" s="116"/>
      <c r="EI28" s="116"/>
      <c r="EJ28" s="117"/>
      <c r="EN28" s="117"/>
      <c r="EO28" s="116"/>
      <c r="EP28" s="116"/>
      <c r="EQ28" s="117"/>
      <c r="EV28" s="116"/>
      <c r="EW28" s="116"/>
      <c r="FC28" s="116"/>
      <c r="FD28" s="116"/>
      <c r="FJ28" s="116"/>
      <c r="FK28" s="116"/>
      <c r="FL28" s="97"/>
      <c r="FM28" s="97"/>
      <c r="FN28" s="97"/>
      <c r="FO28" s="97"/>
      <c r="FP28" s="97"/>
      <c r="FQ28" s="116"/>
      <c r="FR28" s="116"/>
      <c r="FS28" s="97"/>
      <c r="FT28" s="97"/>
      <c r="FU28" s="97"/>
      <c r="FV28" s="97"/>
      <c r="FW28" s="97"/>
      <c r="FX28" s="116"/>
      <c r="FY28" s="116"/>
      <c r="FZ28" s="97"/>
      <c r="GA28" s="97"/>
      <c r="GB28" s="97"/>
      <c r="GC28" s="97"/>
      <c r="GD28" s="97"/>
      <c r="GE28" s="116"/>
      <c r="GF28" s="116"/>
      <c r="GG28" s="97"/>
      <c r="GH28" s="97"/>
      <c r="GI28" s="97"/>
      <c r="GJ28" s="97"/>
      <c r="GK28" s="97"/>
      <c r="GL28" s="116"/>
      <c r="GM28" s="116"/>
      <c r="GN28" s="97"/>
      <c r="GO28" s="97"/>
      <c r="GP28" s="97"/>
      <c r="GQ28" s="97"/>
      <c r="GR28" s="97"/>
      <c r="GS28" s="116"/>
      <c r="GT28" s="116"/>
      <c r="GU28" s="97"/>
      <c r="GV28" s="97"/>
      <c r="GW28" s="97"/>
      <c r="GX28" s="97"/>
      <c r="GY28" s="97"/>
      <c r="GZ28" s="116"/>
      <c r="HA28" s="116"/>
      <c r="HB28" s="97"/>
      <c r="HC28" s="97"/>
      <c r="HD28" s="97"/>
      <c r="HE28" s="97"/>
      <c r="HF28" s="97"/>
      <c r="HG28" s="116"/>
      <c r="HH28" s="116"/>
      <c r="HI28" s="97"/>
      <c r="HJ28" s="97"/>
      <c r="HK28" s="97"/>
      <c r="HL28" s="118" t="s">
        <v>640</v>
      </c>
      <c r="HM28" s="118"/>
      <c r="HN28" s="116"/>
      <c r="HO28" s="116"/>
      <c r="HP28" s="118"/>
      <c r="HQ28" s="118"/>
      <c r="HR28" s="118"/>
      <c r="HS28" s="118"/>
      <c r="HT28" s="118"/>
      <c r="HU28" s="116"/>
      <c r="HV28" s="116"/>
      <c r="HW28" s="118"/>
      <c r="HX28" s="118"/>
      <c r="HY28" s="118"/>
      <c r="HZ28" s="123"/>
      <c r="IA28" s="123"/>
      <c r="IB28" s="116"/>
      <c r="IC28" s="116"/>
      <c r="ID28" s="123"/>
      <c r="IE28" s="123"/>
      <c r="IF28" s="118"/>
      <c r="IG28" s="118"/>
      <c r="IH28" s="118"/>
      <c r="II28" s="116"/>
      <c r="IJ28" s="116"/>
      <c r="IK28" s="118"/>
      <c r="IL28" s="118"/>
      <c r="IM28" s="118"/>
      <c r="IN28" s="118"/>
      <c r="IO28" s="79" t="s">
        <v>691</v>
      </c>
      <c r="IP28" s="116"/>
      <c r="IQ28" s="116"/>
      <c r="IT28" s="124" t="s">
        <v>638</v>
      </c>
    </row>
    <row r="29" spans="1:254">
      <c r="A29" s="79" t="s">
        <v>692</v>
      </c>
      <c r="E29" s="116"/>
      <c r="F29" s="116"/>
      <c r="L29" s="82"/>
      <c r="M29" s="82"/>
      <c r="S29" s="116"/>
      <c r="T29" s="116"/>
      <c r="Z29" s="116"/>
      <c r="AA29" s="116"/>
      <c r="AG29" s="116"/>
      <c r="AH29" s="116"/>
      <c r="AN29" s="116"/>
      <c r="AO29" s="116"/>
      <c r="AU29" s="116"/>
      <c r="AV29" s="116"/>
      <c r="BB29" s="116"/>
      <c r="BC29" s="116"/>
      <c r="BI29" s="116"/>
      <c r="BJ29" s="116"/>
      <c r="BP29" s="116"/>
      <c r="BQ29" s="116"/>
      <c r="BW29" s="116"/>
      <c r="BX29" s="116"/>
      <c r="CD29" s="116"/>
      <c r="CE29" s="116"/>
      <c r="CK29" s="116"/>
      <c r="CL29" s="116"/>
      <c r="CR29" s="116"/>
      <c r="CS29" s="116"/>
      <c r="CY29" s="116"/>
      <c r="CZ29" s="116"/>
      <c r="DF29" s="116"/>
      <c r="DG29" s="116"/>
      <c r="DM29" s="116"/>
      <c r="DN29" s="116"/>
      <c r="DT29" s="116"/>
      <c r="DU29" s="116"/>
      <c r="EA29" s="116"/>
      <c r="EB29" s="116"/>
      <c r="EG29" s="117"/>
      <c r="EH29" s="116"/>
      <c r="EI29" s="116"/>
      <c r="EJ29" s="117"/>
      <c r="EN29" s="117"/>
      <c r="EO29" s="116"/>
      <c r="EP29" s="116"/>
      <c r="EQ29" s="117"/>
      <c r="EV29" s="116"/>
      <c r="EW29" s="116"/>
      <c r="FC29" s="116"/>
      <c r="FD29" s="116"/>
      <c r="FJ29" s="116"/>
      <c r="FK29" s="116"/>
      <c r="FQ29" s="116"/>
      <c r="FR29" s="116"/>
      <c r="FX29" s="116"/>
      <c r="FY29" s="116"/>
      <c r="GE29" s="116"/>
      <c r="GF29" s="116"/>
      <c r="GG29" s="97"/>
      <c r="GH29" s="97"/>
      <c r="GI29" s="97"/>
      <c r="GJ29" s="97"/>
      <c r="GK29" s="97"/>
      <c r="GL29" s="116"/>
      <c r="GM29" s="116"/>
      <c r="GN29" s="97"/>
      <c r="GO29" s="97"/>
      <c r="GP29" s="97"/>
      <c r="GQ29" s="97"/>
      <c r="GR29" s="97"/>
      <c r="GS29" s="116"/>
      <c r="GT29" s="116"/>
      <c r="GU29" s="97"/>
      <c r="GV29" s="97"/>
      <c r="GW29" s="97"/>
      <c r="GX29" s="97"/>
      <c r="GY29" s="97"/>
      <c r="GZ29" s="116"/>
      <c r="HA29" s="116"/>
      <c r="HB29" s="97"/>
      <c r="HC29" s="97"/>
      <c r="HD29" s="97"/>
      <c r="HE29" s="97"/>
      <c r="HF29" s="97"/>
      <c r="HG29" s="116"/>
      <c r="HH29" s="116"/>
      <c r="HI29" s="97"/>
      <c r="HJ29" s="97"/>
      <c r="HK29" s="97"/>
      <c r="HL29" s="118" t="s">
        <v>640</v>
      </c>
      <c r="HM29" s="118"/>
      <c r="HN29" s="116"/>
      <c r="HO29" s="116"/>
      <c r="HP29" s="118"/>
      <c r="HQ29" s="118"/>
      <c r="HR29" s="118"/>
      <c r="HS29" s="118"/>
      <c r="HT29" s="118"/>
      <c r="HU29" s="116"/>
      <c r="HV29" s="116"/>
      <c r="HW29" s="118"/>
      <c r="HX29" s="118"/>
      <c r="HY29" s="118"/>
      <c r="HZ29" s="123"/>
      <c r="IA29" s="123"/>
      <c r="IB29" s="116"/>
      <c r="IC29" s="116"/>
      <c r="ID29" s="123"/>
      <c r="IE29" s="123"/>
      <c r="IF29" s="118"/>
      <c r="IG29" s="118"/>
      <c r="IH29" s="118"/>
      <c r="II29" s="116"/>
      <c r="IJ29" s="116"/>
      <c r="IK29" s="118"/>
      <c r="IL29" s="118"/>
      <c r="IM29" s="118"/>
      <c r="IN29" s="118"/>
      <c r="IO29" s="79" t="s">
        <v>691</v>
      </c>
      <c r="IP29" s="116"/>
      <c r="IQ29" s="116"/>
      <c r="IT29" s="124" t="s">
        <v>638</v>
      </c>
    </row>
    <row r="30" spans="1:254">
      <c r="A30" s="79" t="s">
        <v>693</v>
      </c>
      <c r="E30" s="116"/>
      <c r="F30" s="116"/>
      <c r="L30" s="82"/>
      <c r="M30" s="82"/>
      <c r="S30" s="116"/>
      <c r="T30" s="116"/>
      <c r="Z30" s="116"/>
      <c r="AA30" s="116"/>
      <c r="AG30" s="116"/>
      <c r="AH30" s="116"/>
      <c r="AN30" s="116"/>
      <c r="AO30" s="116"/>
      <c r="AU30" s="116"/>
      <c r="AV30" s="116"/>
      <c r="BB30" s="116"/>
      <c r="BC30" s="116"/>
      <c r="BI30" s="116"/>
      <c r="BJ30" s="116"/>
      <c r="BP30" s="116"/>
      <c r="BQ30" s="116"/>
      <c r="BW30" s="116"/>
      <c r="BX30" s="116"/>
      <c r="CD30" s="116"/>
      <c r="CE30" s="116"/>
      <c r="CK30" s="116"/>
      <c r="CL30" s="116"/>
      <c r="CR30" s="116"/>
      <c r="CS30" s="116"/>
      <c r="CY30" s="116"/>
      <c r="CZ30" s="116"/>
      <c r="DF30" s="116"/>
      <c r="DG30" s="116"/>
      <c r="DM30" s="116"/>
      <c r="DN30" s="116"/>
      <c r="DT30" s="116"/>
      <c r="DU30" s="116"/>
      <c r="EA30" s="116"/>
      <c r="EB30" s="116"/>
      <c r="EG30" s="117"/>
      <c r="EH30" s="116"/>
      <c r="EI30" s="116"/>
      <c r="EJ30" s="117"/>
      <c r="EN30" s="117"/>
      <c r="EO30" s="116"/>
      <c r="EP30" s="116"/>
      <c r="EQ30" s="117"/>
      <c r="EV30" s="116"/>
      <c r="EW30" s="116"/>
      <c r="FC30" s="116"/>
      <c r="FD30" s="116"/>
      <c r="FJ30" s="116"/>
      <c r="FK30" s="116"/>
      <c r="FQ30" s="116"/>
      <c r="FR30" s="116"/>
      <c r="FX30" s="116"/>
      <c r="FY30" s="116"/>
      <c r="GE30" s="116"/>
      <c r="GF30" s="116"/>
      <c r="GL30" s="116"/>
      <c r="GM30" s="116"/>
      <c r="GS30" s="116"/>
      <c r="GT30" s="116"/>
      <c r="GZ30" s="116"/>
      <c r="HA30" s="116"/>
      <c r="HG30" s="116"/>
      <c r="HH30" s="116"/>
      <c r="HN30" s="116"/>
      <c r="HO30" s="116"/>
      <c r="HU30" s="116"/>
      <c r="HV30" s="116"/>
      <c r="IB30" s="116"/>
      <c r="IC30" s="116"/>
      <c r="II30" s="116"/>
      <c r="IJ30" s="116"/>
      <c r="IP30" s="116"/>
      <c r="IQ30" s="116"/>
    </row>
    <row r="31" spans="1:254">
      <c r="A31" s="79" t="s">
        <v>694</v>
      </c>
      <c r="E31" s="116"/>
      <c r="F31" s="116"/>
      <c r="L31" s="82"/>
      <c r="M31" s="82"/>
      <c r="S31" s="116"/>
      <c r="T31" s="116"/>
      <c r="Z31" s="116"/>
      <c r="AA31" s="116"/>
      <c r="AG31" s="116"/>
      <c r="AH31" s="116"/>
      <c r="AN31" s="116"/>
      <c r="AO31" s="116"/>
      <c r="AU31" s="116"/>
      <c r="AV31" s="116"/>
      <c r="BB31" s="116"/>
      <c r="BC31" s="116"/>
      <c r="BI31" s="116"/>
      <c r="BJ31" s="116"/>
      <c r="BP31" s="116"/>
      <c r="BQ31" s="116"/>
      <c r="BW31" s="116"/>
      <c r="BX31" s="116"/>
      <c r="CD31" s="116"/>
      <c r="CE31" s="116"/>
      <c r="CK31" s="116"/>
      <c r="CL31" s="116"/>
      <c r="CR31" s="116"/>
      <c r="CS31" s="116"/>
      <c r="CY31" s="116"/>
      <c r="CZ31" s="116"/>
      <c r="DF31" s="116"/>
      <c r="DG31" s="116"/>
      <c r="DM31" s="116"/>
      <c r="DN31" s="116"/>
      <c r="DT31" s="116"/>
      <c r="DU31" s="116"/>
      <c r="EA31" s="116"/>
      <c r="EB31" s="116"/>
      <c r="EG31" s="117"/>
      <c r="EH31" s="116"/>
      <c r="EI31" s="116"/>
      <c r="EJ31" s="117"/>
      <c r="EN31" s="117"/>
      <c r="EO31" s="116"/>
      <c r="EP31" s="116"/>
      <c r="EQ31" s="117"/>
      <c r="EV31" s="116"/>
      <c r="EW31" s="116"/>
      <c r="FC31" s="116"/>
      <c r="FD31" s="116"/>
      <c r="FJ31" s="116"/>
      <c r="FK31" s="116"/>
      <c r="FQ31" s="116"/>
      <c r="FR31" s="116"/>
      <c r="FX31" s="116"/>
      <c r="FY31" s="116"/>
      <c r="GE31" s="116"/>
      <c r="GF31" s="116"/>
      <c r="GL31" s="116"/>
      <c r="GM31" s="116"/>
      <c r="GS31" s="116"/>
      <c r="GT31" s="116"/>
      <c r="GZ31" s="116"/>
      <c r="HA31" s="116"/>
      <c r="HG31" s="116"/>
      <c r="HH31" s="116"/>
      <c r="HI31" s="79" t="s">
        <v>695</v>
      </c>
      <c r="HN31" s="116"/>
      <c r="HO31" s="116"/>
      <c r="HU31" s="116"/>
      <c r="HV31" s="116"/>
      <c r="IB31" s="116"/>
      <c r="IC31" s="116"/>
      <c r="ID31" s="79"/>
      <c r="II31" s="116"/>
      <c r="IJ31" s="116"/>
      <c r="IP31" s="116"/>
      <c r="IQ31" s="116"/>
    </row>
    <row r="32" spans="1:254"/>
    <row r="33" spans="1:240">
      <c r="A33" s="79" t="s">
        <v>696</v>
      </c>
      <c r="E33" s="116"/>
      <c r="F33" s="116"/>
      <c r="L33" s="82"/>
      <c r="M33" s="82"/>
      <c r="S33" s="116"/>
      <c r="T33" s="116"/>
      <c r="Z33" s="116"/>
      <c r="AA33" s="116"/>
      <c r="AG33" s="116"/>
      <c r="AH33" s="116"/>
      <c r="AN33" s="116"/>
      <c r="AO33" s="116"/>
      <c r="AU33" s="116"/>
      <c r="AV33" s="116"/>
      <c r="BB33" s="116"/>
      <c r="BC33" s="116"/>
      <c r="BI33" s="116"/>
      <c r="BJ33" s="116"/>
      <c r="BP33" s="116"/>
      <c r="BQ33" s="116"/>
      <c r="BW33" s="116"/>
      <c r="BX33" s="116"/>
      <c r="CD33" s="116"/>
      <c r="CE33" s="116"/>
      <c r="CK33" s="116"/>
      <c r="CL33" s="116"/>
      <c r="CR33" s="116"/>
      <c r="CS33" s="116"/>
      <c r="CY33" s="116"/>
      <c r="CZ33" s="116"/>
      <c r="DF33" s="116"/>
      <c r="DG33" s="116"/>
      <c r="DM33" s="116"/>
      <c r="DN33" s="116"/>
      <c r="DT33" s="116"/>
      <c r="DU33" s="116"/>
      <c r="EA33" s="116"/>
      <c r="EB33" s="116"/>
      <c r="EG33" s="117"/>
      <c r="EH33" s="116"/>
      <c r="EI33" s="116"/>
      <c r="EJ33" s="117"/>
      <c r="EN33" s="117"/>
      <c r="EO33" s="116"/>
      <c r="EP33" s="116"/>
      <c r="EQ33" s="117"/>
      <c r="EV33" s="116"/>
      <c r="EW33" s="116"/>
      <c r="FC33" s="116"/>
      <c r="FD33" s="116"/>
      <c r="FJ33" s="116"/>
      <c r="FK33" s="116"/>
      <c r="FQ33" s="116"/>
      <c r="FR33" s="116"/>
      <c r="FX33" s="116"/>
      <c r="FY33" s="116"/>
      <c r="GE33" s="116"/>
      <c r="GF33" s="116"/>
      <c r="GL33" s="116"/>
      <c r="GM33" s="116"/>
      <c r="GS33" s="116"/>
      <c r="GT33" s="116"/>
      <c r="GZ33" s="116"/>
      <c r="HA33" s="116"/>
      <c r="HG33" s="116"/>
      <c r="HH33" s="116"/>
      <c r="HN33" s="116"/>
      <c r="HO33" s="116"/>
      <c r="HU33" s="116"/>
      <c r="HV33" s="116"/>
      <c r="IB33" s="116"/>
      <c r="IC33" s="116"/>
      <c r="IF33" s="124" t="s">
        <v>697</v>
      </c>
    </row>
    <row r="34" spans="1:240">
      <c r="A34" s="79" t="s">
        <v>698</v>
      </c>
      <c r="E34" s="116"/>
      <c r="F34" s="116"/>
      <c r="L34" s="82"/>
      <c r="M34" s="82"/>
      <c r="S34" s="116"/>
      <c r="T34" s="116"/>
      <c r="Z34" s="116"/>
      <c r="AA34" s="116"/>
      <c r="AG34" s="116"/>
      <c r="AH34" s="116"/>
      <c r="AN34" s="116"/>
      <c r="AO34" s="116"/>
      <c r="AU34" s="116"/>
      <c r="AV34" s="116"/>
      <c r="BB34" s="116"/>
      <c r="BC34" s="116"/>
      <c r="BI34" s="116"/>
      <c r="BJ34" s="116"/>
      <c r="BP34" s="116"/>
      <c r="BQ34" s="116"/>
      <c r="BW34" s="116"/>
      <c r="BX34" s="116"/>
      <c r="CD34" s="116"/>
      <c r="CE34" s="116"/>
      <c r="CK34" s="116"/>
      <c r="CL34" s="116"/>
      <c r="CR34" s="116"/>
      <c r="CS34" s="116"/>
      <c r="CY34" s="116"/>
      <c r="CZ34" s="116"/>
      <c r="DF34" s="116"/>
      <c r="DG34" s="116"/>
      <c r="DM34" s="116"/>
      <c r="DN34" s="116"/>
      <c r="DT34" s="116"/>
      <c r="DU34" s="116"/>
      <c r="EA34" s="116"/>
      <c r="EB34" s="116"/>
      <c r="EG34" s="117"/>
      <c r="EH34" s="116"/>
      <c r="EI34" s="116"/>
      <c r="EJ34" s="117"/>
      <c r="EN34" s="117"/>
      <c r="EO34" s="116"/>
      <c r="EP34" s="116"/>
      <c r="EQ34" s="117"/>
      <c r="EV34" s="116"/>
      <c r="EW34" s="116"/>
      <c r="FC34" s="116"/>
      <c r="FD34" s="116"/>
      <c r="FJ34" s="116"/>
      <c r="FK34" s="116"/>
      <c r="FQ34" s="116"/>
      <c r="FR34" s="116"/>
      <c r="FX34" s="116"/>
      <c r="FY34" s="116"/>
      <c r="GE34" s="116"/>
      <c r="GF34" s="116"/>
      <c r="GL34" s="116"/>
      <c r="GM34" s="116"/>
      <c r="GS34" s="116"/>
      <c r="GT34" s="116"/>
      <c r="GZ34" s="116"/>
      <c r="HA34" s="116"/>
      <c r="HG34" s="116"/>
      <c r="HH34" s="116"/>
      <c r="HN34" s="116"/>
      <c r="HO34" s="116"/>
      <c r="HU34" s="116"/>
      <c r="HV34" s="116"/>
      <c r="IB34" s="116"/>
      <c r="IC34" s="116"/>
      <c r="IF34" s="124" t="s">
        <v>699</v>
      </c>
    </row>
    <row r="35" spans="1:240">
      <c r="A35" s="88" t="s">
        <v>700</v>
      </c>
      <c r="E35" s="116"/>
      <c r="F35" s="116"/>
      <c r="L35" s="82"/>
      <c r="M35" s="82"/>
      <c r="N35" s="97" t="s">
        <v>663</v>
      </c>
      <c r="O35" s="97"/>
      <c r="P35" s="97"/>
      <c r="Q35" s="97"/>
      <c r="R35" s="97"/>
      <c r="S35" s="116"/>
      <c r="T35" s="116"/>
      <c r="U35" s="97"/>
      <c r="V35" s="97"/>
      <c r="W35" s="97"/>
      <c r="X35" s="97"/>
      <c r="Y35" s="97"/>
      <c r="Z35" s="116"/>
      <c r="AA35" s="116"/>
      <c r="AB35" s="97"/>
      <c r="AC35" s="97"/>
      <c r="AD35" s="97"/>
      <c r="AE35" s="97"/>
      <c r="AF35" s="97"/>
      <c r="AG35" s="116"/>
      <c r="AH35" s="116"/>
      <c r="AI35" s="97"/>
      <c r="AJ35" s="97"/>
      <c r="AK35" s="97"/>
      <c r="AL35" s="97"/>
      <c r="AN35" s="116"/>
      <c r="AO35" s="116"/>
      <c r="AU35" s="116"/>
      <c r="AV35" s="116"/>
      <c r="BB35" s="116"/>
      <c r="BC35" s="116"/>
      <c r="BI35" s="116"/>
      <c r="BJ35" s="116"/>
      <c r="BP35" s="116"/>
      <c r="BQ35" s="116"/>
      <c r="BW35" s="116"/>
      <c r="BX35" s="116"/>
      <c r="CD35" s="116"/>
      <c r="CE35" s="116"/>
      <c r="CK35" s="116"/>
      <c r="CL35" s="116"/>
      <c r="CR35" s="116"/>
      <c r="CS35" s="116"/>
      <c r="CY35" s="116"/>
      <c r="CZ35" s="116"/>
      <c r="DF35" s="116"/>
      <c r="DG35" s="116"/>
      <c r="DM35" s="116"/>
      <c r="DN35" s="116"/>
      <c r="DT35" s="116"/>
      <c r="DU35" s="116"/>
      <c r="EA35" s="116"/>
      <c r="EB35" s="116"/>
      <c r="EG35" s="117"/>
      <c r="EH35" s="116"/>
      <c r="EI35" s="116"/>
      <c r="EJ35" s="117"/>
      <c r="EN35" s="117"/>
      <c r="EO35" s="116"/>
      <c r="EP35" s="116"/>
      <c r="EQ35" s="117"/>
      <c r="EV35" s="116"/>
      <c r="EW35" s="116"/>
      <c r="FC35" s="116"/>
      <c r="FD35" s="116"/>
      <c r="FJ35" s="116"/>
      <c r="FK35" s="116"/>
      <c r="FQ35" s="116"/>
      <c r="FR35" s="116"/>
      <c r="FX35" s="116"/>
      <c r="FY35" s="116"/>
      <c r="GE35" s="116"/>
      <c r="GF35" s="116"/>
      <c r="GL35" s="116"/>
      <c r="GM35" s="116"/>
      <c r="GS35" s="116"/>
      <c r="GT35" s="116"/>
      <c r="GZ35" s="116"/>
      <c r="HA35" s="116"/>
      <c r="HG35" s="116"/>
      <c r="HH35" s="116"/>
      <c r="HN35" s="116"/>
      <c r="HO35" s="116"/>
      <c r="HU35" s="116"/>
      <c r="HV35" s="116"/>
      <c r="IB35" s="116"/>
      <c r="IC35" s="116"/>
    </row>
    <row r="36" spans="1:240">
      <c r="A36" s="125"/>
      <c r="CY36" s="116"/>
      <c r="CZ36" s="116"/>
      <c r="DF36" s="116"/>
      <c r="DG36" s="116"/>
      <c r="DM36" s="116"/>
      <c r="DN36" s="116"/>
      <c r="DT36" s="116"/>
      <c r="DU36" s="116"/>
      <c r="EA36" s="116"/>
      <c r="EB36" s="116"/>
      <c r="EG36" s="117"/>
      <c r="EH36" s="116"/>
      <c r="EI36" s="116"/>
      <c r="EJ36" s="117"/>
      <c r="EN36" s="117"/>
      <c r="EO36" s="116"/>
      <c r="EP36" s="116"/>
      <c r="EQ36" s="117"/>
      <c r="EV36" s="116"/>
      <c r="EW36" s="116"/>
      <c r="FC36" s="116"/>
      <c r="FD36" s="116"/>
      <c r="FJ36" s="116"/>
      <c r="FK36" s="116"/>
      <c r="FQ36" s="116"/>
      <c r="FR36" s="116"/>
      <c r="FX36" s="116"/>
      <c r="FY36" s="116"/>
      <c r="GE36" s="116"/>
      <c r="GF36" s="116"/>
      <c r="GL36" s="116"/>
      <c r="GM36" s="116"/>
      <c r="GS36" s="116"/>
      <c r="GT36" s="116"/>
      <c r="GZ36" s="116"/>
      <c r="HA36" s="116"/>
      <c r="HG36" s="116"/>
      <c r="HH36" s="116"/>
      <c r="HN36" s="116"/>
      <c r="HO36" s="116"/>
      <c r="HU36" s="116"/>
      <c r="HV36" s="116"/>
      <c r="IB36" s="116"/>
      <c r="IC36" s="116"/>
    </row>
    <row r="37" spans="1:240">
      <c r="A37" s="125" t="s">
        <v>701</v>
      </c>
      <c r="CY37" s="116"/>
      <c r="CZ37" s="116"/>
      <c r="DF37" s="116"/>
      <c r="DG37" s="116"/>
      <c r="DM37" s="116"/>
      <c r="DN37" s="116"/>
      <c r="DT37" s="116"/>
      <c r="DU37" s="116"/>
      <c r="EA37" s="116"/>
      <c r="EB37" s="116"/>
      <c r="EG37" s="117"/>
      <c r="EH37" s="116"/>
      <c r="EI37" s="116"/>
      <c r="EJ37" s="117"/>
      <c r="EN37" s="117"/>
      <c r="EO37" s="116"/>
      <c r="EP37" s="116"/>
      <c r="EQ37" s="117"/>
      <c r="EV37" s="116"/>
      <c r="EW37" s="116"/>
      <c r="FC37" s="116"/>
      <c r="FD37" s="116"/>
      <c r="FJ37" s="116"/>
      <c r="FK37" s="116"/>
      <c r="FQ37" s="116"/>
      <c r="FR37" s="116"/>
      <c r="FX37" s="116"/>
      <c r="FY37" s="116"/>
      <c r="GE37" s="116"/>
      <c r="GF37" s="116"/>
      <c r="GL37" s="116"/>
      <c r="GM37" s="116"/>
      <c r="GS37" s="116"/>
      <c r="GT37" s="116"/>
      <c r="GZ37" s="116"/>
      <c r="HA37" s="116"/>
      <c r="HG37" s="116"/>
      <c r="HH37" s="116"/>
      <c r="HN37" s="116"/>
      <c r="HO37" s="116"/>
      <c r="HU37" s="116"/>
      <c r="HV37" s="116"/>
      <c r="IB37" s="116"/>
      <c r="IC37" s="116"/>
    </row>
    <row r="38" spans="1:240">
      <c r="A38" s="79" t="s">
        <v>702</v>
      </c>
      <c r="CY38" s="116"/>
      <c r="CZ38" s="116"/>
      <c r="DF38" s="116"/>
      <c r="DG38" s="116"/>
      <c r="DM38" s="116"/>
      <c r="DN38" s="116"/>
      <c r="DT38" s="116"/>
      <c r="DU38" s="116"/>
      <c r="EA38" s="116"/>
      <c r="EB38" s="116"/>
      <c r="EG38" s="117"/>
      <c r="EH38" s="116"/>
      <c r="EI38" s="116"/>
      <c r="EJ38" s="117"/>
      <c r="EN38" s="117"/>
      <c r="EO38" s="116"/>
      <c r="EP38" s="116"/>
      <c r="EQ38" s="117"/>
      <c r="EV38" s="116"/>
      <c r="EW38" s="116"/>
      <c r="FC38" s="116"/>
      <c r="FD38" s="116"/>
      <c r="FJ38" s="116"/>
      <c r="FK38" s="116"/>
      <c r="FQ38" s="116"/>
      <c r="FR38" s="116"/>
      <c r="FX38" s="116"/>
      <c r="FY38" s="116"/>
      <c r="GE38" s="116"/>
      <c r="GF38" s="116"/>
      <c r="GL38" s="116"/>
      <c r="GM38" s="116"/>
      <c r="GS38" s="116"/>
      <c r="GT38" s="116"/>
      <c r="GZ38" s="116"/>
      <c r="HA38" s="116"/>
      <c r="HG38" s="116"/>
      <c r="HH38" s="116"/>
      <c r="HN38" s="116"/>
      <c r="HO38" s="116"/>
      <c r="HU38" s="116"/>
      <c r="HV38" s="116"/>
      <c r="IB38" s="116"/>
      <c r="IC38" s="116"/>
    </row>
    <row r="39" spans="1:240">
      <c r="A39" s="79"/>
      <c r="CY39" s="116"/>
      <c r="CZ39" s="116"/>
      <c r="DF39" s="116"/>
      <c r="DG39" s="116"/>
      <c r="DM39" s="116"/>
      <c r="DN39" s="116"/>
      <c r="DT39" s="116"/>
      <c r="DU39" s="116"/>
      <c r="EA39" s="116"/>
      <c r="EB39" s="116"/>
      <c r="EG39" s="117"/>
      <c r="EH39" s="116"/>
      <c r="EI39" s="116"/>
      <c r="EJ39" s="117"/>
      <c r="EN39" s="117"/>
      <c r="EO39" s="116"/>
      <c r="EP39" s="116"/>
      <c r="EQ39" s="117"/>
      <c r="EV39" s="116"/>
      <c r="EW39" s="116"/>
      <c r="FC39" s="116"/>
      <c r="FD39" s="116"/>
      <c r="FJ39" s="116"/>
      <c r="FK39" s="116"/>
      <c r="FQ39" s="116"/>
      <c r="FR39" s="116"/>
      <c r="FX39" s="116"/>
      <c r="FY39" s="116"/>
      <c r="GE39" s="116"/>
      <c r="GF39" s="116"/>
      <c r="GL39" s="116"/>
      <c r="GM39" s="116"/>
      <c r="GS39" s="116"/>
      <c r="GT39" s="116"/>
      <c r="GZ39" s="116"/>
      <c r="HA39" s="116"/>
      <c r="HG39" s="116"/>
      <c r="HH39" s="116"/>
      <c r="HN39" s="116"/>
      <c r="HO39" s="116"/>
      <c r="HU39" s="116"/>
      <c r="HV39" s="116"/>
      <c r="IB39" s="116"/>
      <c r="IC39" s="116"/>
    </row>
    <row r="40" spans="1:240">
      <c r="A40" s="79" t="s">
        <v>703</v>
      </c>
      <c r="CY40" s="116"/>
      <c r="CZ40" s="116"/>
      <c r="DF40" s="116"/>
      <c r="DG40" s="116"/>
      <c r="DM40" s="116"/>
      <c r="DN40" s="116"/>
      <c r="DT40" s="116"/>
      <c r="DU40" s="116"/>
      <c r="EA40" s="116"/>
      <c r="EB40" s="116"/>
      <c r="EG40" s="117"/>
      <c r="EH40" s="116"/>
      <c r="EI40" s="116"/>
      <c r="EJ40" s="117"/>
      <c r="EN40" s="117"/>
      <c r="EO40" s="116"/>
      <c r="EP40" s="116"/>
      <c r="EQ40" s="117"/>
      <c r="EV40" s="116"/>
      <c r="EW40" s="116"/>
      <c r="FC40" s="116"/>
      <c r="FD40" s="116"/>
      <c r="FJ40" s="116"/>
      <c r="FK40" s="116"/>
      <c r="FQ40" s="116"/>
      <c r="FR40" s="116"/>
      <c r="FX40" s="116"/>
      <c r="FY40" s="116"/>
      <c r="GE40" s="116"/>
      <c r="GF40" s="116"/>
      <c r="GL40" s="116"/>
      <c r="GM40" s="116"/>
      <c r="GS40" s="116"/>
      <c r="GT40" s="116"/>
      <c r="GZ40" s="116"/>
      <c r="HA40" s="116"/>
      <c r="HG40" s="116"/>
      <c r="HH40" s="116"/>
      <c r="HN40" s="116"/>
      <c r="HO40" s="116"/>
      <c r="HU40" s="116"/>
      <c r="HV40" s="116"/>
      <c r="IB40" s="116"/>
      <c r="IC40" s="116"/>
    </row>
    <row r="41" spans="1:240">
      <c r="A41" s="79"/>
      <c r="CY41" s="116"/>
      <c r="CZ41" s="116"/>
      <c r="DF41" s="116"/>
      <c r="DG41" s="116"/>
      <c r="DM41" s="116"/>
      <c r="DN41" s="116"/>
      <c r="DT41" s="116"/>
      <c r="DU41" s="116"/>
      <c r="EA41" s="116"/>
      <c r="EB41" s="116"/>
      <c r="EG41" s="117"/>
      <c r="EH41" s="116"/>
      <c r="EI41" s="116"/>
      <c r="EJ41" s="117"/>
      <c r="EN41" s="117"/>
      <c r="EO41" s="116"/>
      <c r="EP41" s="116"/>
      <c r="EQ41" s="117"/>
      <c r="EV41" s="116"/>
      <c r="EW41" s="116"/>
      <c r="FC41" s="116"/>
      <c r="FD41" s="116"/>
      <c r="FJ41" s="116"/>
      <c r="FK41" s="116"/>
      <c r="FQ41" s="116"/>
      <c r="FR41" s="116"/>
      <c r="FX41" s="116"/>
      <c r="FY41" s="116"/>
      <c r="GE41" s="116"/>
      <c r="GF41" s="116"/>
      <c r="GL41" s="116"/>
      <c r="GM41" s="116"/>
      <c r="GS41" s="116"/>
      <c r="GT41" s="116"/>
      <c r="GZ41" s="116"/>
      <c r="HA41" s="116"/>
      <c r="HG41" s="116"/>
      <c r="HH41" s="116"/>
      <c r="HN41" s="116"/>
      <c r="HO41" s="116"/>
      <c r="HU41" s="116"/>
      <c r="HV41" s="116"/>
      <c r="IB41" s="116"/>
      <c r="IC41" s="116"/>
    </row>
    <row r="42" spans="1:240">
      <c r="A42" s="79" t="s">
        <v>704</v>
      </c>
      <c r="CY42" s="116"/>
      <c r="CZ42" s="116"/>
      <c r="DF42" s="116"/>
      <c r="DG42" s="116"/>
      <c r="DM42" s="116"/>
      <c r="DN42" s="116"/>
      <c r="DT42" s="116"/>
      <c r="DU42" s="116"/>
      <c r="EA42" s="116"/>
      <c r="EB42" s="116"/>
      <c r="EG42" s="117"/>
      <c r="EH42" s="116"/>
      <c r="EI42" s="116"/>
      <c r="EJ42" s="117"/>
      <c r="EN42" s="117"/>
      <c r="EO42" s="116"/>
      <c r="EP42" s="116"/>
      <c r="EQ42" s="117"/>
      <c r="EV42" s="116"/>
      <c r="EW42" s="116"/>
      <c r="FC42" s="116"/>
      <c r="FD42" s="116"/>
      <c r="FJ42" s="116"/>
      <c r="FK42" s="116"/>
      <c r="FQ42" s="116"/>
      <c r="FR42" s="116"/>
      <c r="FX42" s="116"/>
      <c r="FY42" s="116"/>
      <c r="GE42" s="116"/>
      <c r="GF42" s="116"/>
      <c r="GL42" s="116"/>
      <c r="GM42" s="116"/>
      <c r="GS42" s="116"/>
      <c r="GT42" s="116"/>
      <c r="GZ42" s="116"/>
      <c r="HA42" s="116"/>
      <c r="HG42" s="116"/>
      <c r="HH42" s="116"/>
      <c r="HN42" s="116"/>
      <c r="HO42" s="116"/>
      <c r="HU42" s="116"/>
      <c r="HV42" s="116"/>
      <c r="IB42" s="116"/>
      <c r="IC42" s="116"/>
    </row>
    <row r="43" spans="1:240">
      <c r="CY43" s="116"/>
      <c r="CZ43" s="116"/>
      <c r="DF43" s="116"/>
      <c r="DG43" s="116"/>
      <c r="DM43" s="116"/>
      <c r="DN43" s="116"/>
      <c r="DT43" s="116"/>
      <c r="DU43" s="116"/>
      <c r="EA43" s="116"/>
      <c r="EB43" s="116"/>
      <c r="EG43" s="117"/>
      <c r="EH43" s="116"/>
      <c r="EI43" s="116"/>
      <c r="EJ43" s="117"/>
      <c r="EN43" s="117"/>
      <c r="EO43" s="116"/>
      <c r="EP43" s="116"/>
      <c r="EQ43" s="117"/>
      <c r="EV43" s="116"/>
      <c r="EW43" s="116"/>
      <c r="FC43" s="116"/>
      <c r="FD43" s="116"/>
      <c r="FJ43" s="116"/>
      <c r="FK43" s="116"/>
      <c r="FQ43" s="116"/>
      <c r="FR43" s="116"/>
      <c r="FX43" s="116"/>
      <c r="FY43" s="116"/>
      <c r="GE43" s="116"/>
      <c r="GF43" s="116"/>
      <c r="GL43" s="116"/>
      <c r="GM43" s="116"/>
      <c r="GS43" s="116"/>
      <c r="GT43" s="116"/>
      <c r="GZ43" s="116"/>
      <c r="HA43" s="116"/>
      <c r="HG43" s="116"/>
      <c r="HH43" s="116"/>
      <c r="HN43" s="116"/>
      <c r="HO43" s="116"/>
      <c r="HU43" s="116"/>
      <c r="HV43" s="116"/>
      <c r="IB43" s="116"/>
      <c r="IC43" s="116"/>
    </row>
    <row r="44" spans="1:240">
      <c r="A44" s="79" t="s">
        <v>705</v>
      </c>
      <c r="CY44" s="116"/>
      <c r="CZ44" s="116"/>
      <c r="DF44" s="116"/>
      <c r="DG44" s="116"/>
      <c r="DM44" s="116"/>
      <c r="DN44" s="116"/>
      <c r="DT44" s="116"/>
      <c r="DU44" s="116"/>
      <c r="EA44" s="116"/>
      <c r="EB44" s="116"/>
      <c r="EG44" s="117"/>
      <c r="EH44" s="116"/>
      <c r="EI44" s="116"/>
      <c r="EJ44" s="117"/>
      <c r="EN44" s="117"/>
      <c r="EO44" s="116"/>
      <c r="EP44" s="116"/>
      <c r="EQ44" s="117"/>
      <c r="EV44" s="116"/>
      <c r="EW44" s="116"/>
      <c r="FC44" s="116"/>
      <c r="FD44" s="116"/>
      <c r="FJ44" s="116"/>
      <c r="FK44" s="116"/>
      <c r="FQ44" s="116"/>
      <c r="FR44" s="116"/>
      <c r="FX44" s="116"/>
      <c r="FY44" s="116"/>
      <c r="GE44" s="116"/>
      <c r="GF44" s="116"/>
      <c r="GL44" s="116"/>
      <c r="GM44" s="116"/>
      <c r="GS44" s="116"/>
      <c r="GT44" s="116"/>
      <c r="GZ44" s="116"/>
      <c r="HA44" s="116"/>
      <c r="HG44" s="116"/>
      <c r="HH44" s="116"/>
      <c r="HN44" s="116"/>
      <c r="HO44" s="116"/>
      <c r="HU44" s="116"/>
      <c r="HV44" s="116"/>
      <c r="IB44" s="116"/>
      <c r="IC44" s="116"/>
    </row>
    <row r="45" spans="1:240">
      <c r="A45" s="79" t="s">
        <v>706</v>
      </c>
      <c r="CY45" s="116"/>
      <c r="CZ45" s="116"/>
      <c r="DF45" s="116"/>
      <c r="DG45" s="116"/>
      <c r="DM45" s="116"/>
      <c r="DN45" s="116"/>
      <c r="DT45" s="116"/>
      <c r="DU45" s="116"/>
      <c r="EA45" s="116"/>
      <c r="EB45" s="116"/>
      <c r="EG45" s="117"/>
      <c r="EH45" s="116"/>
      <c r="EI45" s="116"/>
      <c r="EJ45" s="117"/>
      <c r="EN45" s="117"/>
      <c r="EO45" s="116"/>
      <c r="EP45" s="116"/>
      <c r="EQ45" s="117"/>
      <c r="EV45" s="116"/>
      <c r="EW45" s="116"/>
      <c r="FC45" s="116"/>
      <c r="FD45" s="116"/>
      <c r="FJ45" s="116"/>
      <c r="FK45" s="116"/>
      <c r="FQ45" s="116"/>
      <c r="FR45" s="116"/>
      <c r="FX45" s="116"/>
      <c r="FY45" s="116"/>
      <c r="GE45" s="116"/>
      <c r="GF45" s="116"/>
      <c r="GL45" s="116"/>
      <c r="GM45" s="116"/>
      <c r="GS45" s="116"/>
      <c r="GT45" s="116"/>
      <c r="GZ45" s="116"/>
      <c r="HA45" s="116"/>
      <c r="HG45" s="116"/>
      <c r="HH45" s="116"/>
      <c r="HN45" s="116"/>
      <c r="HO45" s="116"/>
      <c r="HU45" s="116"/>
      <c r="HV45" s="116"/>
      <c r="IB45" s="116"/>
      <c r="IC45" s="116"/>
    </row>
    <row r="46" spans="1:240">
      <c r="A46" s="79" t="s">
        <v>707</v>
      </c>
      <c r="CY46" s="116"/>
      <c r="CZ46" s="116"/>
      <c r="DF46" s="116"/>
      <c r="DG46" s="116"/>
      <c r="DM46" s="116"/>
      <c r="DN46" s="116"/>
      <c r="DT46" s="116"/>
      <c r="DU46" s="116"/>
      <c r="EA46" s="116"/>
      <c r="EB46" s="116"/>
      <c r="EG46" s="117"/>
      <c r="EH46" s="116"/>
      <c r="EI46" s="116"/>
      <c r="EJ46" s="117"/>
      <c r="EN46" s="117"/>
      <c r="EO46" s="116"/>
      <c r="EP46" s="116"/>
      <c r="EQ46" s="117"/>
      <c r="EV46" s="116"/>
      <c r="EW46" s="116"/>
      <c r="FC46" s="116"/>
      <c r="FD46" s="116"/>
      <c r="FJ46" s="116"/>
      <c r="FK46" s="116"/>
      <c r="FQ46" s="116"/>
      <c r="FR46" s="116"/>
      <c r="FX46" s="116"/>
      <c r="FY46" s="116"/>
      <c r="GE46" s="116"/>
      <c r="GF46" s="116"/>
      <c r="GL46" s="116"/>
      <c r="GM46" s="116"/>
      <c r="GS46" s="116"/>
      <c r="GT46" s="116"/>
      <c r="GZ46" s="116"/>
      <c r="HA46" s="116"/>
      <c r="HG46" s="116"/>
      <c r="HH46" s="116"/>
      <c r="HN46" s="116"/>
      <c r="HO46" s="116"/>
      <c r="HU46" s="116"/>
      <c r="HV46" s="116"/>
      <c r="IB46" s="116"/>
      <c r="IC46" s="116"/>
    </row>
    <row r="47" spans="1:240">
      <c r="A47" s="79" t="s">
        <v>708</v>
      </c>
      <c r="CY47" s="116"/>
      <c r="CZ47" s="116"/>
      <c r="DF47" s="116"/>
      <c r="DG47" s="116"/>
      <c r="DM47" s="116"/>
      <c r="DN47" s="116"/>
      <c r="DT47" s="116"/>
      <c r="DU47" s="116"/>
      <c r="EA47" s="116"/>
      <c r="EB47" s="116"/>
      <c r="EG47" s="117"/>
      <c r="EH47" s="116"/>
      <c r="EI47" s="116"/>
      <c r="EJ47" s="117"/>
      <c r="EN47" s="117"/>
      <c r="EO47" s="116"/>
      <c r="EP47" s="116"/>
      <c r="EQ47" s="117"/>
      <c r="EV47" s="116"/>
      <c r="EW47" s="116"/>
      <c r="FC47" s="116"/>
      <c r="FD47" s="116"/>
      <c r="FJ47" s="116"/>
      <c r="FK47" s="116"/>
      <c r="FQ47" s="116"/>
      <c r="FR47" s="116"/>
      <c r="FX47" s="116"/>
      <c r="FY47" s="116"/>
      <c r="GE47" s="116"/>
      <c r="GF47" s="116"/>
      <c r="GL47" s="116"/>
      <c r="GM47" s="116"/>
      <c r="GS47" s="116"/>
      <c r="GT47" s="116"/>
      <c r="GZ47" s="116"/>
      <c r="HA47" s="116"/>
      <c r="HG47" s="116"/>
      <c r="HH47" s="116"/>
      <c r="HN47" s="116"/>
      <c r="HO47" s="116"/>
      <c r="HU47" s="116"/>
      <c r="HV47" s="116"/>
      <c r="IB47" s="116"/>
      <c r="IC47" s="116"/>
    </row>
    <row r="48" spans="1:240">
      <c r="A48" s="79" t="s">
        <v>709</v>
      </c>
      <c r="CY48" s="116"/>
      <c r="CZ48" s="116"/>
      <c r="DF48" s="116"/>
      <c r="DG48" s="116"/>
      <c r="DM48" s="116"/>
      <c r="DN48" s="116"/>
      <c r="DT48" s="116"/>
      <c r="DU48" s="116"/>
      <c r="EA48" s="116"/>
      <c r="EB48" s="116"/>
      <c r="EG48" s="117"/>
      <c r="EH48" s="116"/>
      <c r="EI48" s="116"/>
      <c r="EJ48" s="117"/>
      <c r="EN48" s="117"/>
      <c r="EO48" s="116"/>
      <c r="EP48" s="116"/>
      <c r="EQ48" s="117"/>
      <c r="EV48" s="116"/>
      <c r="EW48" s="116"/>
      <c r="FC48" s="116"/>
      <c r="FD48" s="116"/>
      <c r="FJ48" s="116"/>
      <c r="FK48" s="116"/>
      <c r="FQ48" s="116"/>
      <c r="FR48" s="116"/>
      <c r="FX48" s="116"/>
      <c r="FY48" s="116"/>
      <c r="GE48" s="116"/>
      <c r="GF48" s="116"/>
      <c r="GL48" s="116"/>
      <c r="GM48" s="116"/>
      <c r="GS48" s="116"/>
      <c r="GT48" s="116"/>
      <c r="GZ48" s="116"/>
      <c r="HA48" s="116"/>
      <c r="HG48" s="116"/>
      <c r="HH48" s="116"/>
      <c r="HN48" s="116"/>
      <c r="HO48" s="116"/>
      <c r="HU48" s="116"/>
      <c r="HV48" s="116"/>
      <c r="IB48" s="116"/>
      <c r="IC48" s="116"/>
    </row>
    <row r="49" spans="1:1">
      <c r="A49" s="79" t="s">
        <v>236</v>
      </c>
    </row>
    <row r="50" spans="1:1">
      <c r="A50" s="79" t="s">
        <v>710</v>
      </c>
    </row>
    <row r="51" spans="1:1"/>
    <row r="52" spans="1:1">
      <c r="A52" s="79" t="s">
        <v>511</v>
      </c>
    </row>
    <row r="53" spans="1:1">
      <c r="A53" s="79" t="s">
        <v>711</v>
      </c>
    </row>
    <row r="54" spans="1:1"/>
    <row r="55" spans="1:1"/>
    <row r="56" spans="1:1"/>
    <row r="57" spans="1:1"/>
    <row r="58" spans="1:1"/>
    <row r="59" spans="1:1"/>
    <row r="60" spans="1:1"/>
    <row r="61" spans="1:1"/>
    <row r="62" spans="1:1"/>
    <row r="63" spans="1:1"/>
    <row r="64" spans="1:1"/>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sheetData>
  <pageMargins left="0" right="0" top="0" bottom="0" header="0" footer="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16"/>
  <sheetViews>
    <sheetView workbookViewId="0">
      <pane xSplit="1" ySplit="2" topLeftCell="AB5" activePane="bottomRight" state="frozen"/>
      <selection pane="bottomRight" activeCell="AC7" sqref="AC7"/>
      <selection pane="bottomLeft" activeCell="A3" sqref="A3"/>
      <selection pane="topRight" activeCell="B1" sqref="B1"/>
    </sheetView>
  </sheetViews>
  <sheetFormatPr defaultColWidth="12.5703125" defaultRowHeight="15.75" customHeight="1"/>
  <cols>
    <col min="1" max="1" width="12.5703125" customWidth="1"/>
    <col min="2" max="2" width="20.42578125" customWidth="1"/>
    <col min="3" max="3" width="20.5703125" customWidth="1"/>
    <col min="4" max="4" width="19.7109375" customWidth="1"/>
    <col min="5" max="5" width="20.85546875" customWidth="1"/>
    <col min="6" max="6" width="21.28515625" customWidth="1"/>
    <col min="7" max="13" width="20.85546875" customWidth="1"/>
    <col min="14" max="14" width="18.85546875" customWidth="1"/>
  </cols>
  <sheetData>
    <row r="1" spans="1:14" ht="14.25">
      <c r="A1" s="1"/>
      <c r="B1" s="2" t="s">
        <v>712</v>
      </c>
      <c r="C1" s="3" t="s">
        <v>713</v>
      </c>
      <c r="D1" s="2" t="s">
        <v>714</v>
      </c>
      <c r="E1" s="3" t="s">
        <v>715</v>
      </c>
      <c r="F1" s="2" t="s">
        <v>716</v>
      </c>
      <c r="G1" s="3" t="s">
        <v>717</v>
      </c>
      <c r="H1" s="2" t="s">
        <v>718</v>
      </c>
      <c r="I1" s="3" t="s">
        <v>719</v>
      </c>
      <c r="J1" s="3" t="s">
        <v>720</v>
      </c>
      <c r="K1" s="3" t="s">
        <v>721</v>
      </c>
      <c r="L1" s="3" t="s">
        <v>722</v>
      </c>
      <c r="M1" s="3" t="s">
        <v>723</v>
      </c>
      <c r="N1" s="4" t="s">
        <v>396</v>
      </c>
    </row>
    <row r="2" spans="1:14" ht="14.25">
      <c r="A2" s="1"/>
      <c r="B2" s="8" t="s">
        <v>724</v>
      </c>
      <c r="C2" s="9" t="s">
        <v>725</v>
      </c>
      <c r="D2" s="8" t="s">
        <v>726</v>
      </c>
      <c r="E2" s="9" t="s">
        <v>727</v>
      </c>
      <c r="F2" s="8" t="s">
        <v>728</v>
      </c>
      <c r="G2" s="9" t="s">
        <v>729</v>
      </c>
      <c r="H2" s="8" t="s">
        <v>730</v>
      </c>
      <c r="I2" s="9" t="s">
        <v>731</v>
      </c>
      <c r="J2" s="9" t="s">
        <v>732</v>
      </c>
      <c r="K2" s="9" t="s">
        <v>733</v>
      </c>
      <c r="L2" s="9" t="s">
        <v>734</v>
      </c>
      <c r="M2" s="9" t="s">
        <v>735</v>
      </c>
      <c r="N2" s="10" t="s">
        <v>428</v>
      </c>
    </row>
    <row r="3" spans="1:14" ht="81" customHeight="1">
      <c r="A3" s="14" t="s">
        <v>289</v>
      </c>
      <c r="B3" s="1"/>
      <c r="C3" s="1"/>
      <c r="D3" s="1"/>
      <c r="E3" s="1" t="s">
        <v>736</v>
      </c>
      <c r="F3" s="15"/>
      <c r="G3" s="16" t="s">
        <v>737</v>
      </c>
      <c r="H3" s="17"/>
      <c r="I3" s="17" t="s">
        <v>738</v>
      </c>
      <c r="J3" s="15"/>
      <c r="K3" s="15"/>
      <c r="L3" s="18" t="s">
        <v>739</v>
      </c>
      <c r="M3" s="19" t="s">
        <v>740</v>
      </c>
      <c r="N3" s="20"/>
    </row>
    <row r="4" spans="1:14" ht="47.25" customHeight="1">
      <c r="A4" s="26" t="s">
        <v>296</v>
      </c>
      <c r="B4" s="1"/>
      <c r="C4" s="1"/>
      <c r="D4" s="1" t="s">
        <v>741</v>
      </c>
      <c r="E4" s="1" t="s">
        <v>742</v>
      </c>
      <c r="F4" s="1" t="s">
        <v>743</v>
      </c>
      <c r="G4" s="1" t="s">
        <v>744</v>
      </c>
      <c r="H4" s="17" t="s">
        <v>745</v>
      </c>
      <c r="I4" s="19" t="s">
        <v>746</v>
      </c>
      <c r="J4" s="19" t="s">
        <v>747</v>
      </c>
      <c r="K4" s="17" t="s">
        <v>748</v>
      </c>
      <c r="L4" s="19"/>
      <c r="M4" s="19" t="s">
        <v>749</v>
      </c>
      <c r="N4" s="27" t="s">
        <v>473</v>
      </c>
    </row>
    <row r="5" spans="1:14" ht="119.25" customHeight="1">
      <c r="A5" s="29" t="s">
        <v>477</v>
      </c>
      <c r="B5" s="30"/>
      <c r="C5" s="15"/>
      <c r="D5" s="31" t="s">
        <v>750</v>
      </c>
      <c r="E5" s="30" t="s">
        <v>751</v>
      </c>
      <c r="F5" s="32" t="s">
        <v>752</v>
      </c>
      <c r="G5" s="33" t="s">
        <v>753</v>
      </c>
      <c r="H5" s="32" t="s">
        <v>754</v>
      </c>
      <c r="I5" s="32" t="s">
        <v>755</v>
      </c>
      <c r="J5" s="32" t="s">
        <v>756</v>
      </c>
      <c r="K5" s="32" t="s">
        <v>757</v>
      </c>
      <c r="L5" s="32" t="s">
        <v>758</v>
      </c>
      <c r="M5" s="32" t="s">
        <v>759</v>
      </c>
      <c r="N5" s="20" t="s">
        <v>478</v>
      </c>
    </row>
    <row r="6" spans="1:14" ht="116.25" customHeight="1">
      <c r="A6" s="45" t="s">
        <v>517</v>
      </c>
      <c r="B6" s="17"/>
      <c r="C6" s="17"/>
      <c r="D6" s="17" t="s">
        <v>760</v>
      </c>
      <c r="E6" s="17" t="s">
        <v>761</v>
      </c>
      <c r="F6" s="17" t="s">
        <v>762</v>
      </c>
      <c r="G6" s="17" t="s">
        <v>763</v>
      </c>
      <c r="H6" s="46" t="s">
        <v>764</v>
      </c>
      <c r="I6" s="47" t="s">
        <v>765</v>
      </c>
      <c r="J6" s="46" t="s">
        <v>766</v>
      </c>
      <c r="K6" s="46" t="s">
        <v>767</v>
      </c>
      <c r="L6" s="48" t="s">
        <v>768</v>
      </c>
      <c r="M6" s="46" t="s">
        <v>769</v>
      </c>
      <c r="N6" s="49" t="s">
        <v>518</v>
      </c>
    </row>
    <row r="7" spans="1:14" ht="202.5" customHeight="1">
      <c r="A7" s="52" t="s">
        <v>333</v>
      </c>
      <c r="B7" s="53" t="s">
        <v>770</v>
      </c>
      <c r="C7" s="53" t="s">
        <v>771</v>
      </c>
      <c r="D7" s="53" t="s">
        <v>772</v>
      </c>
      <c r="E7" s="53" t="s">
        <v>773</v>
      </c>
      <c r="F7" s="53" t="s">
        <v>774</v>
      </c>
      <c r="G7" s="53" t="s">
        <v>775</v>
      </c>
      <c r="H7" s="53" t="s">
        <v>776</v>
      </c>
      <c r="I7" s="32" t="s">
        <v>777</v>
      </c>
      <c r="J7" s="32" t="s">
        <v>778</v>
      </c>
      <c r="K7" s="17" t="s">
        <v>779</v>
      </c>
      <c r="L7" s="54" t="s">
        <v>780</v>
      </c>
      <c r="M7" s="54" t="s">
        <v>781</v>
      </c>
      <c r="N7" s="49" t="s">
        <v>542</v>
      </c>
    </row>
    <row r="8" spans="1:14" ht="84" customHeight="1">
      <c r="A8" s="55" t="s">
        <v>343</v>
      </c>
      <c r="B8" s="53"/>
      <c r="C8" s="32" t="s">
        <v>782</v>
      </c>
      <c r="D8" s="53" t="s">
        <v>783</v>
      </c>
      <c r="E8" s="53" t="s">
        <v>784</v>
      </c>
      <c r="F8" s="56" t="s">
        <v>785</v>
      </c>
      <c r="G8" s="53" t="s">
        <v>786</v>
      </c>
      <c r="H8" s="53" t="s">
        <v>787</v>
      </c>
      <c r="I8" s="53" t="s">
        <v>788</v>
      </c>
      <c r="J8" s="33" t="s">
        <v>789</v>
      </c>
      <c r="K8" s="18" t="s">
        <v>790</v>
      </c>
      <c r="L8" s="18" t="s">
        <v>791</v>
      </c>
      <c r="M8" s="17" t="s">
        <v>792</v>
      </c>
      <c r="N8" s="49" t="s">
        <v>576</v>
      </c>
    </row>
    <row r="9" spans="1:14" ht="43.5" customHeight="1">
      <c r="A9" s="62" t="s">
        <v>355</v>
      </c>
      <c r="B9" s="53"/>
      <c r="C9" s="53"/>
      <c r="D9" s="53"/>
      <c r="E9" s="53"/>
      <c r="F9" s="53"/>
      <c r="G9" s="53"/>
      <c r="H9" s="53"/>
      <c r="I9" s="53"/>
      <c r="J9" s="15"/>
      <c r="K9" s="15"/>
      <c r="L9" s="53" t="s">
        <v>793</v>
      </c>
      <c r="M9" s="53" t="s">
        <v>794</v>
      </c>
      <c r="N9" s="10"/>
    </row>
    <row r="10" spans="1:14" ht="42.75" customHeight="1">
      <c r="A10" s="66" t="s">
        <v>358</v>
      </c>
      <c r="B10" s="1"/>
      <c r="C10" s="17"/>
      <c r="D10" s="17" t="s">
        <v>795</v>
      </c>
      <c r="E10" s="17" t="s">
        <v>796</v>
      </c>
      <c r="F10" s="15"/>
      <c r="G10" s="15" t="s">
        <v>797</v>
      </c>
      <c r="H10" s="17" t="s">
        <v>798</v>
      </c>
      <c r="I10" s="1"/>
      <c r="J10" s="15"/>
      <c r="K10" s="18" t="s">
        <v>799</v>
      </c>
      <c r="L10" s="17"/>
      <c r="M10" s="18" t="s">
        <v>800</v>
      </c>
      <c r="N10" s="27"/>
    </row>
    <row r="11" spans="1:14" ht="96.75" customHeight="1">
      <c r="A11" s="219" t="s">
        <v>801</v>
      </c>
      <c r="B11" s="1"/>
      <c r="C11" s="1"/>
      <c r="D11" s="17" t="s">
        <v>802</v>
      </c>
      <c r="E11" s="17" t="s">
        <v>803</v>
      </c>
      <c r="F11" s="17" t="s">
        <v>804</v>
      </c>
      <c r="G11" s="17" t="s">
        <v>805</v>
      </c>
      <c r="H11" s="17" t="s">
        <v>806</v>
      </c>
      <c r="I11" s="1"/>
      <c r="J11" s="15"/>
      <c r="K11" s="15"/>
      <c r="L11" s="15"/>
      <c r="M11" s="15"/>
      <c r="N11" s="10"/>
    </row>
    <row r="12" spans="1:14" ht="161.25">
      <c r="A12" s="70" t="s">
        <v>362</v>
      </c>
      <c r="B12" s="53" t="s">
        <v>807</v>
      </c>
      <c r="C12" s="53" t="s">
        <v>808</v>
      </c>
      <c r="D12" s="53" t="s">
        <v>809</v>
      </c>
      <c r="E12" s="53" t="s">
        <v>810</v>
      </c>
      <c r="F12" s="53" t="s">
        <v>811</v>
      </c>
      <c r="G12" s="53" t="s">
        <v>812</v>
      </c>
      <c r="H12" s="53" t="s">
        <v>813</v>
      </c>
      <c r="I12" s="53" t="s">
        <v>814</v>
      </c>
      <c r="J12" s="53" t="s">
        <v>815</v>
      </c>
      <c r="K12" s="19" t="s">
        <v>816</v>
      </c>
      <c r="L12" s="19" t="s">
        <v>817</v>
      </c>
      <c r="M12" s="19" t="s">
        <v>818</v>
      </c>
      <c r="N12" s="27" t="s">
        <v>620</v>
      </c>
    </row>
    <row r="13" spans="1:14" ht="72.75">
      <c r="A13" s="71" t="s">
        <v>628</v>
      </c>
      <c r="B13" s="1"/>
      <c r="C13" s="15"/>
      <c r="D13" s="17" t="s">
        <v>819</v>
      </c>
      <c r="E13" s="17" t="s">
        <v>820</v>
      </c>
      <c r="F13" s="17" t="s">
        <v>821</v>
      </c>
      <c r="G13" s="19" t="s">
        <v>822</v>
      </c>
      <c r="H13" s="17" t="s">
        <v>823</v>
      </c>
      <c r="I13" s="17" t="s">
        <v>824</v>
      </c>
      <c r="J13" s="19"/>
      <c r="K13" s="19" t="s">
        <v>825</v>
      </c>
      <c r="L13" s="19" t="s">
        <v>826</v>
      </c>
      <c r="M13" s="17"/>
      <c r="N13" s="27"/>
    </row>
    <row r="14" spans="1:14" ht="39" customHeight="1">
      <c r="A14" s="72" t="s">
        <v>364</v>
      </c>
      <c r="B14" s="53" t="s">
        <v>827</v>
      </c>
      <c r="C14" s="32" t="s">
        <v>828</v>
      </c>
      <c r="D14" s="53" t="s">
        <v>829</v>
      </c>
      <c r="E14" s="15"/>
      <c r="F14" s="15"/>
      <c r="G14" s="53" t="s">
        <v>830</v>
      </c>
      <c r="H14" s="73" t="s">
        <v>831</v>
      </c>
      <c r="I14" s="30"/>
      <c r="J14" s="15"/>
      <c r="K14" s="15"/>
      <c r="L14" s="53" t="s">
        <v>832</v>
      </c>
      <c r="M14" s="15"/>
      <c r="N14" s="10"/>
    </row>
    <row r="15" spans="1:14" ht="48.75" customHeight="1">
      <c r="A15" s="74" t="s">
        <v>361</v>
      </c>
      <c r="B15" s="1"/>
      <c r="C15" s="1"/>
      <c r="D15" s="1" t="s">
        <v>833</v>
      </c>
      <c r="E15" s="1" t="s">
        <v>834</v>
      </c>
      <c r="F15" s="1"/>
      <c r="G15" s="1"/>
      <c r="H15" s="1"/>
      <c r="I15" s="1"/>
      <c r="J15" s="15"/>
      <c r="K15" s="15"/>
      <c r="L15" s="15"/>
      <c r="M15" s="15"/>
      <c r="N15" s="10"/>
    </row>
    <row r="16" spans="1:14" ht="294">
      <c r="A16" s="75" t="s">
        <v>365</v>
      </c>
      <c r="B16" s="1"/>
      <c r="C16" s="15"/>
      <c r="D16" s="1" t="s">
        <v>835</v>
      </c>
      <c r="E16" s="1"/>
      <c r="F16" s="1"/>
      <c r="G16" s="1"/>
      <c r="H16" s="1"/>
      <c r="I16" s="1"/>
      <c r="J16" s="15"/>
      <c r="K16" s="15"/>
      <c r="L16" s="15"/>
      <c r="M16" s="15"/>
      <c r="N16" s="10"/>
    </row>
  </sheetData>
  <hyperlinks>
    <hyperlink ref="A11" r:id="rId1" xr:uid="{00000000-0004-0000-0000-000001000000}"/>
  </hyperlinks>
  <pageMargins left="0" right="0" top="0" bottom="0" header="0" footer="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7"/>
  <sheetViews>
    <sheetView workbookViewId="0"/>
  </sheetViews>
  <sheetFormatPr defaultColWidth="12.5703125" defaultRowHeight="15.75" customHeight="1"/>
  <cols>
    <col min="1" max="1" width="47" customWidth="1"/>
    <col min="2" max="4" width="13.85546875" customWidth="1"/>
    <col min="5" max="5" width="6.85546875" customWidth="1"/>
    <col min="6" max="6" width="4.5703125" customWidth="1"/>
    <col min="7" max="7" width="52.42578125" customWidth="1"/>
    <col min="8" max="8" width="57.42578125" customWidth="1"/>
  </cols>
  <sheetData>
    <row r="1" spans="1:8">
      <c r="B1" s="90" t="s">
        <v>836</v>
      </c>
      <c r="C1" s="90" t="s">
        <v>837</v>
      </c>
      <c r="D1" s="90" t="s">
        <v>838</v>
      </c>
      <c r="E1" s="90" t="s">
        <v>839</v>
      </c>
      <c r="F1" s="91"/>
      <c r="G1" s="79" t="s">
        <v>840</v>
      </c>
    </row>
    <row r="2" spans="1:8">
      <c r="A2" s="79" t="s">
        <v>841</v>
      </c>
      <c r="B2" s="77">
        <v>1</v>
      </c>
      <c r="C2" s="77" t="s">
        <v>842</v>
      </c>
      <c r="D2" s="77"/>
      <c r="E2" s="77"/>
      <c r="F2" s="77"/>
      <c r="G2" s="79" t="s">
        <v>843</v>
      </c>
    </row>
    <row r="3" spans="1:8">
      <c r="A3" s="79" t="s">
        <v>844</v>
      </c>
      <c r="B3" s="77">
        <v>2</v>
      </c>
      <c r="C3" s="77" t="s">
        <v>842</v>
      </c>
      <c r="D3" s="77"/>
      <c r="E3" s="77"/>
      <c r="F3" s="77"/>
      <c r="G3" s="79" t="s">
        <v>463</v>
      </c>
    </row>
    <row r="4" spans="1:8">
      <c r="A4" s="79" t="s">
        <v>845</v>
      </c>
      <c r="B4" s="77">
        <v>2</v>
      </c>
      <c r="C4" s="77" t="s">
        <v>842</v>
      </c>
      <c r="D4" s="77"/>
      <c r="E4" s="77"/>
      <c r="F4" s="77"/>
      <c r="G4" s="79" t="s">
        <v>846</v>
      </c>
    </row>
    <row r="5" spans="1:8">
      <c r="A5" s="92" t="s">
        <v>847</v>
      </c>
      <c r="B5" s="93">
        <f>SUM(B2:B4)</f>
        <v>5</v>
      </c>
      <c r="C5" s="93"/>
      <c r="D5" s="93"/>
      <c r="E5" s="93">
        <f>B5/2</f>
        <v>2.5</v>
      </c>
      <c r="F5" s="93" t="s">
        <v>848</v>
      </c>
    </row>
    <row r="6" spans="1:8">
      <c r="A6" s="94" t="s">
        <v>849</v>
      </c>
      <c r="B6" s="95">
        <v>1</v>
      </c>
      <c r="C6" s="95"/>
      <c r="D6" s="95">
        <v>1.5</v>
      </c>
      <c r="E6" s="95"/>
      <c r="F6" s="95"/>
      <c r="G6" s="87" t="s">
        <v>850</v>
      </c>
      <c r="H6" s="96" t="s">
        <v>851</v>
      </c>
    </row>
    <row r="7" spans="1:8">
      <c r="A7" s="87" t="s">
        <v>852</v>
      </c>
      <c r="B7" s="95">
        <v>1</v>
      </c>
      <c r="C7" s="95"/>
      <c r="D7" s="95">
        <v>1.5</v>
      </c>
      <c r="E7" s="95"/>
      <c r="F7" s="95"/>
      <c r="G7" s="87" t="s">
        <v>853</v>
      </c>
    </row>
    <row r="8" spans="1:8">
      <c r="A8" s="87" t="s">
        <v>854</v>
      </c>
      <c r="B8" s="95">
        <v>1</v>
      </c>
      <c r="C8" s="95"/>
      <c r="D8" s="95">
        <v>1.5</v>
      </c>
      <c r="E8" s="95"/>
      <c r="F8" s="95"/>
      <c r="G8" s="87" t="s">
        <v>853</v>
      </c>
    </row>
    <row r="9" spans="1:8">
      <c r="A9" s="94" t="s">
        <v>855</v>
      </c>
      <c r="B9" s="95">
        <v>1</v>
      </c>
      <c r="C9" s="95"/>
      <c r="D9" s="95" t="s">
        <v>842</v>
      </c>
      <c r="E9" s="95"/>
      <c r="F9" s="95"/>
      <c r="G9" s="87" t="s">
        <v>856</v>
      </c>
    </row>
    <row r="10" spans="1:8">
      <c r="A10" s="87" t="s">
        <v>857</v>
      </c>
      <c r="B10" s="95">
        <v>1</v>
      </c>
      <c r="C10" s="95"/>
      <c r="D10" s="95">
        <v>1.5</v>
      </c>
      <c r="E10" s="95"/>
      <c r="F10" s="95"/>
      <c r="G10" s="87" t="s">
        <v>858</v>
      </c>
    </row>
    <row r="11" spans="1:8">
      <c r="A11" s="92" t="s">
        <v>859</v>
      </c>
      <c r="B11" s="93">
        <f>SUM(B6:B10)</f>
        <v>5</v>
      </c>
      <c r="C11" s="93">
        <f>SUM(C2:C10)</f>
        <v>0</v>
      </c>
      <c r="D11" s="93"/>
      <c r="E11" s="93">
        <f>B11/2</f>
        <v>2.5</v>
      </c>
      <c r="F11" s="93" t="s">
        <v>860</v>
      </c>
    </row>
    <row r="12" spans="1:8">
      <c r="A12" s="97" t="s">
        <v>861</v>
      </c>
      <c r="B12" s="77">
        <v>1.5</v>
      </c>
      <c r="C12" s="77"/>
      <c r="D12" s="77">
        <v>0</v>
      </c>
      <c r="E12" s="77"/>
      <c r="F12" s="77"/>
    </row>
    <row r="13" spans="1:8">
      <c r="A13" s="97" t="s">
        <v>862</v>
      </c>
      <c r="B13" s="77">
        <v>1</v>
      </c>
      <c r="C13" s="77"/>
      <c r="D13" s="77">
        <v>0</v>
      </c>
      <c r="E13" s="77"/>
      <c r="F13" s="77"/>
    </row>
    <row r="14" spans="1:8">
      <c r="A14" s="97" t="s">
        <v>863</v>
      </c>
      <c r="B14" s="77">
        <v>0.75</v>
      </c>
      <c r="C14" s="77">
        <v>0</v>
      </c>
      <c r="D14" s="77">
        <v>0</v>
      </c>
      <c r="E14" s="77"/>
      <c r="F14" s="77"/>
    </row>
    <row r="15" spans="1:8">
      <c r="A15" s="92" t="s">
        <v>864</v>
      </c>
      <c r="B15" s="93">
        <f>SUM(B12:B14)</f>
        <v>3.25</v>
      </c>
      <c r="C15" s="93"/>
      <c r="D15" s="93"/>
      <c r="E15" s="93">
        <f>B15/2</f>
        <v>1.625</v>
      </c>
      <c r="F15" s="93" t="s">
        <v>865</v>
      </c>
    </row>
    <row r="16" spans="1:8">
      <c r="A16" s="97" t="s">
        <v>866</v>
      </c>
      <c r="B16" s="77">
        <v>1.5</v>
      </c>
      <c r="C16" s="77"/>
      <c r="D16" s="77" t="s">
        <v>867</v>
      </c>
      <c r="E16" s="77"/>
      <c r="F16" s="77"/>
    </row>
    <row r="17" spans="1:8">
      <c r="A17" s="97" t="s">
        <v>868</v>
      </c>
      <c r="B17" s="77">
        <v>1</v>
      </c>
      <c r="C17" s="77">
        <v>1</v>
      </c>
      <c r="D17" s="77" t="s">
        <v>867</v>
      </c>
      <c r="E17" s="77"/>
      <c r="F17" s="77"/>
    </row>
    <row r="18" spans="1:8">
      <c r="A18" s="92" t="s">
        <v>869</v>
      </c>
      <c r="B18" s="93">
        <f>SUM(B16:B17)</f>
        <v>2.5</v>
      </c>
      <c r="C18" s="93"/>
      <c r="D18" s="93"/>
      <c r="E18" s="93">
        <f>B18/2</f>
        <v>1.25</v>
      </c>
      <c r="F18" s="93" t="s">
        <v>870</v>
      </c>
    </row>
    <row r="19" spans="1:8">
      <c r="A19" s="97" t="s">
        <v>871</v>
      </c>
      <c r="B19" s="77"/>
      <c r="C19" s="77"/>
      <c r="D19" s="77">
        <v>0</v>
      </c>
      <c r="E19" s="77"/>
      <c r="F19" s="77"/>
    </row>
    <row r="20" spans="1:8">
      <c r="A20" s="97" t="s">
        <v>872</v>
      </c>
      <c r="B20" s="77"/>
      <c r="C20" s="77"/>
      <c r="D20" s="77">
        <v>0</v>
      </c>
      <c r="E20" s="77"/>
      <c r="F20" s="77"/>
    </row>
    <row r="21" spans="1:8">
      <c r="A21" s="97" t="s">
        <v>873</v>
      </c>
      <c r="B21" s="77"/>
      <c r="C21" s="77"/>
      <c r="D21" s="77"/>
      <c r="E21" s="77"/>
      <c r="F21" s="77"/>
    </row>
    <row r="22" spans="1:8">
      <c r="A22" s="97" t="s">
        <v>874</v>
      </c>
      <c r="B22" s="77"/>
      <c r="C22" s="77"/>
      <c r="D22" s="77"/>
      <c r="E22" s="77"/>
      <c r="F22" s="77"/>
    </row>
    <row r="23" spans="1:8">
      <c r="A23" s="97" t="s">
        <v>875</v>
      </c>
      <c r="B23" s="77"/>
      <c r="C23" s="77"/>
      <c r="D23" s="77"/>
      <c r="E23" s="77"/>
      <c r="F23" s="77"/>
    </row>
    <row r="24" spans="1:8">
      <c r="A24" s="97" t="s">
        <v>876</v>
      </c>
      <c r="B24" s="77"/>
      <c r="C24" s="77"/>
      <c r="D24" s="77"/>
      <c r="E24" s="77"/>
      <c r="F24" s="77"/>
      <c r="H24" s="98"/>
    </row>
    <row r="25" spans="1:8"/>
    <row r="26" spans="1:8"/>
    <row r="27" spans="1:8"/>
    <row r="28" spans="1:8"/>
    <row r="29" spans="1:8"/>
    <row r="30" spans="1:8"/>
    <row r="31" spans="1:8"/>
    <row r="32" spans="1:8"/>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sheetData>
  <pageMargins left="0" right="0" top="0" bottom="0" header="0" footer="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F1023"/>
  <sheetViews>
    <sheetView workbookViewId="0">
      <pane xSplit="1" ySplit="1" topLeftCell="AF3" activePane="bottomRight" state="frozen"/>
      <selection pane="bottomRight" activeCell="AF3" sqref="AF3"/>
      <selection pane="bottomLeft" activeCell="A2" sqref="A2"/>
      <selection pane="topRight" activeCell="B1" sqref="B1"/>
    </sheetView>
  </sheetViews>
  <sheetFormatPr defaultColWidth="12.5703125" defaultRowHeight="15.75" customHeight="1"/>
  <cols>
    <col min="1" max="1" width="36.42578125" customWidth="1"/>
    <col min="2" max="2" width="19.85546875" hidden="1" customWidth="1"/>
    <col min="3" max="3" width="34.28515625" hidden="1" customWidth="1"/>
    <col min="4" max="4" width="16.42578125" customWidth="1"/>
    <col min="5" max="5" width="8.28515625" customWidth="1"/>
    <col min="6" max="7" width="5.140625" customWidth="1"/>
    <col min="8" max="8" width="9.28515625" customWidth="1"/>
    <col min="9" max="9" width="10" customWidth="1"/>
    <col min="10" max="10" width="6.140625" customWidth="1"/>
    <col min="11" max="11" width="14.5703125" customWidth="1"/>
    <col min="12" max="13" width="6.5703125" customWidth="1"/>
    <col min="14" max="14" width="14.7109375" customWidth="1"/>
    <col min="15" max="17" width="6.140625" customWidth="1"/>
    <col min="18" max="18" width="20.5703125" customWidth="1"/>
    <col min="19" max="19" width="6.5703125" customWidth="1"/>
    <col min="20" max="20" width="6.140625" hidden="1" customWidth="1"/>
    <col min="21" max="21" width="8.42578125" hidden="1" customWidth="1"/>
    <col min="22" max="22" width="13.7109375" hidden="1" customWidth="1"/>
    <col min="23" max="23" width="16" hidden="1" customWidth="1"/>
    <col min="24" max="24" width="6.140625" customWidth="1"/>
    <col min="25" max="25" width="9" customWidth="1"/>
    <col min="26" max="26" width="8.42578125" customWidth="1"/>
    <col min="27" max="27" width="8.7109375" customWidth="1"/>
    <col min="28" max="28" width="12.42578125" customWidth="1"/>
    <col min="29" max="31" width="10.28515625" customWidth="1"/>
    <col min="32" max="32" width="7.42578125" customWidth="1"/>
  </cols>
  <sheetData>
    <row r="1" spans="1:32">
      <c r="A1" s="126" t="s">
        <v>877</v>
      </c>
      <c r="B1" s="126" t="s">
        <v>878</v>
      </c>
      <c r="C1" s="126" t="s">
        <v>879</v>
      </c>
      <c r="D1" s="127" t="s">
        <v>880</v>
      </c>
      <c r="E1" s="128" t="s">
        <v>881</v>
      </c>
      <c r="F1" s="128" t="s">
        <v>882</v>
      </c>
      <c r="G1" s="128" t="s">
        <v>883</v>
      </c>
      <c r="H1" s="128" t="s">
        <v>884</v>
      </c>
      <c r="I1" s="129" t="s">
        <v>885</v>
      </c>
      <c r="J1" s="129" t="s">
        <v>886</v>
      </c>
      <c r="K1" s="130" t="s">
        <v>885</v>
      </c>
      <c r="L1" s="130" t="s">
        <v>887</v>
      </c>
      <c r="M1" s="130" t="s">
        <v>888</v>
      </c>
      <c r="N1" s="131" t="s">
        <v>885</v>
      </c>
      <c r="O1" s="131" t="s">
        <v>889</v>
      </c>
      <c r="P1" s="131" t="s">
        <v>890</v>
      </c>
      <c r="Q1" s="131" t="s">
        <v>891</v>
      </c>
      <c r="R1" s="132" t="s">
        <v>885</v>
      </c>
      <c r="S1" s="133" t="s">
        <v>892</v>
      </c>
      <c r="T1" s="133" t="s">
        <v>893</v>
      </c>
      <c r="U1" s="133" t="s">
        <v>891</v>
      </c>
      <c r="V1" s="133" t="s">
        <v>894</v>
      </c>
      <c r="W1" s="134" t="s">
        <v>885</v>
      </c>
      <c r="X1" s="135" t="s">
        <v>895</v>
      </c>
      <c r="Y1" s="135" t="s">
        <v>896</v>
      </c>
      <c r="Z1" s="135" t="s">
        <v>891</v>
      </c>
      <c r="AA1" s="135" t="s">
        <v>894</v>
      </c>
      <c r="AB1" s="136" t="s">
        <v>885</v>
      </c>
      <c r="AC1" s="137" t="s">
        <v>897</v>
      </c>
      <c r="AD1" s="137" t="s">
        <v>898</v>
      </c>
      <c r="AE1" s="137" t="s">
        <v>891</v>
      </c>
      <c r="AF1" s="137" t="s">
        <v>894</v>
      </c>
    </row>
    <row r="2" spans="1:32">
      <c r="A2" s="138" t="s">
        <v>899</v>
      </c>
      <c r="B2" s="139"/>
      <c r="C2" s="139"/>
      <c r="D2" s="140"/>
      <c r="E2" s="141"/>
      <c r="F2" s="141"/>
      <c r="G2" s="141"/>
      <c r="H2" s="141"/>
      <c r="I2" s="142" t="s">
        <v>900</v>
      </c>
      <c r="J2" s="143"/>
      <c r="K2" s="144" t="s">
        <v>901</v>
      </c>
      <c r="L2" s="145"/>
      <c r="M2" s="145"/>
      <c r="N2" s="146" t="s">
        <v>902</v>
      </c>
      <c r="O2" s="147"/>
      <c r="P2" s="147"/>
      <c r="Q2" s="147"/>
      <c r="R2" s="148" t="s">
        <v>903</v>
      </c>
      <c r="S2" s="149"/>
      <c r="T2" s="149"/>
      <c r="U2" s="150"/>
      <c r="V2" s="150"/>
      <c r="W2" s="151" t="s">
        <v>904</v>
      </c>
      <c r="X2" s="152"/>
      <c r="Y2" s="152"/>
      <c r="Z2" s="152"/>
      <c r="AA2" s="152"/>
      <c r="AB2" s="153" t="s">
        <v>905</v>
      </c>
      <c r="AC2" s="154"/>
      <c r="AD2" s="154"/>
      <c r="AE2" s="154"/>
      <c r="AF2" s="154"/>
    </row>
    <row r="3" spans="1:32">
      <c r="A3" s="220" t="s">
        <v>906</v>
      </c>
      <c r="B3" s="79" t="s">
        <v>907</v>
      </c>
      <c r="C3" s="79" t="s">
        <v>908</v>
      </c>
      <c r="D3" s="155" t="s">
        <v>909</v>
      </c>
      <c r="E3" s="77">
        <v>1427</v>
      </c>
      <c r="F3" s="77">
        <v>1105</v>
      </c>
      <c r="G3" s="77">
        <v>939</v>
      </c>
      <c r="H3" s="77">
        <v>754</v>
      </c>
      <c r="I3" s="156" t="s">
        <v>910</v>
      </c>
      <c r="J3" s="157">
        <v>459</v>
      </c>
      <c r="K3" s="158" t="s">
        <v>911</v>
      </c>
      <c r="L3" s="159">
        <v>1000</v>
      </c>
      <c r="M3" s="159">
        <v>684</v>
      </c>
      <c r="N3" s="160" t="s">
        <v>912</v>
      </c>
      <c r="O3" s="83">
        <v>1000</v>
      </c>
      <c r="P3" s="83">
        <v>428</v>
      </c>
      <c r="Q3" s="161">
        <f t="shared" ref="Q3:Q10" si="0">(P3-O3)/O3</f>
        <v>-0.57199999999999995</v>
      </c>
      <c r="R3" s="162" t="s">
        <v>913</v>
      </c>
      <c r="S3" s="118">
        <v>700</v>
      </c>
      <c r="T3" s="118">
        <v>596</v>
      </c>
      <c r="U3" s="163">
        <f t="shared" ref="U3:U10" si="1">(T3-S3)/S3</f>
        <v>-0.14857142857142858</v>
      </c>
      <c r="V3" s="163">
        <f t="shared" ref="V3:V10" si="2">(T3)/P3</f>
        <v>1.3925233644859814</v>
      </c>
      <c r="W3" s="164" t="s">
        <v>914</v>
      </c>
      <c r="X3" s="165">
        <f>T3*V3</f>
        <v>829.9439252336449</v>
      </c>
      <c r="Y3" s="165">
        <v>638</v>
      </c>
      <c r="Z3" s="163">
        <f t="shared" ref="Z3:Z10" si="3">(Y3-X3)/X3</f>
        <v>-0.23127336606459173</v>
      </c>
      <c r="AA3" s="163">
        <f t="shared" ref="AA3:AA10" si="4">(Y3-T3)/T3</f>
        <v>7.0469798657718116E-2</v>
      </c>
      <c r="AB3" s="166" t="s">
        <v>915</v>
      </c>
      <c r="AC3" s="167">
        <f t="shared" ref="AC3:AC6" si="5">Y3*1.15</f>
        <v>733.69999999999993</v>
      </c>
      <c r="AD3" s="168">
        <v>468</v>
      </c>
      <c r="AE3" s="168">
        <f t="shared" ref="AE3:AE7" si="6">AVERAGE(E3:J3)</f>
        <v>936.8</v>
      </c>
      <c r="AF3" s="168">
        <f>AC3*1.15</f>
        <v>843.75499999999988</v>
      </c>
    </row>
    <row r="4" spans="1:32">
      <c r="A4" s="79" t="s">
        <v>916</v>
      </c>
      <c r="B4" s="79" t="s">
        <v>907</v>
      </c>
      <c r="C4" s="79" t="s">
        <v>917</v>
      </c>
      <c r="D4" s="155" t="s">
        <v>918</v>
      </c>
      <c r="E4" s="77">
        <f>2175</f>
        <v>2175</v>
      </c>
      <c r="F4" s="77">
        <f>1984</f>
        <v>1984</v>
      </c>
      <c r="G4" s="77">
        <f>2047</f>
        <v>2047</v>
      </c>
      <c r="H4" s="77">
        <f>2249</f>
        <v>2249</v>
      </c>
      <c r="I4" s="156"/>
      <c r="J4" s="157">
        <v>1638</v>
      </c>
      <c r="K4" s="169" t="s">
        <v>919</v>
      </c>
      <c r="L4" s="159">
        <v>2300</v>
      </c>
      <c r="M4" s="159">
        <v>1919</v>
      </c>
      <c r="N4" s="160"/>
      <c r="O4" s="83">
        <v>2300</v>
      </c>
      <c r="P4" s="83">
        <v>1777</v>
      </c>
      <c r="Q4" s="161">
        <f t="shared" si="0"/>
        <v>-0.22739130434782609</v>
      </c>
      <c r="R4" s="162" t="s">
        <v>920</v>
      </c>
      <c r="S4" s="170">
        <v>2250</v>
      </c>
      <c r="T4" s="118">
        <v>1808</v>
      </c>
      <c r="U4" s="163">
        <f t="shared" si="1"/>
        <v>-0.19644444444444445</v>
      </c>
      <c r="V4" s="163">
        <f t="shared" si="2"/>
        <v>1.0174451322453573</v>
      </c>
      <c r="W4" s="171" t="s">
        <v>921</v>
      </c>
      <c r="X4" s="165">
        <f>T4*1.3</f>
        <v>2350.4</v>
      </c>
      <c r="Y4" s="165">
        <v>1695</v>
      </c>
      <c r="Z4" s="163">
        <f t="shared" si="3"/>
        <v>-0.27884615384615385</v>
      </c>
      <c r="AA4" s="163">
        <f t="shared" si="4"/>
        <v>-6.25E-2</v>
      </c>
      <c r="AB4" s="166"/>
      <c r="AC4" s="167">
        <f t="shared" si="5"/>
        <v>1949.2499999999998</v>
      </c>
      <c r="AD4" s="168">
        <v>1483</v>
      </c>
      <c r="AE4" s="168">
        <f t="shared" si="6"/>
        <v>2018.6</v>
      </c>
      <c r="AF4" s="168">
        <f t="shared" ref="AF4:AF16" si="7">AC4*1.15</f>
        <v>2241.6374999999994</v>
      </c>
    </row>
    <row r="5" spans="1:32">
      <c r="A5" s="79" t="s">
        <v>922</v>
      </c>
      <c r="B5" s="79" t="s">
        <v>907</v>
      </c>
      <c r="C5" s="79" t="s">
        <v>917</v>
      </c>
      <c r="D5" s="155"/>
      <c r="E5" s="172">
        <v>4070</v>
      </c>
      <c r="F5" s="172">
        <v>3602</v>
      </c>
      <c r="G5" s="172">
        <v>4038</v>
      </c>
      <c r="H5" s="172">
        <v>5052</v>
      </c>
      <c r="I5" s="173" t="s">
        <v>104</v>
      </c>
      <c r="J5" s="174">
        <v>3596</v>
      </c>
      <c r="K5" s="169" t="s">
        <v>923</v>
      </c>
      <c r="L5" s="159">
        <v>4300</v>
      </c>
      <c r="M5" s="159">
        <v>4694</v>
      </c>
      <c r="N5" s="160" t="s">
        <v>923</v>
      </c>
      <c r="O5" s="83">
        <v>4300</v>
      </c>
      <c r="P5" s="83">
        <v>3254</v>
      </c>
      <c r="Q5" s="161">
        <f t="shared" si="0"/>
        <v>-0.24325581395348836</v>
      </c>
      <c r="R5" s="162" t="s">
        <v>924</v>
      </c>
      <c r="S5" s="118">
        <f t="shared" ref="S5:T5" si="8">S4*S6</f>
        <v>5625</v>
      </c>
      <c r="T5" s="118">
        <f t="shared" si="8"/>
        <v>4574.24</v>
      </c>
      <c r="U5" s="163">
        <f t="shared" si="1"/>
        <v>-0.18680177777777782</v>
      </c>
      <c r="V5" s="163">
        <f t="shared" si="2"/>
        <v>1.4057283343577136</v>
      </c>
      <c r="W5" s="164" t="s">
        <v>925</v>
      </c>
      <c r="X5" s="165">
        <f>X4*X6</f>
        <v>7730.4655999999995</v>
      </c>
      <c r="Y5" s="165">
        <v>4192</v>
      </c>
      <c r="Z5" s="163">
        <f t="shared" si="3"/>
        <v>-0.45772994578748266</v>
      </c>
      <c r="AA5" s="163">
        <f t="shared" si="4"/>
        <v>-8.3563608380845741E-2</v>
      </c>
      <c r="AB5" s="166" t="s">
        <v>925</v>
      </c>
      <c r="AC5" s="167">
        <f t="shared" si="5"/>
        <v>4820.7999999999993</v>
      </c>
      <c r="AD5" s="168">
        <v>3314</v>
      </c>
      <c r="AE5" s="167">
        <f t="shared" si="6"/>
        <v>4071.6</v>
      </c>
      <c r="AF5" s="168">
        <f t="shared" si="7"/>
        <v>5543.9199999999992</v>
      </c>
    </row>
    <row r="6" spans="1:32">
      <c r="A6" s="79" t="s">
        <v>926</v>
      </c>
      <c r="B6" s="79" t="s">
        <v>907</v>
      </c>
      <c r="C6" s="79" t="s">
        <v>917</v>
      </c>
      <c r="D6" s="155"/>
      <c r="E6" s="175">
        <v>1.87</v>
      </c>
      <c r="F6" s="175">
        <v>1.82</v>
      </c>
      <c r="G6" s="175">
        <v>1.97</v>
      </c>
      <c r="H6" s="175">
        <v>2.25</v>
      </c>
      <c r="I6" s="176"/>
      <c r="J6" s="177">
        <v>2.02</v>
      </c>
      <c r="K6" s="169" t="s">
        <v>927</v>
      </c>
      <c r="L6" s="159">
        <v>1.9</v>
      </c>
      <c r="M6" s="159">
        <v>1.84</v>
      </c>
      <c r="N6" s="160"/>
      <c r="O6" s="178">
        <v>2</v>
      </c>
      <c r="P6" s="179">
        <v>1.87</v>
      </c>
      <c r="Q6" s="161">
        <f t="shared" si="0"/>
        <v>-6.4999999999999947E-2</v>
      </c>
      <c r="R6" s="162" t="s">
        <v>920</v>
      </c>
      <c r="S6" s="180">
        <v>2.5</v>
      </c>
      <c r="T6" s="118">
        <v>2.5299999999999998</v>
      </c>
      <c r="U6" s="163">
        <f t="shared" si="1"/>
        <v>1.1999999999999922E-2</v>
      </c>
      <c r="V6" s="163">
        <f t="shared" si="2"/>
        <v>1.3529411764705881</v>
      </c>
      <c r="W6" s="164" t="s">
        <v>925</v>
      </c>
      <c r="X6" s="165">
        <f>T6*1.3</f>
        <v>3.2889999999999997</v>
      </c>
      <c r="Y6" s="165">
        <v>2.4700000000000002</v>
      </c>
      <c r="Z6" s="163">
        <f t="shared" si="3"/>
        <v>-0.24901185770750975</v>
      </c>
      <c r="AA6" s="163">
        <f t="shared" si="4"/>
        <v>-2.3715415019762692E-2</v>
      </c>
      <c r="AB6" s="166" t="s">
        <v>925</v>
      </c>
      <c r="AC6" s="181">
        <f t="shared" si="5"/>
        <v>2.8405</v>
      </c>
      <c r="AD6" s="168">
        <v>2.23</v>
      </c>
      <c r="AE6" s="182">
        <f t="shared" si="6"/>
        <v>1.986</v>
      </c>
      <c r="AF6" s="168">
        <f t="shared" si="7"/>
        <v>3.2665749999999996</v>
      </c>
    </row>
    <row r="7" spans="1:32">
      <c r="A7" s="79" t="s">
        <v>928</v>
      </c>
      <c r="B7" s="79" t="s">
        <v>907</v>
      </c>
      <c r="C7" s="79" t="s">
        <v>929</v>
      </c>
      <c r="D7" s="155" t="s">
        <v>930</v>
      </c>
      <c r="E7" s="183">
        <v>0.15694444444444444</v>
      </c>
      <c r="F7" s="183">
        <v>0.15694444444444444</v>
      </c>
      <c r="G7" s="183">
        <v>0.13125000000000001</v>
      </c>
      <c r="H7" s="183">
        <v>0.1361111111111111</v>
      </c>
      <c r="I7" s="184"/>
      <c r="J7" s="185">
        <v>0.125</v>
      </c>
      <c r="K7" s="169" t="s">
        <v>931</v>
      </c>
      <c r="L7" s="186">
        <v>0.14097222222222222</v>
      </c>
      <c r="M7" s="186">
        <v>0.1361111111111111</v>
      </c>
      <c r="N7" s="160" t="s">
        <v>932</v>
      </c>
      <c r="O7" s="187">
        <v>0.15625</v>
      </c>
      <c r="P7" s="187">
        <v>0.14930555555555555</v>
      </c>
      <c r="Q7" s="161">
        <f t="shared" si="0"/>
        <v>-4.4444444444444467E-2</v>
      </c>
      <c r="R7" s="162" t="s">
        <v>920</v>
      </c>
      <c r="S7" s="188">
        <v>0.16666666666666666</v>
      </c>
      <c r="T7" s="188">
        <v>0.16875000000000001</v>
      </c>
      <c r="U7" s="163">
        <f t="shared" si="1"/>
        <v>1.2500000000000122E-2</v>
      </c>
      <c r="V7" s="163">
        <f t="shared" si="2"/>
        <v>1.1302325581395349</v>
      </c>
      <c r="W7" s="171" t="s">
        <v>933</v>
      </c>
      <c r="X7" s="189">
        <v>0.19791666666666666</v>
      </c>
      <c r="Y7" s="189">
        <v>0.15555555555555556</v>
      </c>
      <c r="Z7" s="163">
        <f t="shared" si="3"/>
        <v>-0.21403508771929819</v>
      </c>
      <c r="AA7" s="163">
        <f t="shared" si="4"/>
        <v>-7.818930041152268E-2</v>
      </c>
      <c r="AB7" s="166" t="s">
        <v>925</v>
      </c>
      <c r="AC7" s="190">
        <v>0.17847222222222223</v>
      </c>
      <c r="AD7" s="190">
        <v>0.14374999999999999</v>
      </c>
      <c r="AE7" s="190">
        <f t="shared" si="6"/>
        <v>0.14124999999999999</v>
      </c>
      <c r="AF7" s="168">
        <f t="shared" si="7"/>
        <v>0.20524305555555555</v>
      </c>
    </row>
    <row r="8" spans="1:32">
      <c r="A8" s="79" t="s">
        <v>934</v>
      </c>
      <c r="B8" s="79"/>
      <c r="C8" s="79"/>
      <c r="D8" s="155"/>
      <c r="E8" s="77"/>
      <c r="F8" s="77"/>
      <c r="G8" s="77"/>
      <c r="H8" s="77"/>
      <c r="I8" s="156"/>
      <c r="J8" s="157">
        <v>1.08</v>
      </c>
      <c r="K8" s="191"/>
      <c r="L8" s="192">
        <f>L9/L4</f>
        <v>1.3595652173913044</v>
      </c>
      <c r="M8" s="159">
        <v>0.91</v>
      </c>
      <c r="N8" s="160"/>
      <c r="O8" s="179">
        <f>O9/O4</f>
        <v>1.0349999999999999</v>
      </c>
      <c r="P8" s="83">
        <v>1.45</v>
      </c>
      <c r="Q8" s="161">
        <f t="shared" si="0"/>
        <v>0.40096618357487929</v>
      </c>
      <c r="R8" s="162" t="s">
        <v>920</v>
      </c>
      <c r="S8" s="180">
        <v>2.2000000000000002</v>
      </c>
      <c r="T8" s="118">
        <v>2.48</v>
      </c>
      <c r="U8" s="163">
        <f t="shared" si="1"/>
        <v>0.12727272727272718</v>
      </c>
      <c r="V8" s="163">
        <f t="shared" si="2"/>
        <v>1.710344827586207</v>
      </c>
      <c r="W8" s="171" t="s">
        <v>933</v>
      </c>
      <c r="X8" s="165">
        <v>3</v>
      </c>
      <c r="Y8" s="165">
        <v>2.44</v>
      </c>
      <c r="Z8" s="163">
        <f t="shared" si="3"/>
        <v>-0.18666666666666668</v>
      </c>
      <c r="AA8" s="163">
        <f t="shared" si="4"/>
        <v>-1.612903225806453E-2</v>
      </c>
      <c r="AB8" s="166" t="s">
        <v>925</v>
      </c>
      <c r="AC8" s="181">
        <f t="shared" ref="AC8:AD16" si="9">Y8*1.15</f>
        <v>2.8059999999999996</v>
      </c>
      <c r="AD8" s="168">
        <v>1.97</v>
      </c>
      <c r="AE8" s="168"/>
      <c r="AF8" s="168">
        <f t="shared" si="7"/>
        <v>3.2268999999999992</v>
      </c>
    </row>
    <row r="9" spans="1:32">
      <c r="A9" s="79" t="s">
        <v>935</v>
      </c>
      <c r="B9" s="79" t="s">
        <v>936</v>
      </c>
      <c r="C9" s="79" t="s">
        <v>937</v>
      </c>
      <c r="D9" s="155" t="s">
        <v>938</v>
      </c>
      <c r="E9" s="77">
        <v>4180</v>
      </c>
      <c r="F9" s="77">
        <v>3437</v>
      </c>
      <c r="G9" s="77">
        <v>2805</v>
      </c>
      <c r="H9" s="77">
        <v>3116</v>
      </c>
      <c r="I9" s="156" t="s">
        <v>939</v>
      </c>
      <c r="J9" s="157">
        <v>2101</v>
      </c>
      <c r="K9" s="191" t="s">
        <v>940</v>
      </c>
      <c r="L9" s="159">
        <v>3127</v>
      </c>
      <c r="M9" s="159">
        <v>1500</v>
      </c>
      <c r="N9" s="160" t="s">
        <v>941</v>
      </c>
      <c r="O9" s="83">
        <f t="shared" ref="O9:O10" si="10">(J9+H9+G9+M9)/4</f>
        <v>2380.5</v>
      </c>
      <c r="P9" s="83">
        <v>3285</v>
      </c>
      <c r="Q9" s="161">
        <f t="shared" si="0"/>
        <v>0.37996219281663518</v>
      </c>
      <c r="R9" s="162" t="s">
        <v>920</v>
      </c>
      <c r="S9" s="118">
        <f t="shared" ref="S9:T9" si="11">S4*S8</f>
        <v>4950</v>
      </c>
      <c r="T9" s="118">
        <f t="shared" si="11"/>
        <v>4483.84</v>
      </c>
      <c r="U9" s="163">
        <f t="shared" si="1"/>
        <v>-9.417373737373734E-2</v>
      </c>
      <c r="V9" s="163">
        <f t="shared" si="2"/>
        <v>1.3649436834094368</v>
      </c>
      <c r="W9" s="171" t="s">
        <v>942</v>
      </c>
      <c r="X9" s="165">
        <f>X8*X4</f>
        <v>7051.2000000000007</v>
      </c>
      <c r="Y9" s="165">
        <v>4132</v>
      </c>
      <c r="Z9" s="163">
        <f t="shared" si="3"/>
        <v>-0.41400045382346273</v>
      </c>
      <c r="AA9" s="163">
        <f t="shared" si="4"/>
        <v>-7.8468455609477614E-2</v>
      </c>
      <c r="AB9" s="166" t="s">
        <v>925</v>
      </c>
      <c r="AC9" s="167">
        <f t="shared" si="9"/>
        <v>4751.7999999999993</v>
      </c>
      <c r="AD9" s="168">
        <v>2918</v>
      </c>
      <c r="AE9" s="168">
        <f t="shared" ref="AE9:AE10" si="12">AVERAGE(E9:J9)</f>
        <v>3127.8</v>
      </c>
      <c r="AF9" s="168">
        <f t="shared" si="7"/>
        <v>5464.5699999999988</v>
      </c>
    </row>
    <row r="10" spans="1:32">
      <c r="A10" s="79" t="s">
        <v>943</v>
      </c>
      <c r="B10" s="79" t="s">
        <v>936</v>
      </c>
      <c r="C10" s="79" t="s">
        <v>937</v>
      </c>
      <c r="D10" s="155" t="s">
        <v>944</v>
      </c>
      <c r="E10" s="77">
        <v>1717</v>
      </c>
      <c r="F10" s="77">
        <v>1312</v>
      </c>
      <c r="G10" s="77">
        <v>853</v>
      </c>
      <c r="H10" s="77">
        <v>677</v>
      </c>
      <c r="I10" s="156"/>
      <c r="J10" s="157">
        <v>491</v>
      </c>
      <c r="K10" s="169"/>
      <c r="L10" s="159"/>
      <c r="M10" s="159">
        <v>388</v>
      </c>
      <c r="N10" s="160" t="s">
        <v>945</v>
      </c>
      <c r="O10" s="83">
        <f t="shared" si="10"/>
        <v>602.25</v>
      </c>
      <c r="P10" s="83">
        <v>1237</v>
      </c>
      <c r="Q10" s="161">
        <f t="shared" si="0"/>
        <v>1.0539643005396431</v>
      </c>
      <c r="R10" s="162" t="s">
        <v>946</v>
      </c>
      <c r="S10" s="118">
        <v>1500</v>
      </c>
      <c r="T10" s="118">
        <v>1415</v>
      </c>
      <c r="U10" s="163">
        <f t="shared" si="1"/>
        <v>-5.6666666666666664E-2</v>
      </c>
      <c r="V10" s="163">
        <f t="shared" si="2"/>
        <v>1.1438965238480194</v>
      </c>
      <c r="W10" s="171" t="s">
        <v>933</v>
      </c>
      <c r="X10" s="165">
        <f>T10*V10</f>
        <v>1618.6135812449475</v>
      </c>
      <c r="Y10" s="165">
        <v>1181</v>
      </c>
      <c r="Z10" s="163">
        <f t="shared" si="3"/>
        <v>-0.27036322091673015</v>
      </c>
      <c r="AA10" s="163">
        <f t="shared" si="4"/>
        <v>-0.16537102473498233</v>
      </c>
      <c r="AB10" s="166" t="s">
        <v>925</v>
      </c>
      <c r="AC10" s="167">
        <f t="shared" si="9"/>
        <v>1358.1499999999999</v>
      </c>
      <c r="AD10" s="168">
        <v>665</v>
      </c>
      <c r="AE10" s="168">
        <f t="shared" si="12"/>
        <v>1010</v>
      </c>
      <c r="AF10" s="168">
        <f t="shared" si="7"/>
        <v>1561.8724999999997</v>
      </c>
    </row>
    <row r="11" spans="1:32">
      <c r="A11" s="79" t="s">
        <v>947</v>
      </c>
      <c r="B11" s="79"/>
      <c r="C11" s="79"/>
      <c r="D11" s="155"/>
      <c r="E11" s="77"/>
      <c r="F11" s="77"/>
      <c r="G11" s="77"/>
      <c r="H11" s="77"/>
      <c r="I11" s="156"/>
      <c r="J11" s="157"/>
      <c r="K11" s="169"/>
      <c r="L11" s="159"/>
      <c r="M11" s="159"/>
      <c r="N11" s="160"/>
      <c r="O11" s="179"/>
      <c r="P11" s="83"/>
      <c r="Q11" s="161"/>
      <c r="R11" s="162"/>
      <c r="S11" s="118">
        <f t="shared" ref="S11:T11" si="13">S10/S4</f>
        <v>0.66666666666666663</v>
      </c>
      <c r="T11" s="118">
        <f t="shared" si="13"/>
        <v>0.78263274336283184</v>
      </c>
      <c r="U11" s="163"/>
      <c r="V11" s="163"/>
      <c r="W11" s="171"/>
      <c r="X11" s="165">
        <f t="shared" ref="X11:Y11" si="14">X10/X4</f>
        <v>0.68865451890952489</v>
      </c>
      <c r="Y11" s="165">
        <f t="shared" si="14"/>
        <v>0.69675516224188794</v>
      </c>
      <c r="Z11" s="163"/>
      <c r="AA11" s="163"/>
      <c r="AB11" s="193"/>
      <c r="AC11" s="181">
        <f t="shared" si="9"/>
        <v>0.80126843657817104</v>
      </c>
      <c r="AD11" s="181">
        <f>AD10/AD4</f>
        <v>0.44841537424140254</v>
      </c>
      <c r="AE11" s="168"/>
      <c r="AF11" s="168">
        <f t="shared" si="7"/>
        <v>0.92145870206489666</v>
      </c>
    </row>
    <row r="12" spans="1:32">
      <c r="A12" s="79" t="s">
        <v>948</v>
      </c>
      <c r="B12" s="79" t="s">
        <v>936</v>
      </c>
      <c r="C12" s="79" t="s">
        <v>949</v>
      </c>
      <c r="D12" s="155" t="s">
        <v>950</v>
      </c>
      <c r="E12" s="77">
        <v>1.25</v>
      </c>
      <c r="F12" s="77">
        <v>1.46</v>
      </c>
      <c r="G12" s="77">
        <v>0.96</v>
      </c>
      <c r="H12" s="77">
        <v>0.72</v>
      </c>
      <c r="I12" s="156"/>
      <c r="J12" s="157">
        <v>0.46</v>
      </c>
      <c r="K12" s="169"/>
      <c r="L12" s="159"/>
      <c r="M12" s="159">
        <v>0.51</v>
      </c>
      <c r="N12" s="160" t="s">
        <v>951</v>
      </c>
      <c r="O12" s="179">
        <f>((M12+J12+H12+G12)/4)*1.25</f>
        <v>0.828125</v>
      </c>
      <c r="P12" s="83">
        <v>0.77</v>
      </c>
      <c r="Q12" s="161">
        <f t="shared" ref="Q12:Q13" si="15">(P12-O12)/O12</f>
        <v>-7.0188679245282992E-2</v>
      </c>
      <c r="R12" s="162"/>
      <c r="S12" s="118">
        <v>1</v>
      </c>
      <c r="T12" s="118">
        <v>1.1399999999999999</v>
      </c>
      <c r="U12" s="163">
        <f t="shared" ref="U12:U16" si="16">(T12-S12)/S12</f>
        <v>0.1399999999999999</v>
      </c>
      <c r="V12" s="163">
        <f t="shared" ref="V12:V15" si="17">(T12)/P12</f>
        <v>1.4805194805194803</v>
      </c>
      <c r="W12" s="171"/>
      <c r="X12" s="165">
        <f>T12*1.2</f>
        <v>1.3679999999999999</v>
      </c>
      <c r="Y12" s="165">
        <v>0.73</v>
      </c>
      <c r="Z12" s="163">
        <f t="shared" ref="Z12:Z16" si="18">(Y12-X12)/X12</f>
        <v>-0.46637426900584794</v>
      </c>
      <c r="AA12" s="163">
        <f t="shared" ref="AA12:AA16" si="19">(Y12-T12)/T12</f>
        <v>-0.3596491228070175</v>
      </c>
      <c r="AB12" s="193"/>
      <c r="AC12" s="181">
        <f t="shared" si="9"/>
        <v>0.83949999999999991</v>
      </c>
      <c r="AD12" s="168"/>
      <c r="AE12" s="168">
        <f>AVERAGE(E12:J12)</f>
        <v>0.97</v>
      </c>
      <c r="AF12" s="168">
        <f t="shared" si="7"/>
        <v>0.96542499999999987</v>
      </c>
    </row>
    <row r="13" spans="1:32">
      <c r="A13" s="79" t="s">
        <v>952</v>
      </c>
      <c r="B13" s="79"/>
      <c r="C13" s="79"/>
      <c r="D13" s="155"/>
      <c r="E13" s="77"/>
      <c r="F13" s="194"/>
      <c r="G13" s="194"/>
      <c r="H13" s="194"/>
      <c r="I13" s="195"/>
      <c r="J13" s="196"/>
      <c r="K13" s="169"/>
      <c r="L13" s="159"/>
      <c r="M13" s="159">
        <v>0.17</v>
      </c>
      <c r="N13" s="160"/>
      <c r="O13" s="83">
        <v>0.25</v>
      </c>
      <c r="P13" s="83">
        <v>0.36</v>
      </c>
      <c r="Q13" s="161">
        <f t="shared" si="15"/>
        <v>0.43999999999999995</v>
      </c>
      <c r="R13" s="162"/>
      <c r="S13" s="118">
        <v>0.45</v>
      </c>
      <c r="T13" s="118">
        <v>0.45</v>
      </c>
      <c r="U13" s="163">
        <f t="shared" si="16"/>
        <v>0</v>
      </c>
      <c r="V13" s="163">
        <f t="shared" si="17"/>
        <v>1.25</v>
      </c>
      <c r="W13" s="171"/>
      <c r="X13" s="165">
        <f>T13*1.25</f>
        <v>0.5625</v>
      </c>
      <c r="Y13" s="165">
        <v>0.28999999999999998</v>
      </c>
      <c r="Z13" s="163">
        <f t="shared" si="18"/>
        <v>-0.48444444444444446</v>
      </c>
      <c r="AA13" s="163">
        <f t="shared" si="19"/>
        <v>-0.35555555555555562</v>
      </c>
      <c r="AB13" s="193"/>
      <c r="AC13" s="181">
        <f t="shared" si="9"/>
        <v>0.33349999999999996</v>
      </c>
      <c r="AD13" s="168"/>
      <c r="AE13" s="168"/>
      <c r="AF13" s="168">
        <f t="shared" si="7"/>
        <v>0.38352499999999995</v>
      </c>
    </row>
    <row r="14" spans="1:32">
      <c r="A14" s="79" t="s">
        <v>953</v>
      </c>
      <c r="B14" s="79" t="s">
        <v>954</v>
      </c>
      <c r="C14" s="79" t="s">
        <v>955</v>
      </c>
      <c r="D14" s="155"/>
      <c r="E14" s="77">
        <f>897+513+586</f>
        <v>1996</v>
      </c>
      <c r="F14" s="77">
        <f>592+665+602</f>
        <v>1859</v>
      </c>
      <c r="G14" s="77">
        <f>587+321+102</f>
        <v>1010</v>
      </c>
      <c r="H14" s="77">
        <f>124+276+395</f>
        <v>795</v>
      </c>
      <c r="I14" s="156"/>
      <c r="J14" s="121"/>
      <c r="K14" s="169" t="s">
        <v>956</v>
      </c>
      <c r="L14" s="159"/>
      <c r="M14" s="159"/>
      <c r="N14" s="160"/>
      <c r="O14" s="83"/>
      <c r="P14" s="83">
        <v>628</v>
      </c>
      <c r="Q14" s="83"/>
      <c r="R14" s="162" t="s">
        <v>941</v>
      </c>
      <c r="S14" s="118">
        <v>700</v>
      </c>
      <c r="T14" s="118">
        <v>818</v>
      </c>
      <c r="U14" s="163">
        <f t="shared" si="16"/>
        <v>0.16857142857142857</v>
      </c>
      <c r="V14" s="163">
        <f t="shared" si="17"/>
        <v>1.302547770700637</v>
      </c>
      <c r="W14" s="171"/>
      <c r="X14" s="197">
        <f>X13*X4</f>
        <v>1322.1000000000001</v>
      </c>
      <c r="Y14" s="197">
        <v>483</v>
      </c>
      <c r="Z14" s="163">
        <f t="shared" si="18"/>
        <v>-0.63467211254821876</v>
      </c>
      <c r="AA14" s="163">
        <f t="shared" si="19"/>
        <v>-0.40953545232273841</v>
      </c>
      <c r="AB14" s="193"/>
      <c r="AC14" s="167">
        <f t="shared" si="9"/>
        <v>555.44999999999993</v>
      </c>
      <c r="AD14" s="168"/>
      <c r="AE14" s="168">
        <f>AVERAGE(E14:J14)</f>
        <v>1415</v>
      </c>
      <c r="AF14" s="168">
        <f t="shared" si="7"/>
        <v>638.76749999999993</v>
      </c>
    </row>
    <row r="15" spans="1:32">
      <c r="A15" s="79" t="s">
        <v>957</v>
      </c>
      <c r="B15" s="79" t="s">
        <v>954</v>
      </c>
      <c r="C15" s="79" t="s">
        <v>955</v>
      </c>
      <c r="D15" s="155"/>
      <c r="E15" s="77">
        <f>141+31+157</f>
        <v>329</v>
      </c>
      <c r="F15" s="77">
        <f>129+124+112</f>
        <v>365</v>
      </c>
      <c r="G15" s="77">
        <f>120+91+18</f>
        <v>229</v>
      </c>
      <c r="H15" s="77">
        <f>22+91+118</f>
        <v>231</v>
      </c>
      <c r="I15" s="156"/>
      <c r="J15" s="157">
        <v>155</v>
      </c>
      <c r="K15" s="169"/>
      <c r="L15" s="159"/>
      <c r="M15" s="159"/>
      <c r="N15" s="160"/>
      <c r="O15" s="83">
        <v>200</v>
      </c>
      <c r="P15" s="83">
        <v>195</v>
      </c>
      <c r="Q15" s="83"/>
      <c r="R15" s="162"/>
      <c r="S15" s="118">
        <v>250</v>
      </c>
      <c r="T15" s="118">
        <v>259</v>
      </c>
      <c r="U15" s="163">
        <f t="shared" si="16"/>
        <v>3.5999999999999997E-2</v>
      </c>
      <c r="V15" s="163">
        <f t="shared" si="17"/>
        <v>1.3282051282051281</v>
      </c>
      <c r="W15" s="171"/>
      <c r="X15" s="197">
        <f>T15*1.2</f>
        <v>310.8</v>
      </c>
      <c r="Y15" s="197">
        <v>130</v>
      </c>
      <c r="Z15" s="163">
        <f t="shared" si="18"/>
        <v>-0.58172458172458175</v>
      </c>
      <c r="AA15" s="163">
        <f t="shared" si="19"/>
        <v>-0.49806949806949807</v>
      </c>
      <c r="AB15" s="193"/>
      <c r="AC15" s="167">
        <f t="shared" si="9"/>
        <v>149.5</v>
      </c>
      <c r="AD15" s="168"/>
      <c r="AE15" s="168"/>
      <c r="AF15" s="168">
        <f t="shared" si="7"/>
        <v>171.92499999999998</v>
      </c>
    </row>
    <row r="16" spans="1:32">
      <c r="A16" s="79" t="s">
        <v>958</v>
      </c>
      <c r="B16" s="79"/>
      <c r="C16" s="79"/>
      <c r="D16" s="155"/>
      <c r="E16" s="77"/>
      <c r="F16" s="77"/>
      <c r="G16" s="77"/>
      <c r="H16" s="77"/>
      <c r="I16" s="156"/>
      <c r="J16" s="157"/>
      <c r="K16" s="169"/>
      <c r="L16" s="159"/>
      <c r="M16" s="159"/>
      <c r="N16" s="160"/>
      <c r="O16" s="83"/>
      <c r="P16" s="83"/>
      <c r="Q16" s="161"/>
      <c r="R16" s="162"/>
      <c r="S16" s="118">
        <v>300</v>
      </c>
      <c r="T16" s="118">
        <v>370</v>
      </c>
      <c r="U16" s="163">
        <f t="shared" si="16"/>
        <v>0.23333333333333334</v>
      </c>
      <c r="V16" s="198"/>
      <c r="W16" s="171"/>
      <c r="X16" s="197">
        <v>300</v>
      </c>
      <c r="Y16" s="197">
        <v>236</v>
      </c>
      <c r="Z16" s="163">
        <f t="shared" si="18"/>
        <v>-0.21333333333333335</v>
      </c>
      <c r="AA16" s="163">
        <f t="shared" si="19"/>
        <v>-0.36216216216216218</v>
      </c>
      <c r="AB16" s="193"/>
      <c r="AC16" s="167">
        <f t="shared" si="9"/>
        <v>271.39999999999998</v>
      </c>
      <c r="AD16" s="168"/>
      <c r="AE16" s="168"/>
      <c r="AF16" s="168">
        <f t="shared" si="7"/>
        <v>312.10999999999996</v>
      </c>
    </row>
    <row r="17" spans="1:32">
      <c r="A17" s="79" t="s">
        <v>959</v>
      </c>
      <c r="B17" s="79" t="s">
        <v>954</v>
      </c>
      <c r="C17" s="79" t="s">
        <v>955</v>
      </c>
      <c r="D17" s="155"/>
      <c r="E17" s="77">
        <f>330+183+201</f>
        <v>714</v>
      </c>
      <c r="F17" s="77">
        <f>217+204+179</f>
        <v>600</v>
      </c>
      <c r="G17" s="77">
        <f>174+62+30</f>
        <v>266</v>
      </c>
      <c r="H17" s="77">
        <f>13+39+193</f>
        <v>245</v>
      </c>
      <c r="I17" s="156"/>
      <c r="J17" s="157">
        <v>90</v>
      </c>
      <c r="K17" s="169"/>
      <c r="L17" s="159"/>
      <c r="M17" s="159">
        <v>72</v>
      </c>
      <c r="N17" s="160"/>
      <c r="O17" s="83">
        <v>50</v>
      </c>
      <c r="P17" s="83">
        <v>22</v>
      </c>
      <c r="Q17" s="83"/>
      <c r="R17" s="162"/>
      <c r="S17" s="118"/>
      <c r="T17" s="118"/>
      <c r="U17" s="163"/>
      <c r="V17" s="163"/>
      <c r="W17" s="171"/>
      <c r="X17" s="197">
        <f>T17*V17</f>
        <v>0</v>
      </c>
      <c r="Y17" s="89"/>
      <c r="Z17" s="163"/>
      <c r="AA17" s="163"/>
      <c r="AB17" s="193"/>
      <c r="AC17" s="168"/>
      <c r="AD17" s="168"/>
      <c r="AE17" s="168"/>
      <c r="AF17" s="168"/>
    </row>
    <row r="18" spans="1:32">
      <c r="A18" s="79"/>
      <c r="B18" s="79"/>
      <c r="C18" s="79"/>
      <c r="D18" s="155"/>
      <c r="E18" s="77"/>
      <c r="F18" s="77"/>
      <c r="G18" s="77"/>
      <c r="H18" s="77"/>
      <c r="I18" s="156"/>
      <c r="J18" s="157"/>
      <c r="K18" s="169"/>
      <c r="L18" s="159"/>
      <c r="M18" s="159"/>
      <c r="N18" s="160"/>
      <c r="O18" s="83"/>
      <c r="P18" s="83"/>
      <c r="Q18" s="161"/>
      <c r="R18" s="162"/>
      <c r="S18" s="118"/>
      <c r="T18" s="118"/>
      <c r="U18" s="198"/>
      <c r="V18" s="198"/>
      <c r="W18" s="171"/>
      <c r="X18" s="89"/>
      <c r="Y18" s="89"/>
      <c r="Z18" s="198"/>
      <c r="AA18" s="198"/>
      <c r="AB18" s="193"/>
      <c r="AC18" s="168"/>
      <c r="AD18" s="168"/>
      <c r="AE18" s="168"/>
      <c r="AF18" s="168"/>
    </row>
    <row r="19" spans="1:32">
      <c r="A19" s="79" t="s">
        <v>960</v>
      </c>
      <c r="B19" s="79"/>
      <c r="C19" s="79"/>
      <c r="D19" s="155" t="s">
        <v>961</v>
      </c>
      <c r="E19" s="77"/>
      <c r="F19" s="77"/>
      <c r="G19" s="77"/>
      <c r="H19" s="77"/>
      <c r="I19" s="156"/>
      <c r="J19" s="157"/>
      <c r="K19" s="169" t="s">
        <v>962</v>
      </c>
      <c r="L19" s="159"/>
      <c r="M19" s="159">
        <v>2.58</v>
      </c>
      <c r="N19" s="160" t="s">
        <v>963</v>
      </c>
      <c r="O19" s="179">
        <v>3</v>
      </c>
      <c r="P19" s="83"/>
      <c r="Q19" s="161"/>
      <c r="R19" s="162" t="s">
        <v>964</v>
      </c>
      <c r="S19" s="118"/>
      <c r="T19" s="118"/>
      <c r="U19" s="198"/>
      <c r="V19" s="198"/>
      <c r="W19" s="171"/>
      <c r="X19" s="89"/>
      <c r="Y19" s="89"/>
      <c r="Z19" s="198"/>
      <c r="AA19" s="198"/>
      <c r="AB19" s="193"/>
      <c r="AC19" s="168"/>
      <c r="AD19" s="168"/>
      <c r="AE19" s="168"/>
      <c r="AF19" s="168"/>
    </row>
    <row r="20" spans="1:32">
      <c r="A20" s="79" t="s">
        <v>965</v>
      </c>
      <c r="B20" s="79"/>
      <c r="C20" s="79"/>
      <c r="D20" s="155"/>
      <c r="E20" s="77"/>
      <c r="F20" s="194">
        <v>0.08</v>
      </c>
      <c r="G20" s="194">
        <v>0.14000000000000001</v>
      </c>
      <c r="H20" s="194">
        <v>0.23</v>
      </c>
      <c r="I20" s="195"/>
      <c r="J20" s="196">
        <v>0.25</v>
      </c>
      <c r="K20" s="169"/>
      <c r="L20" s="199">
        <v>0.03</v>
      </c>
      <c r="M20" s="199">
        <v>0.12</v>
      </c>
      <c r="N20" s="160" t="s">
        <v>966</v>
      </c>
      <c r="O20" s="200">
        <v>0.03</v>
      </c>
      <c r="P20" s="200">
        <v>0.19</v>
      </c>
      <c r="Q20" s="161"/>
      <c r="R20" s="162"/>
      <c r="S20" s="118"/>
      <c r="T20" s="118"/>
      <c r="U20" s="198"/>
      <c r="V20" s="198"/>
      <c r="W20" s="171"/>
      <c r="X20" s="89"/>
      <c r="Y20" s="89"/>
      <c r="Z20" s="198"/>
      <c r="AA20" s="198"/>
      <c r="AB20" s="193"/>
      <c r="AC20" s="168"/>
      <c r="AD20" s="168"/>
      <c r="AE20" s="168">
        <f>AVERAGE(E20:J20)</f>
        <v>0.17500000000000002</v>
      </c>
      <c r="AF20" s="168"/>
    </row>
    <row r="21" spans="1:32">
      <c r="A21" s="79"/>
      <c r="B21" s="79"/>
      <c r="C21" s="79"/>
      <c r="D21" s="155"/>
      <c r="E21" s="77"/>
      <c r="F21" s="77"/>
      <c r="G21" s="77"/>
      <c r="H21" s="77"/>
      <c r="I21" s="156"/>
      <c r="J21" s="157"/>
      <c r="K21" s="169"/>
      <c r="L21" s="159"/>
      <c r="M21" s="159"/>
      <c r="N21" s="160"/>
      <c r="O21" s="83"/>
      <c r="P21" s="83"/>
      <c r="Q21" s="161"/>
      <c r="R21" s="162"/>
      <c r="S21" s="118"/>
      <c r="T21" s="118"/>
      <c r="U21" s="198"/>
      <c r="V21" s="198"/>
      <c r="W21" s="171"/>
      <c r="X21" s="89"/>
      <c r="Y21" s="89"/>
      <c r="Z21" s="198"/>
      <c r="AA21" s="198"/>
      <c r="AB21" s="193"/>
      <c r="AC21" s="168"/>
      <c r="AD21" s="168"/>
      <c r="AE21" s="168"/>
      <c r="AF21" s="168"/>
    </row>
    <row r="22" spans="1:32">
      <c r="A22" s="79" t="s">
        <v>967</v>
      </c>
      <c r="B22" s="79" t="s">
        <v>936</v>
      </c>
      <c r="C22" s="79" t="s">
        <v>968</v>
      </c>
      <c r="D22" s="155" t="s">
        <v>969</v>
      </c>
      <c r="E22" s="77"/>
      <c r="F22" s="77"/>
      <c r="G22" s="77"/>
      <c r="H22" s="77">
        <v>1.2</v>
      </c>
      <c r="I22" s="156"/>
      <c r="J22" s="157"/>
      <c r="K22" s="169" t="s">
        <v>970</v>
      </c>
      <c r="L22" s="159">
        <v>2.2000000000000002</v>
      </c>
      <c r="M22" s="159"/>
      <c r="N22" s="160" t="s">
        <v>671</v>
      </c>
      <c r="O22" s="83"/>
      <c r="P22" s="83"/>
      <c r="Q22" s="161" t="e">
        <f>(P22-O22)/O22</f>
        <v>#DIV/0!</v>
      </c>
      <c r="R22" s="162"/>
      <c r="S22" s="118"/>
      <c r="T22" s="118"/>
      <c r="U22" s="198" t="e">
        <f>(T22-S22)/S22</f>
        <v>#DIV/0!</v>
      </c>
      <c r="V22" s="198"/>
      <c r="W22" s="171"/>
      <c r="X22" s="89"/>
      <c r="Y22" s="89"/>
      <c r="Z22" s="198" t="e">
        <f>(Y22-X22)/X22</f>
        <v>#DIV/0!</v>
      </c>
      <c r="AA22" s="198"/>
      <c r="AB22" s="193"/>
      <c r="AC22" s="168"/>
      <c r="AD22" s="168"/>
      <c r="AE22" s="168">
        <f>AVERAGE(E22:J22)</f>
        <v>1.2</v>
      </c>
      <c r="AF22" s="168"/>
    </row>
    <row r="23" spans="1:32">
      <c r="A23" s="89" t="s">
        <v>971</v>
      </c>
      <c r="B23" s="79"/>
      <c r="C23" s="79"/>
      <c r="D23" s="201"/>
      <c r="E23" s="95"/>
      <c r="F23" s="95"/>
      <c r="G23" s="95"/>
      <c r="H23" s="95"/>
      <c r="I23" s="202"/>
      <c r="J23" s="203"/>
      <c r="K23" s="169"/>
      <c r="L23" s="204"/>
      <c r="M23" s="159"/>
      <c r="N23" s="160"/>
      <c r="O23" s="83"/>
      <c r="P23" s="77">
        <v>8632</v>
      </c>
      <c r="Q23" s="161"/>
      <c r="R23" s="162"/>
      <c r="S23" s="118"/>
      <c r="T23" s="118">
        <v>9125</v>
      </c>
      <c r="U23" s="198"/>
      <c r="V23" s="198"/>
      <c r="W23" s="171"/>
      <c r="X23" s="89"/>
      <c r="Y23" s="89"/>
      <c r="Z23" s="198"/>
      <c r="AA23" s="198"/>
      <c r="AB23" s="193"/>
      <c r="AC23" s="168"/>
      <c r="AD23" s="168"/>
      <c r="AE23" s="168"/>
      <c r="AF23" s="168"/>
    </row>
    <row r="24" spans="1:32">
      <c r="A24" s="89" t="s">
        <v>972</v>
      </c>
      <c r="B24" s="79"/>
      <c r="C24" s="79"/>
      <c r="D24" s="201"/>
      <c r="E24" s="95"/>
      <c r="F24" s="95"/>
      <c r="G24" s="95"/>
      <c r="H24" s="95"/>
      <c r="I24" s="202"/>
      <c r="J24" s="203">
        <v>1307</v>
      </c>
      <c r="K24" s="169"/>
      <c r="L24" s="204">
        <v>2045</v>
      </c>
      <c r="M24" s="159"/>
      <c r="N24" s="160"/>
      <c r="O24" s="83"/>
      <c r="P24" s="205">
        <f>3486/P23</f>
        <v>0.40384615384615385</v>
      </c>
      <c r="Q24" s="161" t="e">
        <f t="shared" ref="Q24:Q27" si="20">(P24-O24)/O24</f>
        <v>#DIV/0!</v>
      </c>
      <c r="R24" s="206">
        <v>-0.15</v>
      </c>
      <c r="S24" s="207">
        <f>P24-0.15</f>
        <v>0.25384615384615383</v>
      </c>
      <c r="T24" s="208">
        <f>4385/T23</f>
        <v>0.48054794520547944</v>
      </c>
      <c r="U24" s="198">
        <f t="shared" ref="U24:U27" si="21">(T24-S24)/S24</f>
        <v>0.89306766293067674</v>
      </c>
      <c r="V24" s="198"/>
      <c r="W24" s="171"/>
      <c r="X24" s="89"/>
      <c r="Y24" s="89"/>
      <c r="Z24" s="198" t="e">
        <f t="shared" ref="Z24:Z27" si="22">(Y24-X24)/X24</f>
        <v>#DIV/0!</v>
      </c>
      <c r="AA24" s="198"/>
      <c r="AB24" s="193"/>
      <c r="AC24" s="168"/>
      <c r="AD24" s="168"/>
      <c r="AE24" s="168"/>
      <c r="AF24" s="168"/>
    </row>
    <row r="25" spans="1:32">
      <c r="A25" s="89" t="s">
        <v>973</v>
      </c>
      <c r="B25" s="79"/>
      <c r="C25" s="79"/>
      <c r="D25" s="201"/>
      <c r="E25" s="95"/>
      <c r="F25" s="95"/>
      <c r="G25" s="95"/>
      <c r="H25" s="95"/>
      <c r="I25" s="202"/>
      <c r="J25" s="203">
        <v>2220</v>
      </c>
      <c r="K25" s="169"/>
      <c r="L25" s="204">
        <f>2327-1439</f>
        <v>888</v>
      </c>
      <c r="M25" s="159"/>
      <c r="N25" s="160"/>
      <c r="O25" s="83"/>
      <c r="P25" s="205">
        <f>2141/P23</f>
        <v>0.24803058387395738</v>
      </c>
      <c r="Q25" s="161" t="e">
        <f t="shared" si="20"/>
        <v>#DIV/0!</v>
      </c>
      <c r="R25" s="206">
        <v>-0.1</v>
      </c>
      <c r="S25" s="207">
        <f>P25-0.1</f>
        <v>0.14803058387395737</v>
      </c>
      <c r="T25" s="208">
        <f>1882/T23</f>
        <v>0.20624657534246577</v>
      </c>
      <c r="U25" s="198">
        <f t="shared" si="21"/>
        <v>0.3932700253217753</v>
      </c>
      <c r="V25" s="198"/>
      <c r="W25" s="171"/>
      <c r="X25" s="89"/>
      <c r="Y25" s="89"/>
      <c r="Z25" s="198" t="e">
        <f t="shared" si="22"/>
        <v>#DIV/0!</v>
      </c>
      <c r="AA25" s="198"/>
      <c r="AB25" s="193"/>
      <c r="AC25" s="168"/>
      <c r="AD25" s="168"/>
      <c r="AE25" s="168"/>
      <c r="AF25" s="168"/>
    </row>
    <row r="26" spans="1:32">
      <c r="A26" s="89" t="s">
        <v>974</v>
      </c>
      <c r="B26" s="79"/>
      <c r="C26" s="79"/>
      <c r="D26" s="201"/>
      <c r="E26" s="95"/>
      <c r="F26" s="95"/>
      <c r="G26" s="95"/>
      <c r="H26" s="95"/>
      <c r="I26" s="202"/>
      <c r="J26" s="203">
        <v>1157</v>
      </c>
      <c r="K26" s="169"/>
      <c r="L26" s="204">
        <f>1439-1177</f>
        <v>262</v>
      </c>
      <c r="M26" s="159"/>
      <c r="N26" s="160"/>
      <c r="O26" s="83"/>
      <c r="P26" s="205">
        <f>1277/P23</f>
        <v>0.14793790546802596</v>
      </c>
      <c r="Q26" s="161" t="e">
        <f t="shared" si="20"/>
        <v>#DIV/0!</v>
      </c>
      <c r="R26" s="206">
        <v>-0.05</v>
      </c>
      <c r="S26" s="207">
        <f>P26-0.05</f>
        <v>9.7937905468025957E-2</v>
      </c>
      <c r="T26" s="208">
        <f>1090/T23</f>
        <v>0.11945205479452055</v>
      </c>
      <c r="U26" s="198">
        <f t="shared" si="21"/>
        <v>0.21967132361757902</v>
      </c>
      <c r="V26" s="198"/>
      <c r="W26" s="171"/>
      <c r="X26" s="89"/>
      <c r="Y26" s="89"/>
      <c r="Z26" s="198" t="e">
        <f t="shared" si="22"/>
        <v>#DIV/0!</v>
      </c>
      <c r="AA26" s="198"/>
      <c r="AB26" s="193"/>
      <c r="AC26" s="168"/>
      <c r="AD26" s="168"/>
      <c r="AE26" s="168"/>
      <c r="AF26" s="168"/>
    </row>
    <row r="27" spans="1:32">
      <c r="A27" s="89" t="s">
        <v>975</v>
      </c>
      <c r="B27" s="79"/>
      <c r="C27" s="79"/>
      <c r="D27" s="201"/>
      <c r="E27" s="95"/>
      <c r="F27" s="95"/>
      <c r="G27" s="95"/>
      <c r="H27" s="95"/>
      <c r="I27" s="202"/>
      <c r="J27" s="203"/>
      <c r="K27" s="169"/>
      <c r="L27" s="204">
        <f>1177-480-173</f>
        <v>524</v>
      </c>
      <c r="M27" s="159"/>
      <c r="N27" s="160"/>
      <c r="O27" s="83"/>
      <c r="P27" s="205">
        <f>1159/P23</f>
        <v>0.13426784059314179</v>
      </c>
      <c r="Q27" s="161" t="e">
        <f t="shared" si="20"/>
        <v>#DIV/0!</v>
      </c>
      <c r="R27" s="206">
        <v>0.15</v>
      </c>
      <c r="S27" s="207">
        <f>P27+0.15</f>
        <v>0.28426784059314181</v>
      </c>
      <c r="T27" s="208">
        <f>1054/T23</f>
        <v>0.11550684931506849</v>
      </c>
      <c r="U27" s="198">
        <f t="shared" si="21"/>
        <v>-0.59366895293517352</v>
      </c>
      <c r="V27" s="198"/>
      <c r="W27" s="171"/>
      <c r="X27" s="89"/>
      <c r="Y27" s="89"/>
      <c r="Z27" s="198" t="e">
        <f t="shared" si="22"/>
        <v>#DIV/0!</v>
      </c>
      <c r="AA27" s="198"/>
      <c r="AB27" s="193"/>
      <c r="AC27" s="168"/>
      <c r="AD27" s="168"/>
      <c r="AE27" s="168"/>
      <c r="AF27" s="168"/>
    </row>
    <row r="28" spans="1:32">
      <c r="A28" s="89" t="s">
        <v>976</v>
      </c>
      <c r="B28" s="79"/>
      <c r="C28" s="79"/>
      <c r="D28" s="201"/>
      <c r="E28" s="95"/>
      <c r="F28" s="95"/>
      <c r="G28" s="95"/>
      <c r="H28" s="87"/>
      <c r="I28" s="202"/>
      <c r="J28" s="203"/>
      <c r="K28" s="169"/>
      <c r="L28" s="204"/>
      <c r="M28" s="159"/>
      <c r="N28" s="160"/>
      <c r="O28" s="83"/>
      <c r="P28" s="205">
        <f>362/P23</f>
        <v>4.1936978683966633E-2</v>
      </c>
      <c r="Q28" s="161"/>
      <c r="R28" s="206">
        <v>0.1</v>
      </c>
      <c r="S28" s="207">
        <f>P28+0.1</f>
        <v>0.14193697868396665</v>
      </c>
      <c r="T28" s="209">
        <f>546/T23</f>
        <v>5.9835616438356165E-2</v>
      </c>
      <c r="U28" s="198"/>
      <c r="V28" s="198"/>
      <c r="W28" s="171"/>
      <c r="X28" s="89"/>
      <c r="Y28" s="89"/>
      <c r="Z28" s="198"/>
      <c r="AA28" s="198"/>
      <c r="AB28" s="193"/>
      <c r="AC28" s="168"/>
      <c r="AD28" s="168"/>
      <c r="AE28" s="168"/>
      <c r="AF28" s="168"/>
    </row>
    <row r="29" spans="1:32">
      <c r="A29" s="89" t="s">
        <v>977</v>
      </c>
      <c r="B29" s="79"/>
      <c r="C29" s="79"/>
      <c r="D29" s="201"/>
      <c r="E29" s="95"/>
      <c r="F29" s="95"/>
      <c r="G29" s="95"/>
      <c r="H29" s="87"/>
      <c r="I29" s="202"/>
      <c r="J29" s="203"/>
      <c r="K29" s="169"/>
      <c r="L29" s="204"/>
      <c r="M29" s="159"/>
      <c r="N29" s="160"/>
      <c r="O29" s="83"/>
      <c r="P29" s="205">
        <f>207/P23</f>
        <v>2.3980537534754404E-2</v>
      </c>
      <c r="Q29" s="161"/>
      <c r="R29" s="206">
        <v>0.05</v>
      </c>
      <c r="S29" s="207">
        <f>P29+0.05</f>
        <v>7.3980537534754406E-2</v>
      </c>
      <c r="T29" s="208">
        <f>168/T23</f>
        <v>1.8410958904109587E-2</v>
      </c>
      <c r="U29" s="198"/>
      <c r="V29" s="198"/>
      <c r="W29" s="171"/>
      <c r="X29" s="89"/>
      <c r="Y29" s="89"/>
      <c r="Z29" s="198"/>
      <c r="AA29" s="198"/>
      <c r="AB29" s="193"/>
      <c r="AC29" s="168"/>
      <c r="AD29" s="168"/>
      <c r="AE29" s="168"/>
      <c r="AF29" s="168"/>
    </row>
    <row r="30" spans="1:32">
      <c r="A30" s="89" t="s">
        <v>978</v>
      </c>
      <c r="B30" s="79"/>
      <c r="C30" s="79"/>
      <c r="D30" s="201"/>
      <c r="E30" s="95"/>
      <c r="F30" s="95"/>
      <c r="G30" s="95"/>
      <c r="H30" s="87"/>
      <c r="I30" s="202"/>
      <c r="J30" s="203">
        <v>48740</v>
      </c>
      <c r="K30" s="169"/>
      <c r="L30" s="204" t="s">
        <v>979</v>
      </c>
      <c r="M30" s="159"/>
      <c r="N30" s="160"/>
      <c r="O30" s="83"/>
      <c r="P30" s="83"/>
      <c r="Q30" s="161" t="e">
        <f t="shared" ref="Q30:Q34" si="23">(P30-O30)/O30</f>
        <v>#DIV/0!</v>
      </c>
      <c r="R30" s="162"/>
      <c r="S30" s="118"/>
      <c r="T30" s="118"/>
      <c r="U30" s="198" t="e">
        <f t="shared" ref="U30:U34" si="24">(T30-S30)/S30</f>
        <v>#DIV/0!</v>
      </c>
      <c r="V30" s="198"/>
      <c r="W30" s="171"/>
      <c r="X30" s="89"/>
      <c r="Y30" s="89"/>
      <c r="Z30" s="198" t="e">
        <f t="shared" ref="Z30:Z34" si="25">(Y30-X30)/X30</f>
        <v>#DIV/0!</v>
      </c>
      <c r="AA30" s="198"/>
      <c r="AB30" s="193"/>
      <c r="AC30" s="168"/>
      <c r="AD30" s="168"/>
      <c r="AE30" s="168"/>
      <c r="AF30" s="168"/>
    </row>
    <row r="31" spans="1:32">
      <c r="A31" s="79" t="s">
        <v>980</v>
      </c>
      <c r="B31" s="79" t="s">
        <v>954</v>
      </c>
      <c r="C31" s="79" t="s">
        <v>981</v>
      </c>
      <c r="D31" s="155" t="s">
        <v>982</v>
      </c>
      <c r="E31" s="77"/>
      <c r="F31" s="77"/>
      <c r="G31" s="77"/>
      <c r="H31" s="77"/>
      <c r="I31" s="156"/>
      <c r="J31" s="157"/>
      <c r="K31" s="169" t="s">
        <v>983</v>
      </c>
      <c r="L31" s="159"/>
      <c r="M31" s="159"/>
      <c r="N31" s="160"/>
      <c r="O31" s="83"/>
      <c r="P31" s="83"/>
      <c r="Q31" s="161" t="e">
        <f t="shared" si="23"/>
        <v>#DIV/0!</v>
      </c>
      <c r="R31" s="162"/>
      <c r="S31" s="118"/>
      <c r="T31" s="118"/>
      <c r="U31" s="198" t="e">
        <f t="shared" si="24"/>
        <v>#DIV/0!</v>
      </c>
      <c r="V31" s="198"/>
      <c r="W31" s="171"/>
      <c r="X31" s="89"/>
      <c r="Y31" s="89"/>
      <c r="Z31" s="198" t="e">
        <f t="shared" si="25"/>
        <v>#DIV/0!</v>
      </c>
      <c r="AA31" s="198"/>
      <c r="AB31" s="193"/>
      <c r="AC31" s="168"/>
      <c r="AD31" s="168"/>
      <c r="AE31" s="168" t="e">
        <f t="shared" ref="AE31:AE36" si="26">AVERAGE(E31:J31)</f>
        <v>#DIV/0!</v>
      </c>
      <c r="AF31" s="168"/>
    </row>
    <row r="32" spans="1:32">
      <c r="A32" s="79" t="s">
        <v>984</v>
      </c>
      <c r="B32" s="79" t="s">
        <v>936</v>
      </c>
      <c r="C32" s="79" t="s">
        <v>968</v>
      </c>
      <c r="D32" s="155" t="s">
        <v>985</v>
      </c>
      <c r="E32" s="77"/>
      <c r="F32" s="77"/>
      <c r="G32" s="77"/>
      <c r="H32" s="77"/>
      <c r="I32" s="156"/>
      <c r="J32" s="157"/>
      <c r="K32" s="169" t="s">
        <v>986</v>
      </c>
      <c r="L32" s="159"/>
      <c r="M32" s="159"/>
      <c r="N32" s="160"/>
      <c r="O32" s="83"/>
      <c r="P32" s="83"/>
      <c r="Q32" s="161" t="e">
        <f t="shared" si="23"/>
        <v>#DIV/0!</v>
      </c>
      <c r="R32" s="162"/>
      <c r="S32" s="118"/>
      <c r="T32" s="118"/>
      <c r="U32" s="198" t="e">
        <f t="shared" si="24"/>
        <v>#DIV/0!</v>
      </c>
      <c r="V32" s="198"/>
      <c r="W32" s="171"/>
      <c r="X32" s="89"/>
      <c r="Y32" s="89"/>
      <c r="Z32" s="198" t="e">
        <f t="shared" si="25"/>
        <v>#DIV/0!</v>
      </c>
      <c r="AA32" s="198"/>
      <c r="AB32" s="193"/>
      <c r="AC32" s="168"/>
      <c r="AD32" s="168"/>
      <c r="AE32" s="168" t="e">
        <f t="shared" si="26"/>
        <v>#DIV/0!</v>
      </c>
      <c r="AF32" s="168"/>
    </row>
    <row r="33" spans="1:31">
      <c r="A33" s="79" t="s">
        <v>987</v>
      </c>
      <c r="B33" s="79"/>
      <c r="C33" s="79"/>
      <c r="D33" s="155"/>
      <c r="E33" s="77"/>
      <c r="F33" s="77">
        <f>1090+930+33+4+1</f>
        <v>2058</v>
      </c>
      <c r="G33" s="77"/>
      <c r="H33" s="77"/>
      <c r="I33" s="156"/>
      <c r="J33" s="157"/>
      <c r="K33" s="191"/>
      <c r="L33" s="159"/>
      <c r="M33" s="159"/>
      <c r="N33" s="160"/>
      <c r="O33" s="83"/>
      <c r="P33" s="83"/>
      <c r="Q33" s="161" t="e">
        <f t="shared" si="23"/>
        <v>#DIV/0!</v>
      </c>
      <c r="R33" s="162"/>
      <c r="S33" s="118"/>
      <c r="T33" s="118"/>
      <c r="U33" s="198" t="e">
        <f t="shared" si="24"/>
        <v>#DIV/0!</v>
      </c>
      <c r="V33" s="198"/>
      <c r="W33" s="171"/>
      <c r="X33" s="89"/>
      <c r="Y33" s="89"/>
      <c r="Z33" s="198" t="e">
        <f t="shared" si="25"/>
        <v>#DIV/0!</v>
      </c>
      <c r="AA33" s="198"/>
      <c r="AB33" s="193"/>
      <c r="AC33" s="168"/>
      <c r="AD33" s="168"/>
      <c r="AE33" s="168">
        <f t="shared" si="26"/>
        <v>2058</v>
      </c>
    </row>
    <row r="34" spans="1:31">
      <c r="A34" s="79" t="s">
        <v>988</v>
      </c>
      <c r="B34" s="79"/>
      <c r="C34" s="79"/>
      <c r="D34" s="155"/>
      <c r="E34" s="77"/>
      <c r="F34" s="77"/>
      <c r="G34" s="77"/>
      <c r="H34" s="77"/>
      <c r="I34" s="156"/>
      <c r="J34" s="157"/>
      <c r="K34" s="191" t="s">
        <v>989</v>
      </c>
      <c r="L34" s="159"/>
      <c r="M34" s="159"/>
      <c r="N34" s="160"/>
      <c r="O34" s="83"/>
      <c r="P34" s="83"/>
      <c r="Q34" s="161" t="e">
        <f t="shared" si="23"/>
        <v>#DIV/0!</v>
      </c>
      <c r="R34" s="162" t="s">
        <v>990</v>
      </c>
      <c r="S34" s="118"/>
      <c r="T34" s="118"/>
      <c r="U34" s="198" t="e">
        <f t="shared" si="24"/>
        <v>#DIV/0!</v>
      </c>
      <c r="V34" s="198"/>
      <c r="W34" s="171" t="s">
        <v>990</v>
      </c>
      <c r="X34" s="89"/>
      <c r="Y34" s="89"/>
      <c r="Z34" s="198" t="e">
        <f t="shared" si="25"/>
        <v>#DIV/0!</v>
      </c>
      <c r="AA34" s="198"/>
      <c r="AB34" s="193"/>
      <c r="AC34" s="168"/>
      <c r="AD34" s="168"/>
      <c r="AE34" s="168" t="e">
        <f t="shared" si="26"/>
        <v>#DIV/0!</v>
      </c>
    </row>
    <row r="35" spans="1:31">
      <c r="A35" s="79" t="s">
        <v>991</v>
      </c>
      <c r="B35" s="79" t="s">
        <v>936</v>
      </c>
      <c r="C35" s="79" t="s">
        <v>968</v>
      </c>
      <c r="D35" s="155" t="s">
        <v>985</v>
      </c>
      <c r="E35" s="77"/>
      <c r="F35" s="77"/>
      <c r="G35" s="77"/>
      <c r="H35" s="77"/>
      <c r="I35" s="156"/>
      <c r="J35" s="157"/>
      <c r="K35" s="169" t="s">
        <v>992</v>
      </c>
      <c r="L35" s="159"/>
      <c r="M35" s="159"/>
      <c r="N35" s="160" t="s">
        <v>993</v>
      </c>
      <c r="O35" s="83"/>
      <c r="P35" s="83"/>
      <c r="Q35" s="83"/>
      <c r="R35" s="162" t="s">
        <v>994</v>
      </c>
      <c r="S35" s="118"/>
      <c r="T35" s="118"/>
      <c r="U35" s="84"/>
      <c r="V35" s="84"/>
      <c r="W35" s="171" t="s">
        <v>994</v>
      </c>
      <c r="X35" s="89"/>
      <c r="Y35" s="89"/>
      <c r="Z35" s="84"/>
      <c r="AA35" s="84"/>
      <c r="AB35" s="193"/>
      <c r="AC35" s="168"/>
      <c r="AD35" s="168"/>
      <c r="AE35" s="168" t="e">
        <f t="shared" si="26"/>
        <v>#DIV/0!</v>
      </c>
    </row>
    <row r="36" spans="1:31">
      <c r="A36" s="79" t="s">
        <v>995</v>
      </c>
      <c r="B36" s="79" t="s">
        <v>954</v>
      </c>
      <c r="C36" s="79" t="s">
        <v>955</v>
      </c>
      <c r="D36" s="155"/>
      <c r="E36" s="77" t="s">
        <v>842</v>
      </c>
      <c r="F36" s="77" t="s">
        <v>842</v>
      </c>
      <c r="G36" s="77" t="s">
        <v>842</v>
      </c>
      <c r="H36" s="77" t="s">
        <v>842</v>
      </c>
      <c r="I36" s="156"/>
      <c r="J36" s="157"/>
      <c r="K36" s="169"/>
      <c r="L36" s="210"/>
      <c r="M36" s="210"/>
      <c r="N36" s="160"/>
      <c r="O36" s="83"/>
      <c r="P36" s="83"/>
      <c r="Q36" s="83"/>
      <c r="R36" s="162" t="s">
        <v>996</v>
      </c>
      <c r="S36" s="118"/>
      <c r="T36" s="118"/>
      <c r="U36" s="84"/>
      <c r="V36" s="84"/>
      <c r="W36" s="171" t="s">
        <v>996</v>
      </c>
      <c r="X36" s="89"/>
      <c r="Y36" s="89"/>
      <c r="Z36" s="84"/>
      <c r="AA36" s="84"/>
      <c r="AB36" s="193"/>
      <c r="AC36" s="168"/>
      <c r="AD36" s="168"/>
      <c r="AE36" s="168" t="e">
        <f t="shared" si="26"/>
        <v>#DIV/0!</v>
      </c>
    </row>
    <row r="37" spans="1:31">
      <c r="A37" s="79" t="s">
        <v>997</v>
      </c>
      <c r="B37" s="79"/>
      <c r="C37" s="79"/>
      <c r="D37" s="155"/>
      <c r="E37" s="77"/>
      <c r="F37" s="77"/>
      <c r="G37" s="77"/>
      <c r="H37" s="77"/>
      <c r="I37" s="156"/>
      <c r="J37" s="121"/>
      <c r="K37" s="169"/>
      <c r="L37" s="159"/>
      <c r="M37" s="159"/>
      <c r="N37" s="160"/>
      <c r="O37" s="83"/>
      <c r="P37" s="83"/>
      <c r="Q37" s="83"/>
      <c r="R37" s="162"/>
      <c r="S37" s="118"/>
      <c r="T37" s="118"/>
      <c r="U37" s="84"/>
      <c r="V37" s="84"/>
      <c r="W37" s="171"/>
      <c r="X37" s="89"/>
      <c r="Y37" s="89"/>
      <c r="Z37" s="84"/>
      <c r="AA37" s="84"/>
      <c r="AB37" s="193"/>
      <c r="AC37" s="168"/>
      <c r="AD37" s="168"/>
      <c r="AE37" s="168"/>
    </row>
    <row r="38" spans="1:31">
      <c r="A38" s="79" t="s">
        <v>998</v>
      </c>
      <c r="B38" s="79"/>
      <c r="C38" s="79"/>
      <c r="D38" s="155"/>
      <c r="E38" s="77" t="s">
        <v>999</v>
      </c>
      <c r="F38" s="77" t="s">
        <v>999</v>
      </c>
      <c r="G38" s="77" t="s">
        <v>999</v>
      </c>
      <c r="H38" s="77" t="s">
        <v>999</v>
      </c>
      <c r="I38" s="156"/>
      <c r="J38" s="157" t="s">
        <v>999</v>
      </c>
      <c r="K38" s="169"/>
      <c r="L38" s="159" t="s">
        <v>867</v>
      </c>
      <c r="M38" s="159" t="s">
        <v>867</v>
      </c>
      <c r="N38" s="160"/>
      <c r="O38" s="83"/>
      <c r="P38" s="83"/>
      <c r="Q38" s="83"/>
      <c r="R38" s="162"/>
      <c r="S38" s="118"/>
      <c r="T38" s="118"/>
      <c r="U38" s="84"/>
      <c r="V38" s="84"/>
      <c r="W38" s="171"/>
      <c r="X38" s="89"/>
      <c r="Y38" s="89"/>
      <c r="Z38" s="84"/>
      <c r="AA38" s="84"/>
      <c r="AB38" s="193"/>
      <c r="AC38" s="168"/>
      <c r="AD38" s="168"/>
      <c r="AE38" s="168"/>
    </row>
    <row r="39" spans="1:31">
      <c r="A39" s="79" t="s">
        <v>1000</v>
      </c>
      <c r="B39" s="79"/>
      <c r="C39" s="79"/>
      <c r="D39" s="155"/>
      <c r="E39" s="77" t="s">
        <v>999</v>
      </c>
      <c r="F39" s="77" t="s">
        <v>999</v>
      </c>
      <c r="G39" s="77" t="s">
        <v>999</v>
      </c>
      <c r="H39" s="77" t="s">
        <v>999</v>
      </c>
      <c r="I39" s="156"/>
      <c r="J39" s="157" t="s">
        <v>999</v>
      </c>
      <c r="K39" s="169"/>
      <c r="L39" s="159" t="s">
        <v>867</v>
      </c>
      <c r="M39" s="159" t="s">
        <v>867</v>
      </c>
      <c r="N39" s="160"/>
      <c r="O39" s="83"/>
      <c r="P39" s="83"/>
      <c r="Q39" s="83"/>
      <c r="R39" s="162"/>
      <c r="S39" s="118"/>
      <c r="T39" s="118"/>
      <c r="U39" s="84"/>
      <c r="V39" s="84"/>
      <c r="W39" s="171"/>
      <c r="X39" s="89"/>
      <c r="Y39" s="89"/>
      <c r="Z39" s="84"/>
      <c r="AA39" s="84"/>
      <c r="AB39" s="193"/>
      <c r="AC39" s="168"/>
      <c r="AD39" s="168"/>
      <c r="AE39" s="168"/>
    </row>
    <row r="40" spans="1:31">
      <c r="D40" s="155"/>
      <c r="E40" s="77"/>
      <c r="F40" s="77"/>
      <c r="G40" s="77"/>
      <c r="H40" s="77" t="s">
        <v>1001</v>
      </c>
      <c r="I40" s="156" t="s">
        <v>1002</v>
      </c>
      <c r="J40" s="157"/>
      <c r="K40" s="169" t="s">
        <v>1003</v>
      </c>
      <c r="L40" s="159"/>
      <c r="M40" s="159"/>
      <c r="N40" s="160"/>
      <c r="O40" s="83"/>
      <c r="P40" s="83"/>
      <c r="Q40" s="83"/>
      <c r="R40" s="162"/>
      <c r="S40" s="118"/>
      <c r="T40" s="118"/>
      <c r="U40" s="84"/>
      <c r="V40" s="84"/>
      <c r="W40" s="171"/>
      <c r="X40" s="89"/>
      <c r="Y40" s="89"/>
      <c r="Z40" s="84"/>
      <c r="AA40" s="84"/>
      <c r="AB40" s="193"/>
      <c r="AC40" s="168"/>
      <c r="AD40" s="168"/>
      <c r="AE40" s="168"/>
    </row>
    <row r="41" spans="1:31">
      <c r="D41" s="155"/>
      <c r="E41" s="77"/>
      <c r="F41" s="77"/>
      <c r="G41" s="77"/>
      <c r="H41" s="77"/>
      <c r="I41" s="80"/>
      <c r="J41" s="157"/>
      <c r="K41" s="81"/>
      <c r="L41" s="159"/>
      <c r="M41" s="159"/>
      <c r="N41" s="211"/>
      <c r="O41" s="83"/>
      <c r="P41" s="83"/>
      <c r="Q41" s="83"/>
      <c r="R41" s="162"/>
      <c r="S41" s="118"/>
      <c r="T41" s="118"/>
      <c r="U41" s="84"/>
      <c r="V41" s="84"/>
      <c r="W41" s="171"/>
      <c r="X41" s="89"/>
      <c r="Y41" s="89"/>
      <c r="Z41" s="84"/>
      <c r="AA41" s="84"/>
      <c r="AB41" s="193"/>
      <c r="AC41" s="168"/>
      <c r="AD41" s="168"/>
      <c r="AE41" s="168"/>
    </row>
    <row r="42" spans="1:31">
      <c r="D42" s="155"/>
      <c r="E42" s="77"/>
      <c r="F42" s="77"/>
      <c r="G42" s="77"/>
      <c r="H42" s="77"/>
      <c r="I42" s="80"/>
      <c r="J42" s="157"/>
      <c r="K42" s="81"/>
      <c r="L42" s="159"/>
      <c r="M42" s="159"/>
      <c r="N42" s="211"/>
      <c r="O42" s="83"/>
      <c r="P42" s="83"/>
      <c r="Q42" s="83"/>
      <c r="R42" s="162"/>
      <c r="S42" s="118"/>
      <c r="T42" s="118"/>
      <c r="U42" s="84"/>
      <c r="V42" s="84"/>
      <c r="W42" s="171"/>
      <c r="X42" s="89"/>
      <c r="Y42" s="89"/>
      <c r="Z42" s="84"/>
      <c r="AA42" s="84"/>
      <c r="AB42" s="193"/>
      <c r="AC42" s="168"/>
      <c r="AD42" s="168"/>
      <c r="AE42" s="168"/>
    </row>
    <row r="43" spans="1:31">
      <c r="A43" s="79" t="s">
        <v>1004</v>
      </c>
      <c r="D43" s="155"/>
      <c r="E43" s="77" t="s">
        <v>1005</v>
      </c>
      <c r="F43" s="77"/>
      <c r="G43" s="77"/>
      <c r="H43" s="77"/>
      <c r="I43" s="80"/>
      <c r="J43" s="157"/>
      <c r="K43" s="81"/>
      <c r="L43" s="159"/>
      <c r="M43" s="159"/>
      <c r="N43" s="211"/>
      <c r="O43" s="83"/>
      <c r="P43" s="83"/>
      <c r="Q43" s="83"/>
      <c r="R43" s="162"/>
      <c r="S43" s="118"/>
      <c r="T43" s="118"/>
      <c r="U43" s="84"/>
      <c r="V43" s="84"/>
      <c r="W43" s="171"/>
      <c r="X43" s="89"/>
      <c r="Y43" s="89"/>
      <c r="Z43" s="84"/>
      <c r="AA43" s="84"/>
      <c r="AB43" s="193"/>
      <c r="AC43" s="168"/>
      <c r="AD43" s="168"/>
      <c r="AE43" s="168"/>
    </row>
    <row r="44" spans="1:31">
      <c r="A44" s="79" t="s">
        <v>1006</v>
      </c>
      <c r="D44" s="155"/>
      <c r="E44" s="77"/>
      <c r="F44" s="77"/>
      <c r="G44" s="77"/>
      <c r="H44" s="77"/>
      <c r="I44" s="80"/>
      <c r="J44" s="157"/>
      <c r="K44" s="81"/>
      <c r="L44" s="159"/>
      <c r="M44" s="159"/>
      <c r="N44" s="211"/>
      <c r="O44" s="83"/>
      <c r="P44" s="83"/>
      <c r="Q44" s="83"/>
      <c r="R44" s="162"/>
      <c r="S44" s="118"/>
      <c r="T44" s="118"/>
      <c r="U44" s="84"/>
      <c r="V44" s="84"/>
      <c r="W44" s="171"/>
      <c r="X44" s="89"/>
      <c r="Y44" s="89"/>
      <c r="Z44" s="84"/>
      <c r="AA44" s="84"/>
      <c r="AB44" s="193"/>
      <c r="AC44" s="168"/>
      <c r="AD44" s="168"/>
      <c r="AE44" s="168"/>
    </row>
    <row r="45" spans="1:31">
      <c r="D45" s="155"/>
      <c r="E45" s="77"/>
      <c r="F45" s="77"/>
      <c r="G45" s="77"/>
      <c r="H45" s="77"/>
      <c r="I45" s="80"/>
      <c r="J45" s="157"/>
      <c r="K45" s="81"/>
      <c r="L45" s="159"/>
      <c r="M45" s="159"/>
      <c r="N45" s="211"/>
      <c r="O45" s="83"/>
      <c r="P45" s="83"/>
      <c r="Q45" s="83"/>
      <c r="R45" s="162"/>
      <c r="S45" s="118"/>
      <c r="T45" s="118"/>
      <c r="U45" s="84"/>
      <c r="V45" s="84"/>
      <c r="W45" s="171"/>
      <c r="X45" s="89"/>
      <c r="Y45" s="89"/>
      <c r="Z45" s="84"/>
      <c r="AA45" s="84"/>
      <c r="AB45" s="193"/>
      <c r="AC45" s="168"/>
      <c r="AD45" s="168"/>
      <c r="AE45" s="168"/>
    </row>
    <row r="46" spans="1:31">
      <c r="A46" s="79" t="s">
        <v>1007</v>
      </c>
      <c r="D46" s="212"/>
      <c r="E46" s="77"/>
      <c r="F46" s="77"/>
      <c r="G46" s="77"/>
      <c r="H46" s="77"/>
      <c r="I46" s="80"/>
      <c r="J46" s="157"/>
      <c r="K46" s="81"/>
      <c r="L46" s="159"/>
      <c r="M46" s="159"/>
      <c r="N46" s="211"/>
      <c r="O46" s="83"/>
      <c r="P46" s="83"/>
      <c r="Q46" s="83"/>
      <c r="R46" s="162"/>
      <c r="S46" s="118"/>
      <c r="T46" s="118"/>
      <c r="U46" s="84"/>
      <c r="V46" s="84"/>
      <c r="W46" s="171"/>
      <c r="X46" s="89"/>
      <c r="Y46" s="89"/>
      <c r="Z46" s="84"/>
      <c r="AA46" s="84"/>
      <c r="AB46" s="193"/>
      <c r="AC46" s="168"/>
      <c r="AD46" s="168"/>
      <c r="AE46" s="168"/>
    </row>
    <row r="47" spans="1:31">
      <c r="A47" s="79" t="s">
        <v>1008</v>
      </c>
      <c r="D47" s="212"/>
      <c r="E47" s="77"/>
      <c r="F47" s="77"/>
      <c r="G47" s="77"/>
      <c r="H47" s="77"/>
      <c r="I47" s="80"/>
      <c r="J47" s="157"/>
      <c r="K47" s="81"/>
      <c r="L47" s="159"/>
      <c r="M47" s="159"/>
      <c r="N47" s="211"/>
      <c r="O47" s="83"/>
      <c r="P47" s="83"/>
      <c r="Q47" s="83"/>
      <c r="R47" s="162"/>
      <c r="S47" s="118"/>
      <c r="T47" s="118"/>
      <c r="U47" s="84"/>
      <c r="V47" s="84"/>
      <c r="W47" s="171"/>
      <c r="X47" s="89"/>
      <c r="Y47" s="89"/>
      <c r="Z47" s="84"/>
      <c r="AA47" s="84"/>
      <c r="AB47" s="193"/>
      <c r="AC47" s="168"/>
      <c r="AD47" s="168"/>
      <c r="AE47" s="168"/>
    </row>
    <row r="48" spans="1:31">
      <c r="A48" s="79" t="s">
        <v>1009</v>
      </c>
      <c r="D48" s="212"/>
      <c r="E48" s="77"/>
      <c r="F48" s="77"/>
      <c r="G48" s="77"/>
      <c r="H48" s="77"/>
      <c r="I48" s="80"/>
      <c r="J48" s="157"/>
      <c r="K48" s="81"/>
      <c r="L48" s="159"/>
      <c r="M48" s="159"/>
      <c r="N48" s="211"/>
      <c r="O48" s="83"/>
      <c r="P48" s="83"/>
      <c r="Q48" s="83"/>
      <c r="R48" s="162"/>
      <c r="S48" s="118"/>
      <c r="T48" s="118"/>
      <c r="U48" s="84"/>
      <c r="V48" s="84"/>
      <c r="W48" s="171"/>
      <c r="X48" s="89"/>
      <c r="Y48" s="89"/>
      <c r="Z48" s="84"/>
      <c r="AA48" s="84"/>
      <c r="AB48" s="193"/>
      <c r="AC48" s="168"/>
      <c r="AD48" s="168"/>
      <c r="AE48" s="168"/>
    </row>
    <row r="49" spans="1:1">
      <c r="A49" s="79" t="s">
        <v>1010</v>
      </c>
    </row>
    <row r="50" spans="1:1">
      <c r="A50" s="79" t="s">
        <v>1011</v>
      </c>
    </row>
    <row r="51" spans="1:1"/>
    <row r="52" spans="1:1">
      <c r="A52" s="79" t="s">
        <v>1012</v>
      </c>
    </row>
    <row r="53" spans="1:1"/>
    <row r="54" spans="1:1"/>
    <row r="55" spans="1:1"/>
    <row r="56" spans="1:1"/>
    <row r="57" spans="1:1"/>
    <row r="58" spans="1:1"/>
    <row r="59" spans="1:1"/>
    <row r="60" spans="1:1"/>
    <row r="61" spans="1:1"/>
    <row r="62" spans="1:1"/>
    <row r="63" spans="1:1"/>
    <row r="64" spans="1:1"/>
    <row r="65" spans="1:26"/>
    <row r="66" spans="1:26"/>
    <row r="67" spans="1:26"/>
    <row r="68" spans="1:26"/>
    <row r="69" spans="1:26"/>
    <row r="70" spans="1:26">
      <c r="D70" s="212"/>
      <c r="E70" s="77"/>
      <c r="F70" s="77"/>
      <c r="G70" s="77"/>
      <c r="H70" s="77"/>
      <c r="I70" s="80"/>
      <c r="J70" s="157"/>
      <c r="K70" s="81"/>
      <c r="L70" s="159"/>
      <c r="M70" s="159"/>
      <c r="N70" s="85"/>
      <c r="O70" s="77"/>
      <c r="P70" s="77">
        <f>SUM(P71:P76)</f>
        <v>8632</v>
      </c>
      <c r="Q70" s="77"/>
      <c r="R70" s="214"/>
      <c r="U70" s="84"/>
      <c r="V70" s="84"/>
      <c r="W70" s="213"/>
      <c r="X70" s="89"/>
      <c r="Y70" s="89"/>
      <c r="Z70" s="84"/>
    </row>
    <row r="71" spans="1:26">
      <c r="A71" s="89" t="s">
        <v>972</v>
      </c>
      <c r="B71" s="79"/>
      <c r="C71" s="79"/>
      <c r="D71" s="201"/>
      <c r="E71" s="95"/>
      <c r="F71" s="95"/>
      <c r="G71" s="95"/>
      <c r="H71" s="95"/>
      <c r="I71" s="202"/>
      <c r="J71" s="203"/>
      <c r="K71" s="169"/>
      <c r="L71" s="204"/>
      <c r="M71" s="159"/>
      <c r="N71" s="160"/>
      <c r="O71" s="83"/>
      <c r="P71" s="83">
        <v>3486</v>
      </c>
      <c r="Q71" s="215">
        <f t="shared" ref="Q71:Q76" si="27">P71/$P$70</f>
        <v>0.40384615384615385</v>
      </c>
      <c r="R71" s="214"/>
      <c r="U71" s="216">
        <f t="shared" ref="U71:U76" si="28">T71/$P$70</f>
        <v>0</v>
      </c>
      <c r="V71" s="216"/>
      <c r="W71" s="213"/>
      <c r="X71" s="89"/>
      <c r="Y71" s="89"/>
      <c r="Z71" s="216">
        <f t="shared" ref="Z71:Z76" si="29">Y71/$P$70</f>
        <v>0</v>
      </c>
    </row>
    <row r="72" spans="1:26">
      <c r="A72" s="89" t="s">
        <v>973</v>
      </c>
      <c r="B72" s="79"/>
      <c r="C72" s="79"/>
      <c r="D72" s="201"/>
      <c r="E72" s="95"/>
      <c r="F72" s="95"/>
      <c r="G72" s="95"/>
      <c r="H72" s="95"/>
      <c r="I72" s="202"/>
      <c r="J72" s="203"/>
      <c r="K72" s="169"/>
      <c r="L72" s="204"/>
      <c r="M72" s="159"/>
      <c r="N72" s="160"/>
      <c r="O72" s="83"/>
      <c r="P72" s="83">
        <v>2141</v>
      </c>
      <c r="Q72" s="215">
        <f t="shared" si="27"/>
        <v>0.24803058387395738</v>
      </c>
      <c r="R72" s="214"/>
      <c r="U72" s="216">
        <f t="shared" si="28"/>
        <v>0</v>
      </c>
      <c r="V72" s="216"/>
      <c r="W72" s="213"/>
      <c r="X72" s="89"/>
      <c r="Y72" s="89"/>
      <c r="Z72" s="216">
        <f t="shared" si="29"/>
        <v>0</v>
      </c>
    </row>
    <row r="73" spans="1:26">
      <c r="A73" s="89" t="s">
        <v>974</v>
      </c>
      <c r="B73" s="79"/>
      <c r="C73" s="79"/>
      <c r="D73" s="201"/>
      <c r="E73" s="95"/>
      <c r="F73" s="95"/>
      <c r="G73" s="95"/>
      <c r="H73" s="95"/>
      <c r="I73" s="202"/>
      <c r="J73" s="203"/>
      <c r="K73" s="169"/>
      <c r="L73" s="204"/>
      <c r="M73" s="159"/>
      <c r="N73" s="160"/>
      <c r="O73" s="83"/>
      <c r="P73" s="83">
        <v>1277</v>
      </c>
      <c r="Q73" s="215">
        <f t="shared" si="27"/>
        <v>0.14793790546802596</v>
      </c>
      <c r="R73" s="214"/>
      <c r="U73" s="216">
        <f t="shared" si="28"/>
        <v>0</v>
      </c>
      <c r="V73" s="216"/>
      <c r="W73" s="213"/>
      <c r="X73" s="89"/>
      <c r="Y73" s="89"/>
      <c r="Z73" s="216">
        <f t="shared" si="29"/>
        <v>0</v>
      </c>
    </row>
    <row r="74" spans="1:26">
      <c r="A74" s="89" t="s">
        <v>975</v>
      </c>
      <c r="B74" s="79"/>
      <c r="C74" s="79"/>
      <c r="D74" s="201"/>
      <c r="E74" s="95"/>
      <c r="F74" s="95"/>
      <c r="G74" s="95"/>
      <c r="H74" s="95"/>
      <c r="I74" s="202"/>
      <c r="J74" s="203"/>
      <c r="K74" s="169"/>
      <c r="L74" s="204"/>
      <c r="M74" s="159"/>
      <c r="N74" s="160"/>
      <c r="O74" s="83"/>
      <c r="P74" s="83">
        <v>1159</v>
      </c>
      <c r="Q74" s="215">
        <f t="shared" si="27"/>
        <v>0.13426784059314179</v>
      </c>
      <c r="R74" s="214"/>
      <c r="U74" s="216">
        <f t="shared" si="28"/>
        <v>0</v>
      </c>
      <c r="V74" s="216"/>
      <c r="W74" s="213"/>
      <c r="X74" s="89"/>
      <c r="Y74" s="89"/>
      <c r="Z74" s="216">
        <f t="shared" si="29"/>
        <v>0</v>
      </c>
    </row>
    <row r="75" spans="1:26">
      <c r="A75" s="89" t="s">
        <v>976</v>
      </c>
      <c r="B75" s="79"/>
      <c r="C75" s="79"/>
      <c r="D75" s="201"/>
      <c r="E75" s="95"/>
      <c r="F75" s="95"/>
      <c r="G75" s="95"/>
      <c r="H75" s="87"/>
      <c r="I75" s="202"/>
      <c r="J75" s="203"/>
      <c r="K75" s="169"/>
      <c r="L75" s="204"/>
      <c r="M75" s="159"/>
      <c r="N75" s="160"/>
      <c r="O75" s="83"/>
      <c r="P75" s="83">
        <v>362</v>
      </c>
      <c r="Q75" s="215">
        <f t="shared" si="27"/>
        <v>4.1936978683966633E-2</v>
      </c>
      <c r="R75" s="214"/>
      <c r="U75" s="216">
        <f t="shared" si="28"/>
        <v>0</v>
      </c>
      <c r="V75" s="216"/>
      <c r="W75" s="213"/>
      <c r="X75" s="89"/>
      <c r="Y75" s="89"/>
      <c r="Z75" s="216">
        <f t="shared" si="29"/>
        <v>0</v>
      </c>
    </row>
    <row r="76" spans="1:26">
      <c r="A76" s="89" t="s">
        <v>977</v>
      </c>
      <c r="B76" s="79"/>
      <c r="C76" s="79"/>
      <c r="D76" s="201"/>
      <c r="E76" s="95"/>
      <c r="F76" s="95"/>
      <c r="G76" s="95"/>
      <c r="H76" s="87"/>
      <c r="I76" s="202"/>
      <c r="J76" s="203"/>
      <c r="K76" s="169"/>
      <c r="L76" s="204"/>
      <c r="M76" s="159"/>
      <c r="N76" s="160"/>
      <c r="O76" s="83"/>
      <c r="P76" s="83">
        <v>207</v>
      </c>
      <c r="Q76" s="215">
        <f t="shared" si="27"/>
        <v>2.3980537534754404E-2</v>
      </c>
      <c r="R76" s="214"/>
      <c r="U76" s="216">
        <f t="shared" si="28"/>
        <v>0</v>
      </c>
      <c r="V76" s="216"/>
      <c r="W76" s="213"/>
      <c r="X76" s="89"/>
      <c r="Y76" s="89"/>
      <c r="Z76" s="216">
        <f t="shared" si="29"/>
        <v>0</v>
      </c>
    </row>
    <row r="77" spans="1:26"/>
    <row r="78" spans="1:26"/>
    <row r="79" spans="1:26"/>
    <row r="80" spans="1:26"/>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sheetData>
  <conditionalFormatting sqref="Q3:Q13 U3:U17 Z3:Z17 Q16 Q18:Q20">
    <cfRule type="colorScale" priority="1">
      <colorScale>
        <cfvo type="min"/>
        <cfvo type="percentile" val="50"/>
        <cfvo type="max"/>
        <color rgb="FFE67C73"/>
        <color rgb="FFFFFFFF"/>
        <color rgb="FF57BB8A"/>
      </colorScale>
    </cfRule>
  </conditionalFormatting>
  <conditionalFormatting sqref="V3:V15 AA3:AA16">
    <cfRule type="colorScale" priority="2">
      <colorScale>
        <cfvo type="formula" val="-1"/>
        <cfvo type="formula" val="0"/>
        <cfvo type="formula" val="2"/>
        <color rgb="FFE67C73"/>
        <color rgb="FFFFFFFF"/>
        <color rgb="FF57BB8A"/>
      </colorScale>
    </cfRule>
  </conditionalFormatting>
  <hyperlinks>
    <hyperlink ref="A3" r:id="rId1" xr:uid="{00000000-0004-0000-0800-000000000000}"/>
    <hyperlink ref="K3" r:id="rId2" xr:uid="{00000000-0004-0000-0800-000001000000}"/>
  </hyperlinks>
  <pageMargins left="0" right="0" top="0" bottom="0" header="0" footer="0"/>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28"/>
  <sheetViews>
    <sheetView workbookViewId="0"/>
  </sheetViews>
  <sheetFormatPr defaultColWidth="12.5703125" defaultRowHeight="15.75" customHeight="1"/>
  <cols>
    <col min="1" max="1" width="30.5703125" customWidth="1"/>
    <col min="2" max="2" width="12.7109375" customWidth="1"/>
    <col min="3" max="9" width="38.28515625" customWidth="1"/>
  </cols>
  <sheetData>
    <row r="1" spans="1:9">
      <c r="A1" s="99" t="s">
        <v>656</v>
      </c>
      <c r="B1" s="100" t="s">
        <v>1013</v>
      </c>
      <c r="C1" s="100" t="s">
        <v>1014</v>
      </c>
      <c r="D1" s="100" t="s">
        <v>1015</v>
      </c>
      <c r="E1" s="100" t="s">
        <v>1016</v>
      </c>
      <c r="F1" s="100" t="s">
        <v>1017</v>
      </c>
      <c r="G1" s="100" t="s">
        <v>1018</v>
      </c>
      <c r="H1" s="100" t="s">
        <v>1019</v>
      </c>
      <c r="I1" s="101" t="s">
        <v>1020</v>
      </c>
    </row>
    <row r="2" spans="1:9">
      <c r="A2" s="103" t="s">
        <v>1021</v>
      </c>
      <c r="B2" s="104" t="s">
        <v>1022</v>
      </c>
      <c r="C2" s="105" t="s">
        <v>1023</v>
      </c>
      <c r="D2" s="106" t="s">
        <v>1024</v>
      </c>
      <c r="E2" s="107" t="s">
        <v>1025</v>
      </c>
      <c r="F2" s="106" t="s">
        <v>1024</v>
      </c>
      <c r="G2" s="106" t="s">
        <v>1024</v>
      </c>
      <c r="H2" s="106" t="s">
        <v>1024</v>
      </c>
      <c r="I2" s="105" t="s">
        <v>1026</v>
      </c>
    </row>
    <row r="3" spans="1:9">
      <c r="A3" s="103" t="s">
        <v>1027</v>
      </c>
      <c r="B3" s="104" t="s">
        <v>1022</v>
      </c>
      <c r="C3" s="107" t="s">
        <v>1028</v>
      </c>
      <c r="D3" s="106" t="s">
        <v>1024</v>
      </c>
      <c r="E3" s="108" t="s">
        <v>1023</v>
      </c>
      <c r="F3" s="106" t="s">
        <v>1024</v>
      </c>
      <c r="G3" s="106" t="s">
        <v>1024</v>
      </c>
      <c r="H3" s="105" t="s">
        <v>1023</v>
      </c>
      <c r="I3" s="109" t="s">
        <v>1029</v>
      </c>
    </row>
    <row r="4" spans="1:9">
      <c r="A4" s="103" t="s">
        <v>1030</v>
      </c>
      <c r="B4" s="102"/>
      <c r="C4" s="105" t="s">
        <v>1031</v>
      </c>
      <c r="D4" s="106" t="s">
        <v>1024</v>
      </c>
      <c r="E4" s="105" t="s">
        <v>1023</v>
      </c>
      <c r="F4" s="106" t="s">
        <v>1024</v>
      </c>
      <c r="G4" s="106" t="s">
        <v>1024</v>
      </c>
      <c r="H4" s="105" t="s">
        <v>1023</v>
      </c>
      <c r="I4" s="109" t="s">
        <v>1032</v>
      </c>
    </row>
    <row r="5" spans="1:9">
      <c r="A5" s="103" t="s">
        <v>511</v>
      </c>
      <c r="B5" s="104" t="s">
        <v>1022</v>
      </c>
      <c r="C5" s="105" t="s">
        <v>1023</v>
      </c>
      <c r="D5" s="107" t="s">
        <v>1033</v>
      </c>
      <c r="E5" s="105" t="s">
        <v>1034</v>
      </c>
      <c r="F5" s="106" t="s">
        <v>1024</v>
      </c>
      <c r="G5" s="105" t="s">
        <v>1035</v>
      </c>
      <c r="H5" s="105" t="s">
        <v>1023</v>
      </c>
      <c r="I5" s="109" t="s">
        <v>1036</v>
      </c>
    </row>
    <row r="6" spans="1:9">
      <c r="A6" s="103" t="s">
        <v>1037</v>
      </c>
      <c r="B6" s="102"/>
      <c r="C6" s="105" t="s">
        <v>1023</v>
      </c>
      <c r="D6" s="106" t="s">
        <v>1024</v>
      </c>
      <c r="E6" s="105" t="s">
        <v>1023</v>
      </c>
      <c r="F6" s="109" t="s">
        <v>1038</v>
      </c>
      <c r="G6" s="109" t="s">
        <v>1039</v>
      </c>
      <c r="H6" s="105" t="s">
        <v>1023</v>
      </c>
      <c r="I6" s="105" t="s">
        <v>1040</v>
      </c>
    </row>
    <row r="7" spans="1:9">
      <c r="A7" s="103" t="s">
        <v>1041</v>
      </c>
      <c r="B7" s="110" t="s">
        <v>1042</v>
      </c>
      <c r="C7" s="105" t="s">
        <v>1023</v>
      </c>
      <c r="D7" s="105" t="s">
        <v>1023</v>
      </c>
      <c r="E7" s="106" t="s">
        <v>1024</v>
      </c>
      <c r="F7" s="106" t="s">
        <v>1024</v>
      </c>
      <c r="G7" s="106" t="s">
        <v>1024</v>
      </c>
      <c r="H7" s="105" t="s">
        <v>1023</v>
      </c>
      <c r="I7" s="107" t="s">
        <v>1043</v>
      </c>
    </row>
    <row r="8" spans="1:9">
      <c r="A8" s="103" t="s">
        <v>704</v>
      </c>
      <c r="B8" s="104" t="s">
        <v>1022</v>
      </c>
      <c r="C8" s="105" t="s">
        <v>1023</v>
      </c>
      <c r="D8" s="105" t="s">
        <v>1023</v>
      </c>
      <c r="E8" s="107" t="s">
        <v>1044</v>
      </c>
      <c r="F8" s="105" t="s">
        <v>1045</v>
      </c>
      <c r="G8" s="106" t="s">
        <v>1024</v>
      </c>
      <c r="H8" s="105" t="s">
        <v>1023</v>
      </c>
      <c r="I8" s="107" t="s">
        <v>1046</v>
      </c>
    </row>
    <row r="9" spans="1:9">
      <c r="A9" s="103" t="s">
        <v>510</v>
      </c>
      <c r="B9" s="104" t="s">
        <v>1047</v>
      </c>
      <c r="C9" s="107" t="s">
        <v>1048</v>
      </c>
      <c r="D9" s="107" t="s">
        <v>1023</v>
      </c>
      <c r="E9" s="106" t="s">
        <v>1024</v>
      </c>
      <c r="F9" s="105" t="s">
        <v>1023</v>
      </c>
      <c r="G9" s="107" t="s">
        <v>1049</v>
      </c>
      <c r="H9" s="105" t="s">
        <v>1023</v>
      </c>
      <c r="I9" s="109" t="s">
        <v>1050</v>
      </c>
    </row>
    <row r="10" spans="1:9">
      <c r="A10" s="103" t="s">
        <v>1051</v>
      </c>
      <c r="B10" s="102"/>
      <c r="C10" s="106" t="s">
        <v>1024</v>
      </c>
      <c r="D10" s="106" t="s">
        <v>1024</v>
      </c>
      <c r="E10" s="106" t="s">
        <v>1024</v>
      </c>
      <c r="F10" s="106" t="s">
        <v>1024</v>
      </c>
      <c r="G10" s="106" t="s">
        <v>1024</v>
      </c>
      <c r="H10" s="109" t="s">
        <v>1052</v>
      </c>
      <c r="I10" s="107" t="s">
        <v>1053</v>
      </c>
    </row>
    <row r="11" spans="1:9">
      <c r="A11" s="111" t="s">
        <v>1054</v>
      </c>
      <c r="B11" s="99" t="s">
        <v>1055</v>
      </c>
      <c r="C11" s="102"/>
      <c r="D11" s="102"/>
      <c r="E11" s="102"/>
      <c r="F11" s="102"/>
      <c r="G11" s="102"/>
      <c r="H11" s="102"/>
      <c r="I11" s="102"/>
    </row>
    <row r="12" spans="1:9">
      <c r="A12" s="86" t="s">
        <v>1056</v>
      </c>
      <c r="B12" s="99" t="s">
        <v>1057</v>
      </c>
      <c r="C12" s="102"/>
      <c r="D12" s="102"/>
      <c r="E12" s="102"/>
      <c r="F12" s="102"/>
      <c r="G12" s="102"/>
      <c r="H12" s="102"/>
      <c r="I12" s="102"/>
    </row>
    <row r="13" spans="1:9">
      <c r="A13" s="86" t="s">
        <v>1058</v>
      </c>
      <c r="B13" s="99" t="s">
        <v>1059</v>
      </c>
      <c r="C13" s="102"/>
      <c r="D13" s="102"/>
      <c r="E13" s="102"/>
      <c r="F13" s="102"/>
      <c r="G13" s="102"/>
      <c r="H13" s="102"/>
      <c r="I13" s="102"/>
    </row>
    <row r="14" spans="1:9">
      <c r="A14" s="86" t="s">
        <v>1060</v>
      </c>
      <c r="B14" s="99" t="s">
        <v>1059</v>
      </c>
      <c r="C14" s="102"/>
      <c r="D14" s="102"/>
      <c r="E14" s="102"/>
      <c r="F14" s="102"/>
      <c r="G14" s="102"/>
      <c r="H14" s="102"/>
      <c r="I14" s="102"/>
    </row>
    <row r="15" spans="1:9">
      <c r="A15" s="111" t="s">
        <v>1061</v>
      </c>
      <c r="B15" s="79" t="s">
        <v>1062</v>
      </c>
    </row>
    <row r="16" spans="1:9">
      <c r="A16" s="86" t="s">
        <v>1063</v>
      </c>
      <c r="B16" s="99" t="s">
        <v>1064</v>
      </c>
      <c r="C16" s="102"/>
      <c r="D16" s="102"/>
      <c r="E16" s="102"/>
      <c r="F16" s="102"/>
      <c r="G16" s="102"/>
      <c r="H16" s="102"/>
      <c r="I16" s="102"/>
    </row>
    <row r="17" spans="1:9">
      <c r="A17" s="86" t="s">
        <v>1065</v>
      </c>
      <c r="B17" s="79" t="s">
        <v>1066</v>
      </c>
    </row>
    <row r="18" spans="1:9">
      <c r="A18" s="112" t="s">
        <v>1067</v>
      </c>
      <c r="B18" s="99" t="s">
        <v>1068</v>
      </c>
      <c r="C18" s="102"/>
      <c r="D18" s="102"/>
      <c r="E18" s="102"/>
      <c r="F18" s="102"/>
      <c r="G18" s="102"/>
      <c r="H18" s="102"/>
      <c r="I18" s="102"/>
    </row>
    <row r="19" spans="1:9">
      <c r="A19" s="113" t="s">
        <v>1069</v>
      </c>
      <c r="B19" s="86" t="s">
        <v>1070</v>
      </c>
      <c r="C19" s="102"/>
      <c r="D19" s="102"/>
      <c r="E19" s="102"/>
      <c r="F19" s="102"/>
      <c r="G19" s="102"/>
      <c r="H19" s="102"/>
      <c r="I19" s="102"/>
    </row>
    <row r="20" spans="1:9">
      <c r="A20" s="111" t="s">
        <v>1071</v>
      </c>
      <c r="B20" s="86" t="s">
        <v>1072</v>
      </c>
      <c r="C20" s="102"/>
      <c r="D20" s="102"/>
      <c r="E20" s="102"/>
      <c r="F20" s="102"/>
      <c r="G20" s="102"/>
      <c r="H20" s="102"/>
      <c r="I20" s="102"/>
    </row>
    <row r="21" spans="1:9">
      <c r="A21" s="113" t="s">
        <v>1073</v>
      </c>
      <c r="B21" s="86" t="s">
        <v>1074</v>
      </c>
      <c r="C21" s="102"/>
      <c r="D21" s="102"/>
      <c r="E21" s="102"/>
      <c r="F21" s="102"/>
      <c r="G21" s="102"/>
      <c r="H21" s="102"/>
      <c r="I21" s="102"/>
    </row>
    <row r="22" spans="1:9" ht="39.75" customHeight="1">
      <c r="A22" s="86" t="s">
        <v>1075</v>
      </c>
      <c r="B22" s="79" t="s">
        <v>1076</v>
      </c>
      <c r="C22" s="99" t="s">
        <v>1077</v>
      </c>
      <c r="D22" s="102"/>
      <c r="E22" s="102"/>
      <c r="F22" s="102"/>
      <c r="G22" s="102"/>
      <c r="H22" s="102"/>
      <c r="I22" s="102"/>
    </row>
    <row r="23" spans="1:9">
      <c r="A23" s="111" t="s">
        <v>1078</v>
      </c>
      <c r="B23" s="99" t="s">
        <v>1074</v>
      </c>
      <c r="C23" s="102"/>
      <c r="D23" s="102"/>
      <c r="E23" s="102"/>
      <c r="F23" s="102"/>
      <c r="G23" s="102"/>
      <c r="H23" s="102"/>
      <c r="I23" s="102"/>
    </row>
    <row r="24" spans="1:9">
      <c r="A24" s="86" t="s">
        <v>1079</v>
      </c>
      <c r="B24" s="99" t="s">
        <v>1080</v>
      </c>
      <c r="C24" s="102"/>
      <c r="D24" s="102"/>
      <c r="E24" s="102"/>
      <c r="F24" s="102"/>
      <c r="G24" s="102"/>
      <c r="H24" s="102"/>
      <c r="I24" s="102"/>
    </row>
    <row r="25" spans="1:9">
      <c r="A25" s="113" t="s">
        <v>1081</v>
      </c>
      <c r="B25" s="86" t="s">
        <v>1074</v>
      </c>
      <c r="C25" s="102"/>
      <c r="D25" s="102"/>
      <c r="E25" s="102"/>
      <c r="F25" s="102"/>
      <c r="G25" s="102"/>
      <c r="H25" s="102"/>
      <c r="I25" s="102"/>
    </row>
    <row r="26" spans="1:9">
      <c r="A26" s="111" t="s">
        <v>1082</v>
      </c>
      <c r="B26" s="86" t="s">
        <v>1074</v>
      </c>
    </row>
    <row r="27" spans="1:9">
      <c r="A27" s="86" t="s">
        <v>1083</v>
      </c>
      <c r="B27" s="86" t="s">
        <v>1074</v>
      </c>
    </row>
    <row r="28" spans="1:9">
      <c r="A28" s="86" t="s">
        <v>1084</v>
      </c>
      <c r="B28" s="86" t="s">
        <v>1074</v>
      </c>
      <c r="C28" s="79" t="s">
        <v>1085</v>
      </c>
    </row>
  </sheetData>
  <hyperlinks>
    <hyperlink ref="B2" r:id="rId1" xr:uid="{00000000-0004-0000-0500-000000000000}"/>
    <hyperlink ref="B3" r:id="rId2" xr:uid="{00000000-0004-0000-0500-000001000000}"/>
    <hyperlink ref="B5" r:id="rId3" xr:uid="{00000000-0004-0000-0500-000002000000}"/>
    <hyperlink ref="B8" r:id="rId4" xr:uid="{00000000-0004-0000-0500-000003000000}"/>
    <hyperlink ref="B9" r:id="rId5" xr:uid="{00000000-0004-0000-0500-000004000000}"/>
  </hyperlinks>
  <pageMargins left="0" right="0" top="0" bottom="0" header="0" footer="0"/>
  <legacy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c4f7e58-aee3-484e-9ced-6ad849805b22" xsi:nil="true"/>
    <lcf76f155ced4ddcb4097134ff3c332f xmlns="67eb9fc1-6eb2-4130-bff0-86e2d7b2fa6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C969E2290A67B40B23AAEC46BE07916" ma:contentTypeVersion="13" ma:contentTypeDescription="Create a new document." ma:contentTypeScope="" ma:versionID="27a3950f4d5715177bcf931e3e15611a">
  <xsd:schema xmlns:xsd="http://www.w3.org/2001/XMLSchema" xmlns:xs="http://www.w3.org/2001/XMLSchema" xmlns:p="http://schemas.microsoft.com/office/2006/metadata/properties" xmlns:ns2="67eb9fc1-6eb2-4130-bff0-86e2d7b2fa6c" xmlns:ns3="cc4f7e58-aee3-484e-9ced-6ad849805b22" targetNamespace="http://schemas.microsoft.com/office/2006/metadata/properties" ma:root="true" ma:fieldsID="46f63dd54ad6ceb09c66c7d5f173360a" ns2:_="" ns3:_="">
    <xsd:import namespace="67eb9fc1-6eb2-4130-bff0-86e2d7b2fa6c"/>
    <xsd:import namespace="cc4f7e58-aee3-484e-9ced-6ad849805b2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eb9fc1-6eb2-4130-bff0-86e2d7b2fa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a363587-87ea-41e2-9a9e-8270a2079e6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4f7e58-aee3-484e-9ced-6ad849805b2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ad6e149-f843-4ea4-af81-8c9aca828c0b}" ma:internalName="TaxCatchAll" ma:showField="CatchAllData" ma:web="cc4f7e58-aee3-484e-9ced-6ad849805b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E93E49B-DCBB-44FD-8769-0DF662F124B8}"/>
</file>

<file path=customXml/itemProps2.xml><?xml version="1.0" encoding="utf-8"?>
<ds:datastoreItem xmlns:ds="http://schemas.openxmlformats.org/officeDocument/2006/customXml" ds:itemID="{A4408F94-A002-4800-AA3B-CB0100448DF6}"/>
</file>

<file path=customXml/itemProps3.xml><?xml version="1.0" encoding="utf-8"?>
<ds:datastoreItem xmlns:ds="http://schemas.openxmlformats.org/officeDocument/2006/customXml" ds:itemID="{DAFA265E-14FE-41BD-8524-BFA16200CF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Leif Drake(UST,US)</cp:lastModifiedBy>
  <cp:revision/>
  <dcterms:created xsi:type="dcterms:W3CDTF">2024-10-08T20:39:00Z</dcterms:created>
  <dcterms:modified xsi:type="dcterms:W3CDTF">2025-07-30T21:58:05Z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0x010100CC969E2290A67B40B23AAEC46BE07916</vt:lpwstr>
  </property>
  <property fmtid="{D5CDD505-2E9C-101B-9397-08002B2CF9AE}" pid="3" name="MediaServiceImageTags">
    <vt:lpwstr/>
  </property>
</Properties>
</file>